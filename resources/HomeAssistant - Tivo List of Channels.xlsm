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rked\Downloads\"/>
    </mc:Choice>
  </mc:AlternateContent>
  <bookViews>
    <workbookView xWindow="0" yWindow="0" windowWidth="23040" windowHeight="9072"/>
  </bookViews>
  <sheets>
    <sheet name="Sheet1" sheetId="1" r:id="rId1"/>
    <sheet name="Sheet2" sheetId="2" r:id="rId2"/>
    <sheet name="Sheet3" sheetId="3" r:id="rId3"/>
  </sheets>
  <calcPr calcId="171027"/>
</workbook>
</file>

<file path=xl/calcChain.xml><?xml version="1.0" encoding="utf-8"?>
<calcChain xmlns="http://schemas.openxmlformats.org/spreadsheetml/2006/main">
  <c r="B321" i="1" l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2" i="1"/>
  <c r="J165" i="1"/>
  <c r="L165" i="1"/>
  <c r="M165" i="1"/>
  <c r="K165" i="1"/>
  <c r="J164" i="1"/>
  <c r="M164" i="1"/>
  <c r="K164" i="1"/>
  <c r="J311" i="1"/>
  <c r="L311" i="1"/>
  <c r="M311" i="1"/>
  <c r="K311" i="1"/>
  <c r="J163" i="1"/>
  <c r="L163" i="1"/>
  <c r="M163" i="1"/>
  <c r="K163" i="1"/>
  <c r="J121" i="1"/>
  <c r="L121" i="1"/>
  <c r="M121" i="1"/>
  <c r="K121" i="1"/>
  <c r="J166" i="1"/>
  <c r="L166" i="1"/>
  <c r="M166" i="1"/>
  <c r="K166" i="1"/>
  <c r="J120" i="1"/>
  <c r="L120" i="1"/>
  <c r="M120" i="1"/>
  <c r="K120" i="1"/>
  <c r="J116" i="1"/>
  <c r="L116" i="1"/>
  <c r="M116" i="1"/>
  <c r="K116" i="1"/>
  <c r="J118" i="1"/>
  <c r="L118" i="1"/>
  <c r="M118" i="1"/>
  <c r="K118" i="1"/>
  <c r="J119" i="1"/>
  <c r="L119" i="1"/>
  <c r="M119" i="1"/>
  <c r="K119" i="1"/>
  <c r="J262" i="1"/>
  <c r="L262" i="1"/>
  <c r="M262" i="1"/>
  <c r="K262" i="1"/>
  <c r="J117" i="1"/>
  <c r="K117" i="1"/>
  <c r="L117" i="1"/>
  <c r="M117" i="1"/>
  <c r="J88" i="1"/>
  <c r="K88" i="1"/>
  <c r="L88" i="1"/>
  <c r="M88" i="1"/>
  <c r="J89" i="1"/>
  <c r="K89" i="1"/>
  <c r="L89" i="1"/>
  <c r="C356" i="1" l="1"/>
  <c r="C355" i="1"/>
  <c r="C206" i="1"/>
  <c r="C48" i="1"/>
  <c r="C41" i="1"/>
  <c r="C37" i="1"/>
  <c r="C34" i="1"/>
  <c r="C29" i="1"/>
  <c r="C28" i="1"/>
  <c r="C26" i="1"/>
  <c r="C23" i="1"/>
  <c r="C20" i="1"/>
  <c r="C19" i="1"/>
  <c r="C17" i="1"/>
  <c r="C12" i="1"/>
  <c r="M3" i="1"/>
  <c r="M4" i="1"/>
  <c r="M9" i="1"/>
  <c r="M10" i="1"/>
  <c r="M11" i="1"/>
  <c r="M12" i="1"/>
  <c r="M13" i="1"/>
  <c r="M15" i="1"/>
  <c r="M16" i="1"/>
  <c r="M18" i="1"/>
  <c r="M22" i="1"/>
  <c r="M23" i="1"/>
  <c r="M24" i="1"/>
  <c r="M25" i="1"/>
  <c r="M29" i="1"/>
  <c r="M30" i="1"/>
  <c r="M31" i="1"/>
  <c r="M32" i="1"/>
  <c r="M33" i="1"/>
  <c r="M35" i="1"/>
  <c r="M36" i="1"/>
  <c r="M38" i="1"/>
  <c r="M40" i="1"/>
  <c r="M42" i="1"/>
  <c r="M43" i="1"/>
  <c r="M44" i="1"/>
  <c r="M45" i="1"/>
  <c r="M46" i="1"/>
  <c r="M47" i="1"/>
  <c r="M48" i="1"/>
  <c r="M51" i="1"/>
  <c r="M53" i="1"/>
  <c r="M55" i="1"/>
  <c r="M56" i="1"/>
  <c r="M57" i="1"/>
  <c r="M59" i="1"/>
  <c r="M60" i="1"/>
  <c r="M62" i="1"/>
  <c r="M63" i="1"/>
  <c r="M64" i="1"/>
  <c r="M65" i="1"/>
  <c r="M66" i="1"/>
  <c r="M67" i="1"/>
  <c r="M69" i="1"/>
  <c r="M70" i="1"/>
  <c r="M72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8" i="1"/>
  <c r="M109" i="1"/>
  <c r="M110" i="1"/>
  <c r="M111" i="1"/>
  <c r="M113" i="1"/>
  <c r="M114" i="1"/>
  <c r="M115" i="1"/>
  <c r="M123" i="1"/>
  <c r="M125" i="1"/>
  <c r="M126" i="1"/>
  <c r="M128" i="1"/>
  <c r="M129" i="1"/>
  <c r="M131" i="1"/>
  <c r="M132" i="1"/>
  <c r="M134" i="1"/>
  <c r="M135" i="1"/>
  <c r="M137" i="1"/>
  <c r="M138" i="1"/>
  <c r="M139" i="1"/>
  <c r="M141" i="1"/>
  <c r="M142" i="1"/>
  <c r="M143" i="1"/>
  <c r="M145" i="1"/>
  <c r="M146" i="1"/>
  <c r="M147" i="1"/>
  <c r="M148" i="1"/>
  <c r="M149" i="1"/>
  <c r="M150" i="1"/>
  <c r="M152" i="1"/>
  <c r="M153" i="1"/>
  <c r="M155" i="1"/>
  <c r="M157" i="1"/>
  <c r="M158" i="1"/>
  <c r="M159" i="1"/>
  <c r="M160" i="1"/>
  <c r="M161" i="1"/>
  <c r="M162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9" i="1"/>
  <c r="M200" i="1"/>
  <c r="M201" i="1"/>
  <c r="M202" i="1"/>
  <c r="M203" i="1"/>
  <c r="M204" i="1"/>
  <c r="M205" i="1"/>
  <c r="M207" i="1"/>
  <c r="M208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1" i="1"/>
  <c r="M282" i="1"/>
  <c r="M284" i="1"/>
  <c r="M285" i="1"/>
  <c r="M286" i="1"/>
  <c r="M287" i="1"/>
  <c r="M288" i="1"/>
  <c r="M289" i="1"/>
  <c r="M290" i="1"/>
  <c r="M291" i="1"/>
  <c r="M292" i="1"/>
  <c r="M294" i="1"/>
  <c r="M295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2" i="1"/>
  <c r="M1" i="1"/>
  <c r="J2" i="1"/>
  <c r="K2" i="1"/>
  <c r="J3" i="1"/>
  <c r="M89" i="1" s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L164" i="1" s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7" i="1"/>
  <c r="K167" i="1"/>
  <c r="J168" i="1"/>
  <c r="K168" i="1"/>
  <c r="J169" i="1"/>
  <c r="K169" i="1"/>
  <c r="J170" i="1"/>
  <c r="K170" i="1"/>
  <c r="J171" i="1"/>
  <c r="K171" i="1"/>
  <c r="J172" i="1"/>
  <c r="K172" i="1"/>
  <c r="J173" i="1"/>
  <c r="K173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1" i="1"/>
  <c r="K181" i="1"/>
  <c r="J182" i="1"/>
  <c r="K182" i="1"/>
  <c r="J183" i="1"/>
  <c r="K183" i="1"/>
  <c r="J184" i="1"/>
  <c r="K184" i="1"/>
  <c r="J185" i="1"/>
  <c r="K185" i="1"/>
  <c r="J186" i="1"/>
  <c r="K186" i="1"/>
  <c r="J187" i="1"/>
  <c r="K187" i="1"/>
  <c r="J188" i="1"/>
  <c r="K188" i="1"/>
  <c r="J189" i="1"/>
  <c r="K189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K197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5" i="1"/>
  <c r="K205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3" i="1"/>
  <c r="K213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1" i="1"/>
  <c r="K221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29" i="1"/>
  <c r="K229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7" i="1"/>
  <c r="K237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5" i="1"/>
  <c r="K245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3" i="1"/>
  <c r="K253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1" i="1"/>
  <c r="K261" i="1"/>
  <c r="J263" i="1"/>
  <c r="K263" i="1"/>
  <c r="J264" i="1"/>
  <c r="K264" i="1"/>
  <c r="J265" i="1"/>
  <c r="K265" i="1"/>
  <c r="J266" i="1"/>
  <c r="K266" i="1"/>
  <c r="J267" i="1"/>
  <c r="K267" i="1"/>
  <c r="J268" i="1"/>
  <c r="K268" i="1"/>
  <c r="J269" i="1"/>
  <c r="K269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7" i="1"/>
  <c r="K277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5" i="1"/>
  <c r="K285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3" i="1"/>
  <c r="K293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1" i="1"/>
  <c r="K301" i="1"/>
  <c r="J302" i="1"/>
  <c r="K302" i="1"/>
  <c r="J303" i="1"/>
  <c r="K303" i="1"/>
  <c r="J304" i="1"/>
  <c r="K304" i="1"/>
  <c r="J305" i="1"/>
  <c r="K305" i="1"/>
  <c r="J306" i="1"/>
  <c r="K306" i="1"/>
  <c r="J307" i="1"/>
  <c r="K307" i="1"/>
  <c r="J308" i="1"/>
  <c r="K308" i="1"/>
  <c r="J309" i="1"/>
  <c r="K309" i="1"/>
  <c r="J310" i="1"/>
  <c r="K310" i="1"/>
  <c r="J312" i="1"/>
  <c r="K312" i="1"/>
  <c r="J313" i="1"/>
  <c r="K313" i="1"/>
  <c r="J314" i="1"/>
  <c r="K314" i="1"/>
  <c r="J315" i="1"/>
  <c r="K315" i="1"/>
  <c r="J316" i="1"/>
  <c r="K316" i="1"/>
  <c r="J317" i="1"/>
  <c r="K317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5" i="1"/>
  <c r="K325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3" i="1"/>
  <c r="K333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1" i="1"/>
  <c r="K341" i="1"/>
  <c r="J342" i="1"/>
  <c r="K342" i="1"/>
  <c r="J343" i="1"/>
  <c r="K343" i="1"/>
  <c r="J344" i="1"/>
  <c r="K344" i="1"/>
  <c r="J345" i="1"/>
  <c r="K345" i="1"/>
  <c r="J346" i="1"/>
  <c r="K346" i="1"/>
  <c r="J347" i="1"/>
  <c r="K347" i="1"/>
  <c r="J348" i="1"/>
  <c r="K348" i="1"/>
  <c r="J349" i="1"/>
  <c r="K349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5" i="1"/>
  <c r="K365" i="1"/>
  <c r="J366" i="1"/>
  <c r="K366" i="1"/>
  <c r="J367" i="1"/>
  <c r="K367" i="1"/>
  <c r="J368" i="1"/>
  <c r="K368" i="1"/>
  <c r="J369" i="1"/>
  <c r="K369" i="1"/>
  <c r="J370" i="1"/>
  <c r="K370" i="1"/>
  <c r="J371" i="1"/>
  <c r="K371" i="1"/>
  <c r="J372" i="1"/>
  <c r="K372" i="1"/>
  <c r="J373" i="1"/>
  <c r="K373" i="1"/>
  <c r="J374" i="1"/>
  <c r="K374" i="1"/>
  <c r="J375" i="1"/>
  <c r="K375" i="1"/>
  <c r="J376" i="1"/>
  <c r="K376" i="1"/>
  <c r="J377" i="1"/>
  <c r="K377" i="1"/>
  <c r="J378" i="1"/>
  <c r="K378" i="1"/>
  <c r="J379" i="1"/>
  <c r="K379" i="1"/>
  <c r="J380" i="1"/>
  <c r="K380" i="1"/>
  <c r="J381" i="1"/>
  <c r="K381" i="1"/>
  <c r="J382" i="1"/>
  <c r="K382" i="1"/>
  <c r="J383" i="1"/>
  <c r="K383" i="1"/>
  <c r="J384" i="1"/>
  <c r="K384" i="1"/>
  <c r="J385" i="1"/>
  <c r="K385" i="1"/>
  <c r="J386" i="1"/>
  <c r="K386" i="1"/>
  <c r="J387" i="1"/>
  <c r="K387" i="1"/>
  <c r="J388" i="1"/>
  <c r="K388" i="1"/>
  <c r="J389" i="1"/>
  <c r="K389" i="1"/>
  <c r="J390" i="1"/>
  <c r="K390" i="1"/>
  <c r="J391" i="1"/>
  <c r="K391" i="1"/>
  <c r="J392" i="1"/>
  <c r="K392" i="1"/>
  <c r="J393" i="1"/>
  <c r="K393" i="1"/>
  <c r="J394" i="1"/>
  <c r="K394" i="1"/>
  <c r="J395" i="1"/>
  <c r="K395" i="1"/>
  <c r="J396" i="1"/>
  <c r="K396" i="1"/>
  <c r="J397" i="1"/>
  <c r="K397" i="1"/>
  <c r="J398" i="1"/>
  <c r="K398" i="1"/>
  <c r="J399" i="1"/>
  <c r="K399" i="1"/>
  <c r="J400" i="1"/>
  <c r="K400" i="1"/>
  <c r="J401" i="1"/>
  <c r="K401" i="1"/>
  <c r="J402" i="1"/>
  <c r="K402" i="1"/>
  <c r="J403" i="1"/>
  <c r="K403" i="1"/>
  <c r="J404" i="1"/>
  <c r="K404" i="1"/>
  <c r="J405" i="1"/>
  <c r="K405" i="1"/>
  <c r="J406" i="1"/>
  <c r="K406" i="1"/>
  <c r="J407" i="1"/>
  <c r="K407" i="1"/>
  <c r="J408" i="1"/>
  <c r="K408" i="1"/>
  <c r="J409" i="1"/>
  <c r="K409" i="1"/>
  <c r="J410" i="1"/>
  <c r="K410" i="1"/>
  <c r="J411" i="1"/>
  <c r="K411" i="1"/>
  <c r="J412" i="1"/>
  <c r="K412" i="1"/>
  <c r="J413" i="1"/>
  <c r="K413" i="1"/>
  <c r="J414" i="1"/>
  <c r="K414" i="1"/>
  <c r="J415" i="1"/>
  <c r="K415" i="1"/>
  <c r="J416" i="1"/>
  <c r="K416" i="1"/>
  <c r="J417" i="1"/>
  <c r="K417" i="1"/>
  <c r="C417" i="1"/>
  <c r="C416" i="1"/>
  <c r="C415" i="1"/>
  <c r="C414" i="1"/>
  <c r="C413" i="1"/>
  <c r="C411" i="1"/>
  <c r="L10" i="1"/>
  <c r="L11" i="1"/>
  <c r="L13" i="1"/>
  <c r="L15" i="1"/>
  <c r="L16" i="1"/>
  <c r="L18" i="1"/>
  <c r="L22" i="1"/>
  <c r="L23" i="1"/>
  <c r="L25" i="1"/>
  <c r="L26" i="1"/>
  <c r="L30" i="1"/>
  <c r="L31" i="1"/>
  <c r="L32" i="1"/>
  <c r="L33" i="1"/>
  <c r="L35" i="1"/>
  <c r="L38" i="1"/>
  <c r="L40" i="1"/>
  <c r="L41" i="1"/>
  <c r="L42" i="1"/>
  <c r="L43" i="1"/>
  <c r="L44" i="1"/>
  <c r="L46" i="1"/>
  <c r="L47" i="1"/>
  <c r="L49" i="1"/>
  <c r="L50" i="1"/>
  <c r="L51" i="1"/>
  <c r="L52" i="1"/>
  <c r="L53" i="1"/>
  <c r="L54" i="1"/>
  <c r="L55" i="1"/>
  <c r="L56" i="1"/>
  <c r="L57" i="1"/>
  <c r="L59" i="1"/>
  <c r="L60" i="1"/>
  <c r="L61" i="1"/>
  <c r="L62" i="1"/>
  <c r="L63" i="1"/>
  <c r="L64" i="1"/>
  <c r="L65" i="1"/>
  <c r="L66" i="1"/>
  <c r="L67" i="1"/>
  <c r="L69" i="1"/>
  <c r="L70" i="1"/>
  <c r="L71" i="1"/>
  <c r="L72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8" i="1"/>
  <c r="L109" i="1"/>
  <c r="L110" i="1"/>
  <c r="L111" i="1"/>
  <c r="L112" i="1"/>
  <c r="L113" i="1"/>
  <c r="L114" i="1"/>
  <c r="L115" i="1"/>
  <c r="L122" i="1"/>
  <c r="L123" i="1"/>
  <c r="L125" i="1"/>
  <c r="L126" i="1"/>
  <c r="L128" i="1"/>
  <c r="L129" i="1"/>
  <c r="L131" i="1"/>
  <c r="L132" i="1"/>
  <c r="L133" i="1"/>
  <c r="L134" i="1"/>
  <c r="L135" i="1"/>
  <c r="L136" i="1"/>
  <c r="L137" i="1"/>
  <c r="L139" i="1"/>
  <c r="L141" i="1"/>
  <c r="L142" i="1"/>
  <c r="L143" i="1"/>
  <c r="L145" i="1"/>
  <c r="L147" i="1"/>
  <c r="L149" i="1"/>
  <c r="L150" i="1"/>
  <c r="L152" i="1"/>
  <c r="L153" i="1"/>
  <c r="L154" i="1"/>
  <c r="L155" i="1"/>
  <c r="L156" i="1"/>
  <c r="L157" i="1"/>
  <c r="L158" i="1"/>
  <c r="L159" i="1"/>
  <c r="L160" i="1"/>
  <c r="L161" i="1"/>
  <c r="L162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9" i="1"/>
  <c r="L200" i="1"/>
  <c r="L201" i="1"/>
  <c r="L202" i="1"/>
  <c r="L203" i="1"/>
  <c r="L204" i="1"/>
  <c r="L205" i="1"/>
  <c r="L207" i="1"/>
  <c r="L208" i="1"/>
  <c r="L210" i="1"/>
  <c r="L221" i="1"/>
  <c r="L222" i="1"/>
  <c r="L223" i="1"/>
  <c r="L224" i="1"/>
  <c r="L225" i="1"/>
  <c r="L226" i="1"/>
  <c r="L227" i="1"/>
  <c r="L228" i="1"/>
  <c r="L229" i="1"/>
  <c r="L230" i="1"/>
  <c r="L231" i="1"/>
  <c r="L242" i="1"/>
  <c r="L243" i="1"/>
  <c r="L246" i="1"/>
  <c r="L247" i="1"/>
  <c r="L248" i="1"/>
  <c r="L249" i="1"/>
  <c r="L250" i="1"/>
  <c r="L255" i="1"/>
  <c r="L256" i="1"/>
  <c r="L257" i="1"/>
  <c r="L258" i="1"/>
  <c r="L259" i="1"/>
  <c r="L260" i="1"/>
  <c r="L261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9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2" i="1"/>
  <c r="C4" i="1"/>
  <c r="C5" i="1"/>
  <c r="C6" i="1"/>
  <c r="C7" i="1"/>
  <c r="C8" i="1"/>
  <c r="C3" i="1"/>
  <c r="L144" i="1" l="1"/>
  <c r="L148" i="1"/>
  <c r="L73" i="1"/>
  <c r="M107" i="1"/>
  <c r="M5" i="1"/>
  <c r="M293" i="1"/>
  <c r="M156" i="1"/>
  <c r="M144" i="1"/>
  <c r="M140" i="1"/>
  <c r="M136" i="1"/>
  <c r="M124" i="1"/>
  <c r="M68" i="1"/>
  <c r="M52" i="1"/>
  <c r="M28" i="1"/>
  <c r="M20" i="1"/>
  <c r="M8" i="1"/>
  <c r="M296" i="1"/>
  <c r="M280" i="1"/>
  <c r="M151" i="1"/>
  <c r="M127" i="1"/>
  <c r="M71" i="1"/>
  <c r="M39" i="1"/>
  <c r="M27" i="1"/>
  <c r="M19" i="1"/>
  <c r="M7" i="1"/>
  <c r="M283" i="1"/>
  <c r="M206" i="1"/>
  <c r="M198" i="1"/>
  <c r="M154" i="1"/>
  <c r="M130" i="1"/>
  <c r="M122" i="1"/>
  <c r="M112" i="1"/>
  <c r="M58" i="1"/>
  <c r="M54" i="1"/>
  <c r="M50" i="1"/>
  <c r="M34" i="1"/>
  <c r="M26" i="1"/>
  <c r="M14" i="1"/>
  <c r="M6" i="1"/>
  <c r="M209" i="1"/>
  <c r="M133" i="1"/>
  <c r="M73" i="1"/>
  <c r="M61" i="1"/>
  <c r="M49" i="1"/>
  <c r="M41" i="1"/>
  <c r="M37" i="1"/>
  <c r="M21" i="1"/>
  <c r="M17" i="1"/>
  <c r="L5" i="1"/>
  <c r="L4" i="1"/>
  <c r="L241" i="1"/>
  <c r="L217" i="1"/>
  <c r="L213" i="1"/>
  <c r="L209" i="1"/>
  <c r="L107" i="1"/>
  <c r="L45" i="1"/>
  <c r="L29" i="1"/>
  <c r="L277" i="1"/>
  <c r="L240" i="1"/>
  <c r="L232" i="1"/>
  <c r="L216" i="1"/>
  <c r="L212" i="1"/>
  <c r="L68" i="1"/>
  <c r="L48" i="1"/>
  <c r="L36" i="1"/>
  <c r="L28" i="1"/>
  <c r="L24" i="1"/>
  <c r="L20" i="1"/>
  <c r="L12" i="1"/>
  <c r="L8" i="1"/>
  <c r="L280" i="1"/>
  <c r="L264" i="1"/>
  <c r="L251" i="1"/>
  <c r="L239" i="1"/>
  <c r="L235" i="1"/>
  <c r="L219" i="1"/>
  <c r="L215" i="1"/>
  <c r="L211" i="1"/>
  <c r="L151" i="1"/>
  <c r="L127" i="1"/>
  <c r="L39" i="1"/>
  <c r="L27" i="1"/>
  <c r="L19" i="1"/>
  <c r="L7" i="1"/>
  <c r="L3" i="1"/>
  <c r="L278" i="1"/>
  <c r="L253" i="1"/>
  <c r="L245" i="1"/>
  <c r="L237" i="1"/>
  <c r="L233" i="1"/>
  <c r="L37" i="1"/>
  <c r="L21" i="1"/>
  <c r="L17" i="1"/>
  <c r="L9" i="1"/>
  <c r="L252" i="1"/>
  <c r="L244" i="1"/>
  <c r="L236" i="1"/>
  <c r="L220" i="1"/>
  <c r="L140" i="1"/>
  <c r="L124" i="1"/>
  <c r="L263" i="1"/>
  <c r="L254" i="1"/>
  <c r="L238" i="1"/>
  <c r="L234" i="1"/>
  <c r="L218" i="1"/>
  <c r="L214" i="1"/>
  <c r="L206" i="1"/>
  <c r="L198" i="1"/>
  <c r="L146" i="1"/>
  <c r="L138" i="1"/>
  <c r="L130" i="1"/>
  <c r="L58" i="1"/>
  <c r="L34" i="1"/>
  <c r="L14" i="1"/>
  <c r="L6" i="1"/>
</calcChain>
</file>

<file path=xl/sharedStrings.xml><?xml version="1.0" encoding="utf-8"?>
<sst xmlns="http://schemas.openxmlformats.org/spreadsheetml/2006/main" count="1116" uniqueCount="421">
  <si>
    <t>BBC Red Button</t>
  </si>
  <si>
    <t>Name</t>
  </si>
  <si>
    <t>ID</t>
  </si>
  <si>
    <t>Show</t>
  </si>
  <si>
    <t>HD</t>
  </si>
  <si>
    <t>Logo</t>
  </si>
  <si>
    <t>Plus One</t>
  </si>
  <si>
    <t>Target</t>
  </si>
  <si>
    <t>Source</t>
  </si>
  <si>
    <t>Virgin Media Previews</t>
  </si>
  <si>
    <t>Local TV Channel</t>
  </si>
  <si>
    <t>hayu</t>
  </si>
  <si>
    <t>VTV Music On Demand</t>
  </si>
  <si>
    <t>Virgin Movies Previews</t>
  </si>
  <si>
    <t>Virgin Media Kids</t>
  </si>
  <si>
    <t>Worldbox</t>
  </si>
  <si>
    <t>Adult Previews</t>
  </si>
  <si>
    <t>Playboy TV Nightly</t>
  </si>
  <si>
    <t>XXX Brits</t>
  </si>
  <si>
    <t>Xrated Couples</t>
  </si>
  <si>
    <t>Xrated Hook-Ups</t>
  </si>
  <si>
    <t>Babenation</t>
  </si>
  <si>
    <t>PIN Protection Help</t>
  </si>
  <si>
    <t>Virgin ID</t>
  </si>
  <si>
    <t>BBC One</t>
  </si>
  <si>
    <t>BBC Two</t>
  </si>
  <si>
    <t>ITV</t>
  </si>
  <si>
    <t>Channel 4</t>
  </si>
  <si>
    <t>Channel 5</t>
  </si>
  <si>
    <t>E4</t>
  </si>
  <si>
    <t>BBC Four</t>
  </si>
  <si>
    <t>BBC One HD</t>
  </si>
  <si>
    <t>Sky 1 HD</t>
  </si>
  <si>
    <t>Sky 1</t>
  </si>
  <si>
    <t>Sky Living HD</t>
  </si>
  <si>
    <t>Sky Living</t>
  </si>
  <si>
    <t>ITV HD</t>
  </si>
  <si>
    <t>ITV +1</t>
  </si>
  <si>
    <t>ITV2</t>
  </si>
  <si>
    <t>ITV2 +1</t>
  </si>
  <si>
    <t>ITV3</t>
  </si>
  <si>
    <t>ITV4</t>
  </si>
  <si>
    <t>ITVBe</t>
  </si>
  <si>
    <t>ITVBe +1</t>
  </si>
  <si>
    <t>Sky 2</t>
  </si>
  <si>
    <t>Sky Arts</t>
  </si>
  <si>
    <t>Pick</t>
  </si>
  <si>
    <t>Gold</t>
  </si>
  <si>
    <t>W</t>
  </si>
  <si>
    <t>alibi</t>
  </si>
  <si>
    <t>Dave</t>
  </si>
  <si>
    <t>Drama</t>
  </si>
  <si>
    <t>Really</t>
  </si>
  <si>
    <t>alibi +1</t>
  </si>
  <si>
    <t>W +1</t>
  </si>
  <si>
    <t>Comedy Central</t>
  </si>
  <si>
    <t>Comedy Central +1</t>
  </si>
  <si>
    <t>MTV</t>
  </si>
  <si>
    <t>Syfy</t>
  </si>
  <si>
    <t>Syfy +1</t>
  </si>
  <si>
    <t>Universal Channel</t>
  </si>
  <si>
    <t>Universal Channel +1</t>
  </si>
  <si>
    <t>Challenge</t>
  </si>
  <si>
    <t>Sky Living +1</t>
  </si>
  <si>
    <t>Channel 4 HD</t>
  </si>
  <si>
    <t>Channel 4 +1</t>
  </si>
  <si>
    <t>4seven</t>
  </si>
  <si>
    <t>E4 HD</t>
  </si>
  <si>
    <t>E4 +1</t>
  </si>
  <si>
    <t>More4</t>
  </si>
  <si>
    <t>CBS Reality</t>
  </si>
  <si>
    <t>Horror Channel</t>
  </si>
  <si>
    <t>Channel 5 HD</t>
  </si>
  <si>
    <t>5STAR</t>
  </si>
  <si>
    <t>My5</t>
  </si>
  <si>
    <t>5 USA</t>
  </si>
  <si>
    <t>Spike</t>
  </si>
  <si>
    <t>Channel 5 +1</t>
  </si>
  <si>
    <t>E!</t>
  </si>
  <si>
    <t>FOX</t>
  </si>
  <si>
    <t>FOX +1</t>
  </si>
  <si>
    <t>Real Lives</t>
  </si>
  <si>
    <t>BBC Alba</t>
  </si>
  <si>
    <t>BBC Two HD</t>
  </si>
  <si>
    <t>BBC Four HD</t>
  </si>
  <si>
    <t>Universal Channel HD</t>
  </si>
  <si>
    <t>Syfy HD</t>
  </si>
  <si>
    <t>S4C</t>
  </si>
  <si>
    <t>TLC</t>
  </si>
  <si>
    <t>TLC HD</t>
  </si>
  <si>
    <t>TLC +1</t>
  </si>
  <si>
    <t>Investigation Discovery</t>
  </si>
  <si>
    <t>Investigation Discovery +1</t>
  </si>
  <si>
    <t>Quest</t>
  </si>
  <si>
    <t>Quest +1</t>
  </si>
  <si>
    <t>ITV3 +1</t>
  </si>
  <si>
    <t>ITV4 +1</t>
  </si>
  <si>
    <t>ITV2 HD</t>
  </si>
  <si>
    <t>ITV3 HD</t>
  </si>
  <si>
    <t>ITV4 HD</t>
  </si>
  <si>
    <t>ITVBe HD</t>
  </si>
  <si>
    <t>Challenge +1</t>
  </si>
  <si>
    <t>Comedy Central HD</t>
  </si>
  <si>
    <t>Comedy Central Extra</t>
  </si>
  <si>
    <t>MTV HD</t>
  </si>
  <si>
    <t>BET</t>
  </si>
  <si>
    <t>5 USA +1</t>
  </si>
  <si>
    <t>5STAR +1</t>
  </si>
  <si>
    <t>Gold +1</t>
  </si>
  <si>
    <t>W HD</t>
  </si>
  <si>
    <t>CBS Action</t>
  </si>
  <si>
    <t>Sony Crime Channel</t>
  </si>
  <si>
    <t>Dave HD</t>
  </si>
  <si>
    <t>More4 HD</t>
  </si>
  <si>
    <t>More 4 +1</t>
  </si>
  <si>
    <t>CBS Drama</t>
  </si>
  <si>
    <t>YouTube</t>
  </si>
  <si>
    <t>FOX HD</t>
  </si>
  <si>
    <t>alibi HD</t>
  </si>
  <si>
    <t>CBS Reality +1</t>
  </si>
  <si>
    <t>Horror Channel +1</t>
  </si>
  <si>
    <t>4seven HD</t>
  </si>
  <si>
    <t>Netflix</t>
  </si>
  <si>
    <t>Sky Arts HD</t>
  </si>
  <si>
    <t>Real Lives +1</t>
  </si>
  <si>
    <t>Lifetime</t>
  </si>
  <si>
    <t>Lifetime HD</t>
  </si>
  <si>
    <t>Dave ja vu</t>
  </si>
  <si>
    <t>TruTV</t>
  </si>
  <si>
    <t>DMAX</t>
  </si>
  <si>
    <t>DMAX +1</t>
  </si>
  <si>
    <t>Quest Red</t>
  </si>
  <si>
    <t>Blaze</t>
  </si>
  <si>
    <t>Yesterday</t>
  </si>
  <si>
    <t>Yesterday +1</t>
  </si>
  <si>
    <t>Eden</t>
  </si>
  <si>
    <t>Eden +1</t>
  </si>
  <si>
    <t>Eden HD</t>
  </si>
  <si>
    <t>Discovery Channel</t>
  </si>
  <si>
    <t>Discovery Channel HD</t>
  </si>
  <si>
    <t>Discovery Channel +1</t>
  </si>
  <si>
    <t>Animal Planet</t>
  </si>
  <si>
    <t>Animal Planet HD</t>
  </si>
  <si>
    <t>Animal Planet +1</t>
  </si>
  <si>
    <t>Discovery Science</t>
  </si>
  <si>
    <t>Discovery Science +1</t>
  </si>
  <si>
    <t>Discovery Turbo</t>
  </si>
  <si>
    <t>Discovery History</t>
  </si>
  <si>
    <t>Discovery History +1</t>
  </si>
  <si>
    <t>Nat Geo Wild</t>
  </si>
  <si>
    <t>Nat Geo Wild HD</t>
  </si>
  <si>
    <t>National Geographic Channel</t>
  </si>
  <si>
    <t>National Geographic Channel +1</t>
  </si>
  <si>
    <t>National Geographic Channel HD</t>
  </si>
  <si>
    <t>History</t>
  </si>
  <si>
    <t>History +1</t>
  </si>
  <si>
    <t>H2</t>
  </si>
  <si>
    <t>H2 HD</t>
  </si>
  <si>
    <t>Crime + Investigation</t>
  </si>
  <si>
    <t>PBS America</t>
  </si>
  <si>
    <t>Forces TV</t>
  </si>
  <si>
    <t>Good Food</t>
  </si>
  <si>
    <t>Good Food +1</t>
  </si>
  <si>
    <t>Good Food HD</t>
  </si>
  <si>
    <t>Home</t>
  </si>
  <si>
    <t>Home +1</t>
  </si>
  <si>
    <t>Discovery Home &amp; Health</t>
  </si>
  <si>
    <t>Discovery Home &amp; Health +1</t>
  </si>
  <si>
    <t>Discovery Shed</t>
  </si>
  <si>
    <t>GOD Channel</t>
  </si>
  <si>
    <t>GINX eSports TV</t>
  </si>
  <si>
    <t>Food Network</t>
  </si>
  <si>
    <t>Travel Channel</t>
  </si>
  <si>
    <t>MTV Music</t>
  </si>
  <si>
    <t>MTV Live HD</t>
  </si>
  <si>
    <t>MTV Hits</t>
  </si>
  <si>
    <t>MTV Base</t>
  </si>
  <si>
    <t>MTV Dance</t>
  </si>
  <si>
    <t>MTV Rocks</t>
  </si>
  <si>
    <t>VH1</t>
  </si>
  <si>
    <t>MTV OMG</t>
  </si>
  <si>
    <t>Box Upfront</t>
  </si>
  <si>
    <t>The Box</t>
  </si>
  <si>
    <t>Box Hits</t>
  </si>
  <si>
    <t>4Music</t>
  </si>
  <si>
    <t>Kiss</t>
  </si>
  <si>
    <t>Magic</t>
  </si>
  <si>
    <t>Kerrang! TV</t>
  </si>
  <si>
    <t>Vintage TV</t>
  </si>
  <si>
    <t>Vevo</t>
  </si>
  <si>
    <t>Clubland TV</t>
  </si>
  <si>
    <t>Sky Cinema Premiere HD</t>
  </si>
  <si>
    <t>Sky Cinema Hits HD</t>
  </si>
  <si>
    <t>Sky Cinema Greats HD</t>
  </si>
  <si>
    <t>Sky Cinema Disney HD</t>
  </si>
  <si>
    <t>Sky Cinema Family HD</t>
  </si>
  <si>
    <t>Sky Cinema Action &amp; Adventure HD</t>
  </si>
  <si>
    <t>Sky Cinema Comedy HD</t>
  </si>
  <si>
    <t>Sky Cinema Crime &amp; Thriller HD</t>
  </si>
  <si>
    <t>Sky Cinema Drama &amp; Romance HD</t>
  </si>
  <si>
    <t>Sky Cinema Sci Fi &amp; Horror HD</t>
  </si>
  <si>
    <t>Sky Cinema Select HD</t>
  </si>
  <si>
    <t>TCM</t>
  </si>
  <si>
    <t>TCM HD</t>
  </si>
  <si>
    <t>TCM +1</t>
  </si>
  <si>
    <t>Movies 24</t>
  </si>
  <si>
    <t>Movies 24+</t>
  </si>
  <si>
    <t>True Movies 1</t>
  </si>
  <si>
    <t>Sony Movie Channel</t>
  </si>
  <si>
    <t>Movies4Men</t>
  </si>
  <si>
    <t>Film4</t>
  </si>
  <si>
    <t>Film4 HD</t>
  </si>
  <si>
    <t>Film4 +1</t>
  </si>
  <si>
    <t>Sky Cinema Premiere</t>
  </si>
  <si>
    <t>Sky Cinema Premiere +1</t>
  </si>
  <si>
    <t>Sky Cinema Hits</t>
  </si>
  <si>
    <t>Sky Cinema Greats</t>
  </si>
  <si>
    <t>Sky Cinema Disney</t>
  </si>
  <si>
    <t>Sky Cinema Family</t>
  </si>
  <si>
    <t>Sky Cinema Action &amp; Adventure</t>
  </si>
  <si>
    <t>Sky Cinema Comedy</t>
  </si>
  <si>
    <t>Sky Cinema Crime &amp; Thriller</t>
  </si>
  <si>
    <t>Sky Cinema Drama &amp; Romance</t>
  </si>
  <si>
    <t>Sky Cinema Sci Fi &amp; Horror</t>
  </si>
  <si>
    <t>Sky Cinema Select</t>
  </si>
  <si>
    <t>Talking Pictures TV</t>
  </si>
  <si>
    <t>Sky Sports Main Event HD</t>
  </si>
  <si>
    <t>Sky Sports Premier League HD</t>
  </si>
  <si>
    <t>Sky Sports Football HD</t>
  </si>
  <si>
    <t>Sky Sports Cricket HD</t>
  </si>
  <si>
    <t>Sky Sports Golf HD</t>
  </si>
  <si>
    <t>Sky Sports F1 HD</t>
  </si>
  <si>
    <t>Sky Sports Action HD</t>
  </si>
  <si>
    <t>Sky Sports Arena HD</t>
  </si>
  <si>
    <t>Sky Sports News HD</t>
  </si>
  <si>
    <t>Sky Sports Mix HD</t>
  </si>
  <si>
    <t>Sky Sports Main Event</t>
  </si>
  <si>
    <t>Sky Sports Premier League</t>
  </si>
  <si>
    <t>Sky Sports Football</t>
  </si>
  <si>
    <t>Sky Sports Cricket</t>
  </si>
  <si>
    <t>Sky Sports Golf</t>
  </si>
  <si>
    <t>Sky Sports F1</t>
  </si>
  <si>
    <t>Sky Sports Action</t>
  </si>
  <si>
    <t>Sky Sports Arena</t>
  </si>
  <si>
    <t>Sky Sports News</t>
  </si>
  <si>
    <t>Sky Sports Mix</t>
  </si>
  <si>
    <t>Eurosport 1 HD</t>
  </si>
  <si>
    <t>Eurosport 2 HD</t>
  </si>
  <si>
    <t>Eurosport 1</t>
  </si>
  <si>
    <t>Eurosport 2</t>
  </si>
  <si>
    <t>MUTV</t>
  </si>
  <si>
    <t>BT Sport 1 HD</t>
  </si>
  <si>
    <t>BT Sport 2 HD</t>
  </si>
  <si>
    <t>BT Sport 3 HD</t>
  </si>
  <si>
    <t>BT Sport ESPN HD</t>
  </si>
  <si>
    <t>BT Sport 1</t>
  </si>
  <si>
    <t>BT Sport 2</t>
  </si>
  <si>
    <t>BT Sport 3</t>
  </si>
  <si>
    <t>BT Sport ESPN</t>
  </si>
  <si>
    <t>At The Races</t>
  </si>
  <si>
    <t>Racing UK</t>
  </si>
  <si>
    <t>Liverpool FC TV</t>
  </si>
  <si>
    <t>Motorsport.tv</t>
  </si>
  <si>
    <t>Box Nation</t>
  </si>
  <si>
    <t>BT Sport Freeview</t>
  </si>
  <si>
    <t>BBC News</t>
  </si>
  <si>
    <t>Sky News</t>
  </si>
  <si>
    <t>Sky News HD</t>
  </si>
  <si>
    <t>BBC News HD</t>
  </si>
  <si>
    <t>BBC Parliament</t>
  </si>
  <si>
    <t>CNN International</t>
  </si>
  <si>
    <t>Bloomberg</t>
  </si>
  <si>
    <t>CNBC Europe</t>
  </si>
  <si>
    <t>Euronews</t>
  </si>
  <si>
    <t>NDTV 24x7</t>
  </si>
  <si>
    <t>Al Jazeera English</t>
  </si>
  <si>
    <t>France 24</t>
  </si>
  <si>
    <t>NHK World HD</t>
  </si>
  <si>
    <t>CBBC</t>
  </si>
  <si>
    <t>CBeebies</t>
  </si>
  <si>
    <t>BabyTV</t>
  </si>
  <si>
    <t>Cartoon Network</t>
  </si>
  <si>
    <t>Cartoon Network +1</t>
  </si>
  <si>
    <t>Cartoonito</t>
  </si>
  <si>
    <t>Disney XD</t>
  </si>
  <si>
    <t>Disney XD +1</t>
  </si>
  <si>
    <t>CBBC HD</t>
  </si>
  <si>
    <t>CBeebies HD</t>
  </si>
  <si>
    <t>Nickelodeon</t>
  </si>
  <si>
    <t>Nick +1</t>
  </si>
  <si>
    <t>Nick HD</t>
  </si>
  <si>
    <t>Nick Jr.</t>
  </si>
  <si>
    <t>Nick Jr. Too</t>
  </si>
  <si>
    <t>Nicktoons</t>
  </si>
  <si>
    <t>Disney Channel</t>
  </si>
  <si>
    <t>Disney Channel +1</t>
  </si>
  <si>
    <t>Disney Junior</t>
  </si>
  <si>
    <t>Boomerang</t>
  </si>
  <si>
    <t>Boomerang +1</t>
  </si>
  <si>
    <t>Cartoon Network HD</t>
  </si>
  <si>
    <t>CITV</t>
  </si>
  <si>
    <t>BabyFirst</t>
  </si>
  <si>
    <t>POP</t>
  </si>
  <si>
    <t>Tiny Pop</t>
  </si>
  <si>
    <t>QVC</t>
  </si>
  <si>
    <t>QVC Beauty</t>
  </si>
  <si>
    <t>QVC Style</t>
  </si>
  <si>
    <t>Ideal World</t>
  </si>
  <si>
    <t>Create and Craft</t>
  </si>
  <si>
    <t>Gems TV</t>
  </si>
  <si>
    <t>Jewellery Maker</t>
  </si>
  <si>
    <t>TJC</t>
  </si>
  <si>
    <t>Star Gold</t>
  </si>
  <si>
    <t>Star Utsav</t>
  </si>
  <si>
    <t>Star Plus</t>
  </si>
  <si>
    <t>Star Bharat</t>
  </si>
  <si>
    <t>SET</t>
  </si>
  <si>
    <t>MAX</t>
  </si>
  <si>
    <t>SAB</t>
  </si>
  <si>
    <t>Zee TV</t>
  </si>
  <si>
    <t>Zee Cinema</t>
  </si>
  <si>
    <t>Zee Punjabi</t>
  </si>
  <si>
    <t>Zing</t>
  </si>
  <si>
    <t>B4U Movies</t>
  </si>
  <si>
    <t>B4U Music</t>
  </si>
  <si>
    <t>TV5 MONDE</t>
  </si>
  <si>
    <t>Colors TV</t>
  </si>
  <si>
    <t>Rishtey</t>
  </si>
  <si>
    <t>Rishtey Cineplex</t>
  </si>
  <si>
    <t>NDTV Good Times</t>
  </si>
  <si>
    <t>UTV Movies</t>
  </si>
  <si>
    <t>Al Jazeera Arabic</t>
  </si>
  <si>
    <t>France 24 French</t>
  </si>
  <si>
    <t>Hum Europe</t>
  </si>
  <si>
    <t>Nigeria</t>
  </si>
  <si>
    <t>NDTV India</t>
  </si>
  <si>
    <t>NDTV Spice</t>
  </si>
  <si>
    <t>Islam Channel UK</t>
  </si>
  <si>
    <t>Islam Channel Urdu</t>
  </si>
  <si>
    <t>Brit Asia TV</t>
  </si>
  <si>
    <t>MTV Beats</t>
  </si>
  <si>
    <t>ABN TV</t>
  </si>
  <si>
    <t>BBC OneAudio Description</t>
  </si>
  <si>
    <t>BBC TwoAudio Description</t>
  </si>
  <si>
    <t>ITVAudio Description</t>
  </si>
  <si>
    <t>Channel 4Audio Description</t>
  </si>
  <si>
    <t>Channel 5Audio Description</t>
  </si>
  <si>
    <t>S4CAudio Description</t>
  </si>
  <si>
    <t>BBC One England</t>
  </si>
  <si>
    <t>BBC One Scotland</t>
  </si>
  <si>
    <t>BBC One Northern Ireland</t>
  </si>
  <si>
    <t>BBC One Wales</t>
  </si>
  <si>
    <t>BBC Two England</t>
  </si>
  <si>
    <t>BBC Radio 1</t>
  </si>
  <si>
    <t>BBC Radio 2</t>
  </si>
  <si>
    <t>BBC Radio 3</t>
  </si>
  <si>
    <t>BBC Radio 4 FM</t>
  </si>
  <si>
    <t>BBC Radio 5 Live</t>
  </si>
  <si>
    <t>BBC World Service</t>
  </si>
  <si>
    <t>BBC Radio 1Xtra</t>
  </si>
  <si>
    <t>BBC Radio 5 Live Sports Extra</t>
  </si>
  <si>
    <t>BBC Radio 6 Music</t>
  </si>
  <si>
    <t>BBC Radio 4 Extra</t>
  </si>
  <si>
    <t>BBC Radio 4 Long Wave</t>
  </si>
  <si>
    <t>BBC Asian Network</t>
  </si>
  <si>
    <t>BBC Local Radio</t>
  </si>
  <si>
    <t>Absolute Radio</t>
  </si>
  <si>
    <t>Smooth Radio</t>
  </si>
  <si>
    <t>RTÉ Radio</t>
  </si>
  <si>
    <t>Heart FM</t>
  </si>
  <si>
    <t>LBC News</t>
  </si>
  <si>
    <t>World Radio Network</t>
  </si>
  <si>
    <t>Heart 80s</t>
  </si>
  <si>
    <t>Classic FM</t>
  </si>
  <si>
    <t>Planet Rock</t>
  </si>
  <si>
    <t>Talksport</t>
  </si>
  <si>
    <t>Magic Radio</t>
  </si>
  <si>
    <t>BBC Radio Scotland</t>
  </si>
  <si>
    <t>BBC Radio Wales</t>
  </si>
  <si>
    <t>BBC Radio Ulster</t>
  </si>
  <si>
    <t>BBC Radio nan Gàidheal</t>
  </si>
  <si>
    <t>BBC Radio Cymru</t>
  </si>
  <si>
    <t>Absolute Radio 80s</t>
  </si>
  <si>
    <t>Absolute Classic Rock</t>
  </si>
  <si>
    <t>Capital FM</t>
  </si>
  <si>
    <t>Capital XTRA</t>
  </si>
  <si>
    <t>Radio X</t>
  </si>
  <si>
    <t>Kiss FM</t>
  </si>
  <si>
    <t>Television XNightly</t>
  </si>
  <si>
    <t>Adult Channel</t>
  </si>
  <si>
    <t>Xrated 40+</t>
  </si>
  <si>
    <t>Television X</t>
  </si>
  <si>
    <t>Playboy TV</t>
  </si>
  <si>
    <t/>
  </si>
  <si>
    <t>HD Auto</t>
  </si>
  <si>
    <t>Entry</t>
  </si>
  <si>
    <t>RTÉ One</t>
  </si>
  <si>
    <t>RTÉ2</t>
  </si>
  <si>
    <t>TG4</t>
  </si>
  <si>
    <t>media_player.family_room</t>
  </si>
  <si>
    <t>Virgin V6</t>
  </si>
  <si>
    <t>Virgin Tivo</t>
  </si>
  <si>
    <t>CCTV</t>
  </si>
  <si>
    <t>https://www.freeview.co.uk/app/themes/freeview/assets/images/channels/entertainment/rteone.png</t>
  </si>
  <si>
    <t>Paramount Network HD</t>
  </si>
  <si>
    <t>True Entertainment</t>
  </si>
  <si>
    <t>Premier Sports HD</t>
  </si>
  <si>
    <t>Your TV HD</t>
  </si>
  <si>
    <t>Freesports</t>
  </si>
  <si>
    <t>True Entertainment +1</t>
  </si>
  <si>
    <t>Vice</t>
  </si>
  <si>
    <t>Quest HD</t>
  </si>
  <si>
    <t>Crime + Investigation HD</t>
  </si>
  <si>
    <t>History HD</t>
  </si>
  <si>
    <t>Lifetime +1</t>
  </si>
  <si>
    <t>Love Nature HD</t>
  </si>
  <si>
    <t>ZooMoo</t>
  </si>
  <si>
    <t>Love Nature</t>
  </si>
  <si>
    <t>Together</t>
  </si>
  <si>
    <t>Horse &amp; Country</t>
  </si>
  <si>
    <t>https://www.freeview.co.uk/app/themes/freeview/assets/images/channels/entertainment/rtetwo.png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</si>
</sst>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0" fillId="0" borderId="0" xfId="0" quotePrefix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0</xdr:row>
          <xdr:rowOff>30480</xdr:rowOff>
        </xdr:from>
        <xdr:to>
          <xdr:col>15</xdr:col>
          <xdr:colOff>579120</xdr:colOff>
          <xdr:row>0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eeview.co.uk/app/themes/freeview/assets/images/channels/entertainment/rtetwo.png" TargetMode="External"/><Relationship Id="rId1" Type="http://schemas.openxmlformats.org/officeDocument/2006/relationships/hyperlink" Target="https://www.freeview.co.uk/app/themes/freeview/assets/images/channels/entertainment/rteone.pn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7"/>
  <sheetViews>
    <sheetView tabSelected="1" workbookViewId="0">
      <pane ySplit="1" topLeftCell="A309" activePane="bottomLeft" state="frozen"/>
      <selection pane="bottomLeft" activeCell="B320" sqref="B320"/>
    </sheetView>
  </sheetViews>
  <sheetFormatPr defaultRowHeight="14.4" x14ac:dyDescent="0.3"/>
  <cols>
    <col min="3" max="3" width="20.88671875" customWidth="1"/>
  </cols>
  <sheetData>
    <row r="1" spans="1:15" s="1" customFormat="1" x14ac:dyDescent="0.3">
      <c r="A1" s="1" t="s">
        <v>2</v>
      </c>
      <c r="B1" s="1" t="s">
        <v>1</v>
      </c>
      <c r="C1" s="1" t="s">
        <v>3</v>
      </c>
      <c r="D1" s="1" t="s">
        <v>4</v>
      </c>
      <c r="E1" s="1" t="s">
        <v>6</v>
      </c>
      <c r="F1" s="1" t="s">
        <v>5</v>
      </c>
      <c r="G1" s="1" t="s">
        <v>7</v>
      </c>
      <c r="H1" s="1" t="s">
        <v>8</v>
      </c>
      <c r="L1" s="1" t="s">
        <v>394</v>
      </c>
      <c r="M1" s="1" t="str">
        <f>"+1 Auto"</f>
        <v>+1 Auto</v>
      </c>
      <c r="O1" s="1" t="s">
        <v>395</v>
      </c>
    </row>
    <row r="2" spans="1:15" x14ac:dyDescent="0.3">
      <c r="A2">
        <v>100</v>
      </c>
      <c r="B2" t="s">
        <v>9</v>
      </c>
      <c r="E2" t="s">
        <v>393</v>
      </c>
      <c r="J2" t="str">
        <f>B2</f>
        <v>Virgin Media Previews</v>
      </c>
      <c r="K2">
        <f>A2</f>
        <v>100</v>
      </c>
      <c r="L2" t="str">
        <f t="shared" ref="L2:L65" si="0">IF(NOT(ISERROR(VLOOKUP(B2&amp;" HD",B:B,1,FALSE))),VLOOKUP(B2&amp;" HD",J:K,2,FALSE),"")</f>
        <v/>
      </c>
      <c r="M2" t="str">
        <f t="shared" ref="M2:M65" si="1">IF(NOT(ISERROR(VLOOKUP(B2&amp;" +1",B:B,1,FALSE))),VLOOKUP(B2&amp;" +1",J:K,2,FALSE),"")</f>
        <v/>
      </c>
      <c r="O2" t="str">
        <f>SUBSTITUTE(CONCATENATE("      ",A2,":","\nname: ",IF(ISERROR(FIND("&amp;",B2)),"","'"),B2,IF(ISERROR(FIND("&amp;",B2)),"","'"),IF(C2&lt;&gt;"","\nshow: "&amp;C2,""),IF(D2&lt;&gt;"","\nhd_channel: "&amp;D2,""),IF(E2&lt;&gt;"","\nplus_one: "&amp;E2,""),IF(F2&lt;&gt;"","\nlogo: "&amp;F2,""),IF(G2&lt;&gt;"","\ntarget: "&amp;G2,""),IF(H2&lt;&gt;"","\nsource: "&amp;H2,"")),"\n",CHAR(10)&amp;"        ")</f>
        <v xml:space="preserve">      100:
        name: Virgin Media Previews</v>
      </c>
    </row>
    <row r="3" spans="1:15" x14ac:dyDescent="0.3">
      <c r="A3">
        <v>101</v>
      </c>
      <c r="B3" t="s">
        <v>24</v>
      </c>
      <c r="C3" t="str">
        <f>"true"</f>
        <v>true</v>
      </c>
      <c r="D3">
        <v>108</v>
      </c>
      <c r="E3" t="s">
        <v>393</v>
      </c>
      <c r="J3" t="str">
        <f t="shared" ref="J3:J66" si="2">B3</f>
        <v>BBC One</v>
      </c>
      <c r="K3">
        <f t="shared" ref="K3:K66" si="3">A3</f>
        <v>101</v>
      </c>
      <c r="L3">
        <f t="shared" si="0"/>
        <v>108</v>
      </c>
      <c r="M3" t="str">
        <f t="shared" si="1"/>
        <v/>
      </c>
      <c r="O3" t="str">
        <f t="shared" ref="O3:O66" si="4">SUBSTITUTE(CONCATENATE("      ",A3,":","\nname: ",IF(ISERROR(FIND("&amp;",B3)),"","'"),B3,IF(ISERROR(FIND("&amp;",B3)),"","'"),IF(C3&lt;&gt;"","\nshow: "&amp;C3,""),IF(D3&lt;&gt;"","\nhd_channel: "&amp;D3,""),IF(E3&lt;&gt;"","\nplus_one: "&amp;E3,""),IF(F3&lt;&gt;"","\nlogo: "&amp;F3,""),IF(G3&lt;&gt;"","\ntarget: "&amp;G3,""),IF(H3&lt;&gt;"","\nsource: "&amp;H3,"")),"\n",CHAR(10)&amp;"        ")</f>
        <v xml:space="preserve">      101:
        name: BBC One
        show: true
        hd_channel: 108</v>
      </c>
    </row>
    <row r="4" spans="1:15" x14ac:dyDescent="0.3">
      <c r="A4">
        <v>102</v>
      </c>
      <c r="B4" t="s">
        <v>25</v>
      </c>
      <c r="C4" t="str">
        <f t="shared" ref="C4:C8" si="5">"true"</f>
        <v>true</v>
      </c>
      <c r="D4">
        <v>162</v>
      </c>
      <c r="E4" t="s">
        <v>393</v>
      </c>
      <c r="J4" t="str">
        <f t="shared" si="2"/>
        <v>BBC Two</v>
      </c>
      <c r="K4">
        <f t="shared" si="3"/>
        <v>102</v>
      </c>
      <c r="L4">
        <f t="shared" si="0"/>
        <v>162</v>
      </c>
      <c r="M4" t="str">
        <f t="shared" si="1"/>
        <v/>
      </c>
      <c r="O4" t="str">
        <f t="shared" si="4"/>
        <v xml:space="preserve">      102:
        name: BBC Two
        show: true
        hd_channel: 162</v>
      </c>
    </row>
    <row r="5" spans="1:15" x14ac:dyDescent="0.3">
      <c r="A5">
        <v>103</v>
      </c>
      <c r="B5" t="s">
        <v>26</v>
      </c>
      <c r="C5" t="str">
        <f t="shared" si="5"/>
        <v>true</v>
      </c>
      <c r="D5">
        <v>113</v>
      </c>
      <c r="E5">
        <v>114</v>
      </c>
      <c r="J5" t="str">
        <f t="shared" si="2"/>
        <v>ITV</v>
      </c>
      <c r="K5">
        <f t="shared" si="3"/>
        <v>103</v>
      </c>
      <c r="L5">
        <f t="shared" si="0"/>
        <v>113</v>
      </c>
      <c r="M5">
        <f t="shared" si="1"/>
        <v>114</v>
      </c>
      <c r="O5" t="str">
        <f t="shared" si="4"/>
        <v xml:space="preserve">      103:
        name: ITV
        show: true
        hd_channel: 113
        plus_one: 114</v>
      </c>
    </row>
    <row r="6" spans="1:15" x14ac:dyDescent="0.3">
      <c r="A6">
        <v>104</v>
      </c>
      <c r="B6" t="s">
        <v>27</v>
      </c>
      <c r="C6" t="str">
        <f t="shared" si="5"/>
        <v>true</v>
      </c>
      <c r="D6">
        <v>141</v>
      </c>
      <c r="E6">
        <v>142</v>
      </c>
      <c r="J6" t="str">
        <f t="shared" si="2"/>
        <v>Channel 4</v>
      </c>
      <c r="K6">
        <f t="shared" si="3"/>
        <v>104</v>
      </c>
      <c r="L6">
        <f t="shared" si="0"/>
        <v>141</v>
      </c>
      <c r="M6">
        <f t="shared" si="1"/>
        <v>142</v>
      </c>
      <c r="O6" t="str">
        <f t="shared" si="4"/>
        <v xml:space="preserve">      104:
        name: Channel 4
        show: true
        hd_channel: 141
        plus_one: 142</v>
      </c>
    </row>
    <row r="7" spans="1:15" x14ac:dyDescent="0.3">
      <c r="A7">
        <v>105</v>
      </c>
      <c r="B7" t="s">
        <v>28</v>
      </c>
      <c r="C7" t="str">
        <f t="shared" si="5"/>
        <v>true</v>
      </c>
      <c r="D7">
        <v>150</v>
      </c>
      <c r="E7">
        <v>155</v>
      </c>
      <c r="J7" t="str">
        <f t="shared" si="2"/>
        <v>Channel 5</v>
      </c>
      <c r="K7">
        <f t="shared" si="3"/>
        <v>105</v>
      </c>
      <c r="L7">
        <f t="shared" si="0"/>
        <v>150</v>
      </c>
      <c r="M7">
        <f t="shared" si="1"/>
        <v>155</v>
      </c>
      <c r="O7" t="str">
        <f t="shared" si="4"/>
        <v xml:space="preserve">      105:
        name: Channel 5
        show: true
        hd_channel: 150
        plus_one: 155</v>
      </c>
    </row>
    <row r="8" spans="1:15" x14ac:dyDescent="0.3">
      <c r="A8">
        <v>106</v>
      </c>
      <c r="B8" t="s">
        <v>29</v>
      </c>
      <c r="C8" t="str">
        <f t="shared" si="5"/>
        <v>true</v>
      </c>
      <c r="D8">
        <v>145</v>
      </c>
      <c r="E8">
        <v>146</v>
      </c>
      <c r="J8" t="str">
        <f t="shared" si="2"/>
        <v>E4</v>
      </c>
      <c r="K8">
        <f t="shared" si="3"/>
        <v>106</v>
      </c>
      <c r="L8">
        <f t="shared" si="0"/>
        <v>145</v>
      </c>
      <c r="M8">
        <f t="shared" si="1"/>
        <v>146</v>
      </c>
      <c r="O8" t="str">
        <f t="shared" si="4"/>
        <v xml:space="preserve">      106:
        name: E4
        show: true
        hd_channel: 145
        plus_one: 146</v>
      </c>
    </row>
    <row r="9" spans="1:15" x14ac:dyDescent="0.3">
      <c r="A9">
        <v>107</v>
      </c>
      <c r="B9" t="s">
        <v>30</v>
      </c>
      <c r="D9">
        <v>163</v>
      </c>
      <c r="E9" t="s">
        <v>393</v>
      </c>
      <c r="J9" t="str">
        <f t="shared" si="2"/>
        <v>BBC Four</v>
      </c>
      <c r="K9">
        <f t="shared" si="3"/>
        <v>107</v>
      </c>
      <c r="L9">
        <f t="shared" si="0"/>
        <v>163</v>
      </c>
      <c r="M9" t="str">
        <f t="shared" si="1"/>
        <v/>
      </c>
      <c r="O9" t="str">
        <f t="shared" si="4"/>
        <v xml:space="preserve">      107:
        name: BBC Four
        hd_channel: 163</v>
      </c>
    </row>
    <row r="10" spans="1:15" x14ac:dyDescent="0.3">
      <c r="A10">
        <v>108</v>
      </c>
      <c r="B10" t="s">
        <v>31</v>
      </c>
      <c r="D10" t="s">
        <v>393</v>
      </c>
      <c r="E10" t="s">
        <v>393</v>
      </c>
      <c r="J10" t="str">
        <f t="shared" si="2"/>
        <v>BBC One HD</v>
      </c>
      <c r="K10">
        <f t="shared" si="3"/>
        <v>108</v>
      </c>
      <c r="L10" t="str">
        <f t="shared" si="0"/>
        <v/>
      </c>
      <c r="M10" t="str">
        <f t="shared" si="1"/>
        <v/>
      </c>
      <c r="O10" t="str">
        <f t="shared" si="4"/>
        <v xml:space="preserve">      108:
        name: BBC One HD</v>
      </c>
    </row>
    <row r="11" spans="1:15" x14ac:dyDescent="0.3">
      <c r="A11">
        <v>109</v>
      </c>
      <c r="B11" t="s">
        <v>32</v>
      </c>
      <c r="D11" t="s">
        <v>393</v>
      </c>
      <c r="E11" t="s">
        <v>393</v>
      </c>
      <c r="J11" t="str">
        <f t="shared" si="2"/>
        <v>Sky 1 HD</v>
      </c>
      <c r="K11">
        <f t="shared" si="3"/>
        <v>109</v>
      </c>
      <c r="L11" t="str">
        <f t="shared" si="0"/>
        <v/>
      </c>
      <c r="M11" t="str">
        <f t="shared" si="1"/>
        <v/>
      </c>
      <c r="O11" t="str">
        <f t="shared" si="4"/>
        <v xml:space="preserve">      109:
        name: Sky 1 HD</v>
      </c>
    </row>
    <row r="12" spans="1:15" x14ac:dyDescent="0.3">
      <c r="A12">
        <v>110</v>
      </c>
      <c r="B12" t="s">
        <v>33</v>
      </c>
      <c r="C12" t="str">
        <f t="shared" ref="C12" si="6">"true"</f>
        <v>true</v>
      </c>
      <c r="D12">
        <v>109</v>
      </c>
      <c r="E12" t="s">
        <v>393</v>
      </c>
      <c r="J12" t="str">
        <f t="shared" si="2"/>
        <v>Sky 1</v>
      </c>
      <c r="K12">
        <f t="shared" si="3"/>
        <v>110</v>
      </c>
      <c r="L12">
        <f t="shared" si="0"/>
        <v>109</v>
      </c>
      <c r="M12" t="str">
        <f t="shared" si="1"/>
        <v/>
      </c>
      <c r="O12" t="str">
        <f t="shared" si="4"/>
        <v xml:space="preserve">      110:
        name: Sky 1
        show: true
        hd_channel: 109</v>
      </c>
    </row>
    <row r="13" spans="1:15" x14ac:dyDescent="0.3">
      <c r="A13">
        <v>111</v>
      </c>
      <c r="B13" t="s">
        <v>34</v>
      </c>
      <c r="D13" t="s">
        <v>393</v>
      </c>
      <c r="E13" t="s">
        <v>393</v>
      </c>
      <c r="J13" t="str">
        <f t="shared" si="2"/>
        <v>Sky Living HD</v>
      </c>
      <c r="K13">
        <f t="shared" si="3"/>
        <v>111</v>
      </c>
      <c r="L13" t="str">
        <f t="shared" si="0"/>
        <v/>
      </c>
      <c r="M13" t="str">
        <f t="shared" si="1"/>
        <v/>
      </c>
      <c r="O13" t="str">
        <f t="shared" si="4"/>
        <v xml:space="preserve">      111:
        name: Sky Living HD</v>
      </c>
    </row>
    <row r="14" spans="1:15" x14ac:dyDescent="0.3">
      <c r="A14">
        <v>112</v>
      </c>
      <c r="B14" t="s">
        <v>35</v>
      </c>
      <c r="D14">
        <v>111</v>
      </c>
      <c r="E14">
        <v>140</v>
      </c>
      <c r="J14" t="str">
        <f t="shared" si="2"/>
        <v>Sky Living</v>
      </c>
      <c r="K14">
        <f t="shared" si="3"/>
        <v>112</v>
      </c>
      <c r="L14">
        <f t="shared" si="0"/>
        <v>111</v>
      </c>
      <c r="M14">
        <f t="shared" si="1"/>
        <v>140</v>
      </c>
      <c r="O14" t="str">
        <f t="shared" si="4"/>
        <v xml:space="preserve">      112:
        name: Sky Living
        hd_channel: 111
        plus_one: 140</v>
      </c>
    </row>
    <row r="15" spans="1:15" x14ac:dyDescent="0.3">
      <c r="A15">
        <v>113</v>
      </c>
      <c r="B15" t="s">
        <v>36</v>
      </c>
      <c r="D15" t="s">
        <v>393</v>
      </c>
      <c r="E15" t="s">
        <v>393</v>
      </c>
      <c r="J15" t="str">
        <f t="shared" si="2"/>
        <v>ITV HD</v>
      </c>
      <c r="K15">
        <f t="shared" si="3"/>
        <v>113</v>
      </c>
      <c r="L15" t="str">
        <f t="shared" si="0"/>
        <v/>
      </c>
      <c r="M15" t="str">
        <f t="shared" si="1"/>
        <v/>
      </c>
      <c r="O15" t="str">
        <f t="shared" si="4"/>
        <v xml:space="preserve">      113:
        name: ITV HD</v>
      </c>
    </row>
    <row r="16" spans="1:15" x14ac:dyDescent="0.3">
      <c r="A16">
        <v>114</v>
      </c>
      <c r="B16" t="s">
        <v>37</v>
      </c>
      <c r="D16" t="s">
        <v>393</v>
      </c>
      <c r="E16" t="s">
        <v>393</v>
      </c>
      <c r="J16" t="str">
        <f t="shared" si="2"/>
        <v>ITV +1</v>
      </c>
      <c r="K16">
        <f t="shared" si="3"/>
        <v>114</v>
      </c>
      <c r="L16" t="str">
        <f t="shared" si="0"/>
        <v/>
      </c>
      <c r="M16" t="str">
        <f t="shared" si="1"/>
        <v/>
      </c>
      <c r="O16" t="str">
        <f t="shared" si="4"/>
        <v xml:space="preserve">      114:
        name: ITV +1</v>
      </c>
    </row>
    <row r="17" spans="1:15" x14ac:dyDescent="0.3">
      <c r="A17">
        <v>115</v>
      </c>
      <c r="B17" t="s">
        <v>38</v>
      </c>
      <c r="C17" t="str">
        <f t="shared" ref="C17" si="7">"true"</f>
        <v>true</v>
      </c>
      <c r="D17">
        <v>176</v>
      </c>
      <c r="E17">
        <v>116</v>
      </c>
      <c r="J17" t="str">
        <f t="shared" si="2"/>
        <v>ITV2</v>
      </c>
      <c r="K17">
        <f t="shared" si="3"/>
        <v>115</v>
      </c>
      <c r="L17">
        <f t="shared" si="0"/>
        <v>176</v>
      </c>
      <c r="M17">
        <f t="shared" si="1"/>
        <v>116</v>
      </c>
      <c r="O17" t="str">
        <f t="shared" si="4"/>
        <v xml:space="preserve">      115:
        name: ITV2
        show: true
        hd_channel: 176
        plus_one: 116</v>
      </c>
    </row>
    <row r="18" spans="1:15" x14ac:dyDescent="0.3">
      <c r="A18">
        <v>116</v>
      </c>
      <c r="B18" t="s">
        <v>39</v>
      </c>
      <c r="D18" t="s">
        <v>393</v>
      </c>
      <c r="E18" t="s">
        <v>393</v>
      </c>
      <c r="J18" t="str">
        <f t="shared" si="2"/>
        <v>ITV2 +1</v>
      </c>
      <c r="K18">
        <f t="shared" si="3"/>
        <v>116</v>
      </c>
      <c r="L18" t="str">
        <f t="shared" si="0"/>
        <v/>
      </c>
      <c r="M18" t="str">
        <f t="shared" si="1"/>
        <v/>
      </c>
      <c r="O18" t="str">
        <f t="shared" si="4"/>
        <v xml:space="preserve">      116:
        name: ITV2 +1</v>
      </c>
    </row>
    <row r="19" spans="1:15" x14ac:dyDescent="0.3">
      <c r="A19">
        <v>117</v>
      </c>
      <c r="B19" t="s">
        <v>40</v>
      </c>
      <c r="C19" t="str">
        <f t="shared" ref="C19:C20" si="8">"true"</f>
        <v>true</v>
      </c>
      <c r="D19">
        <v>177</v>
      </c>
      <c r="E19">
        <v>174</v>
      </c>
      <c r="J19" t="str">
        <f t="shared" si="2"/>
        <v>ITV3</v>
      </c>
      <c r="K19">
        <f t="shared" si="3"/>
        <v>117</v>
      </c>
      <c r="L19">
        <f t="shared" si="0"/>
        <v>177</v>
      </c>
      <c r="M19">
        <f t="shared" si="1"/>
        <v>174</v>
      </c>
      <c r="O19" t="str">
        <f t="shared" si="4"/>
        <v xml:space="preserve">      117:
        name: ITV3
        show: true
        hd_channel: 177
        plus_one: 174</v>
      </c>
    </row>
    <row r="20" spans="1:15" x14ac:dyDescent="0.3">
      <c r="A20">
        <v>118</v>
      </c>
      <c r="B20" t="s">
        <v>41</v>
      </c>
      <c r="C20" t="str">
        <f t="shared" si="8"/>
        <v>true</v>
      </c>
      <c r="D20">
        <v>178</v>
      </c>
      <c r="E20">
        <v>175</v>
      </c>
      <c r="J20" t="str">
        <f t="shared" si="2"/>
        <v>ITV4</v>
      </c>
      <c r="K20">
        <f t="shared" si="3"/>
        <v>118</v>
      </c>
      <c r="L20">
        <f t="shared" si="0"/>
        <v>178</v>
      </c>
      <c r="M20">
        <f t="shared" si="1"/>
        <v>175</v>
      </c>
      <c r="O20" t="str">
        <f t="shared" si="4"/>
        <v xml:space="preserve">      118:
        name: ITV4
        show: true
        hd_channel: 178
        plus_one: 175</v>
      </c>
    </row>
    <row r="21" spans="1:15" x14ac:dyDescent="0.3">
      <c r="A21">
        <v>119</v>
      </c>
      <c r="B21" t="s">
        <v>42</v>
      </c>
      <c r="D21">
        <v>179</v>
      </c>
      <c r="E21">
        <v>120</v>
      </c>
      <c r="J21" t="str">
        <f t="shared" si="2"/>
        <v>ITVBe</v>
      </c>
      <c r="K21">
        <f t="shared" si="3"/>
        <v>119</v>
      </c>
      <c r="L21">
        <f t="shared" si="0"/>
        <v>179</v>
      </c>
      <c r="M21">
        <f t="shared" si="1"/>
        <v>120</v>
      </c>
      <c r="O21" t="str">
        <f t="shared" si="4"/>
        <v xml:space="preserve">      119:
        name: ITVBe
        hd_channel: 179
        plus_one: 120</v>
      </c>
    </row>
    <row r="22" spans="1:15" x14ac:dyDescent="0.3">
      <c r="A22">
        <v>120</v>
      </c>
      <c r="B22" t="s">
        <v>43</v>
      </c>
      <c r="D22" t="s">
        <v>393</v>
      </c>
      <c r="E22" t="s">
        <v>393</v>
      </c>
      <c r="J22" t="str">
        <f t="shared" si="2"/>
        <v>ITVBe +1</v>
      </c>
      <c r="K22">
        <f t="shared" si="3"/>
        <v>120</v>
      </c>
      <c r="L22" t="str">
        <f t="shared" si="0"/>
        <v/>
      </c>
      <c r="M22" t="str">
        <f t="shared" si="1"/>
        <v/>
      </c>
      <c r="O22" t="str">
        <f t="shared" si="4"/>
        <v xml:space="preserve">      120:
        name: ITVBe +1</v>
      </c>
    </row>
    <row r="23" spans="1:15" x14ac:dyDescent="0.3">
      <c r="A23">
        <v>121</v>
      </c>
      <c r="B23" t="s">
        <v>44</v>
      </c>
      <c r="C23" t="str">
        <f t="shared" ref="C23" si="9">"true"</f>
        <v>true</v>
      </c>
      <c r="D23" t="s">
        <v>393</v>
      </c>
      <c r="E23" t="s">
        <v>393</v>
      </c>
      <c r="J23" t="str">
        <f t="shared" si="2"/>
        <v>Sky 2</v>
      </c>
      <c r="K23">
        <f t="shared" si="3"/>
        <v>121</v>
      </c>
      <c r="L23" t="str">
        <f t="shared" si="0"/>
        <v/>
      </c>
      <c r="M23" t="str">
        <f t="shared" si="1"/>
        <v/>
      </c>
      <c r="O23" t="str">
        <f t="shared" si="4"/>
        <v xml:space="preserve">      121:
        name: Sky 2
        show: true</v>
      </c>
    </row>
    <row r="24" spans="1:15" x14ac:dyDescent="0.3">
      <c r="A24">
        <v>122</v>
      </c>
      <c r="B24" t="s">
        <v>45</v>
      </c>
      <c r="D24">
        <v>206</v>
      </c>
      <c r="E24" t="s">
        <v>393</v>
      </c>
      <c r="J24" t="str">
        <f t="shared" si="2"/>
        <v>Sky Arts</v>
      </c>
      <c r="K24">
        <f t="shared" si="3"/>
        <v>122</v>
      </c>
      <c r="L24">
        <f t="shared" si="0"/>
        <v>206</v>
      </c>
      <c r="M24" t="str">
        <f t="shared" si="1"/>
        <v/>
      </c>
      <c r="O24" t="str">
        <f t="shared" si="4"/>
        <v xml:space="preserve">      122:
        name: Sky Arts
        hd_channel: 206</v>
      </c>
    </row>
    <row r="25" spans="1:15" x14ac:dyDescent="0.3">
      <c r="A25">
        <v>123</v>
      </c>
      <c r="B25" t="s">
        <v>46</v>
      </c>
      <c r="D25" t="s">
        <v>393</v>
      </c>
      <c r="E25" t="s">
        <v>393</v>
      </c>
      <c r="J25" t="str">
        <f t="shared" si="2"/>
        <v>Pick</v>
      </c>
      <c r="K25">
        <f t="shared" si="3"/>
        <v>123</v>
      </c>
      <c r="L25" t="str">
        <f t="shared" si="0"/>
        <v/>
      </c>
      <c r="M25" t="str">
        <f t="shared" si="1"/>
        <v/>
      </c>
      <c r="O25" t="str">
        <f t="shared" si="4"/>
        <v xml:space="preserve">      123:
        name: Pick</v>
      </c>
    </row>
    <row r="26" spans="1:15" x14ac:dyDescent="0.3">
      <c r="A26">
        <v>124</v>
      </c>
      <c r="B26" t="s">
        <v>47</v>
      </c>
      <c r="C26" t="str">
        <f t="shared" ref="C26" si="10">"true"</f>
        <v>true</v>
      </c>
      <c r="D26" t="s">
        <v>393</v>
      </c>
      <c r="E26">
        <v>190</v>
      </c>
      <c r="J26" t="str">
        <f t="shared" si="2"/>
        <v>Gold</v>
      </c>
      <c r="K26">
        <f t="shared" si="3"/>
        <v>124</v>
      </c>
      <c r="L26" t="str">
        <f t="shared" si="0"/>
        <v/>
      </c>
      <c r="M26">
        <f t="shared" si="1"/>
        <v>190</v>
      </c>
      <c r="O26" t="str">
        <f t="shared" si="4"/>
        <v xml:space="preserve">      124:
        name: Gold
        show: true
        plus_one: 190</v>
      </c>
    </row>
    <row r="27" spans="1:15" x14ac:dyDescent="0.3">
      <c r="A27">
        <v>125</v>
      </c>
      <c r="B27" t="s">
        <v>48</v>
      </c>
      <c r="D27">
        <v>191</v>
      </c>
      <c r="E27">
        <v>131</v>
      </c>
      <c r="J27" t="str">
        <f t="shared" si="2"/>
        <v>W</v>
      </c>
      <c r="K27">
        <f t="shared" si="3"/>
        <v>125</v>
      </c>
      <c r="L27">
        <f t="shared" si="0"/>
        <v>191</v>
      </c>
      <c r="M27">
        <f t="shared" si="1"/>
        <v>131</v>
      </c>
      <c r="O27" t="str">
        <f t="shared" si="4"/>
        <v xml:space="preserve">      125:
        name: W
        hd_channel: 191
        plus_one: 131</v>
      </c>
    </row>
    <row r="28" spans="1:15" x14ac:dyDescent="0.3">
      <c r="A28">
        <v>126</v>
      </c>
      <c r="B28" t="s">
        <v>49</v>
      </c>
      <c r="C28" t="str">
        <f t="shared" ref="C28:C29" si="11">"true"</f>
        <v>true</v>
      </c>
      <c r="D28">
        <v>200</v>
      </c>
      <c r="E28">
        <v>130</v>
      </c>
      <c r="J28" t="str">
        <f t="shared" si="2"/>
        <v>alibi</v>
      </c>
      <c r="K28">
        <f t="shared" si="3"/>
        <v>126</v>
      </c>
      <c r="L28">
        <f t="shared" si="0"/>
        <v>200</v>
      </c>
      <c r="M28">
        <f t="shared" si="1"/>
        <v>130</v>
      </c>
      <c r="O28" t="str">
        <f t="shared" si="4"/>
        <v xml:space="preserve">      126:
        name: alibi
        show: true
        hd_channel: 200
        plus_one: 130</v>
      </c>
    </row>
    <row r="29" spans="1:15" x14ac:dyDescent="0.3">
      <c r="A29">
        <v>127</v>
      </c>
      <c r="B29" t="s">
        <v>50</v>
      </c>
      <c r="C29" t="str">
        <f t="shared" si="11"/>
        <v>true</v>
      </c>
      <c r="D29">
        <v>194</v>
      </c>
      <c r="E29" t="s">
        <v>393</v>
      </c>
      <c r="J29" t="str">
        <f t="shared" si="2"/>
        <v>Dave</v>
      </c>
      <c r="K29">
        <f t="shared" si="3"/>
        <v>127</v>
      </c>
      <c r="L29">
        <f t="shared" si="0"/>
        <v>194</v>
      </c>
      <c r="M29" t="str">
        <f t="shared" si="1"/>
        <v/>
      </c>
      <c r="O29" t="str">
        <f t="shared" si="4"/>
        <v xml:space="preserve">      127:
        name: Dave
        show: true
        hd_channel: 194</v>
      </c>
    </row>
    <row r="30" spans="1:15" x14ac:dyDescent="0.3">
      <c r="A30">
        <v>128</v>
      </c>
      <c r="B30" t="s">
        <v>51</v>
      </c>
      <c r="D30" t="s">
        <v>393</v>
      </c>
      <c r="E30" t="s">
        <v>393</v>
      </c>
      <c r="J30" t="str">
        <f t="shared" si="2"/>
        <v>Drama</v>
      </c>
      <c r="K30">
        <f t="shared" si="3"/>
        <v>128</v>
      </c>
      <c r="L30" t="str">
        <f t="shared" si="0"/>
        <v/>
      </c>
      <c r="M30" t="str">
        <f t="shared" si="1"/>
        <v/>
      </c>
      <c r="O30" t="str">
        <f t="shared" si="4"/>
        <v xml:space="preserve">      128:
        name: Drama</v>
      </c>
    </row>
    <row r="31" spans="1:15" x14ac:dyDescent="0.3">
      <c r="A31">
        <v>129</v>
      </c>
      <c r="B31" t="s">
        <v>52</v>
      </c>
      <c r="D31" t="s">
        <v>393</v>
      </c>
      <c r="E31" t="s">
        <v>393</v>
      </c>
      <c r="J31" t="str">
        <f t="shared" si="2"/>
        <v>Really</v>
      </c>
      <c r="K31">
        <f t="shared" si="3"/>
        <v>129</v>
      </c>
      <c r="L31" t="str">
        <f t="shared" si="0"/>
        <v/>
      </c>
      <c r="M31" t="str">
        <f t="shared" si="1"/>
        <v/>
      </c>
      <c r="O31" t="str">
        <f t="shared" si="4"/>
        <v xml:space="preserve">      129:
        name: Really</v>
      </c>
    </row>
    <row r="32" spans="1:15" x14ac:dyDescent="0.3">
      <c r="A32">
        <v>130</v>
      </c>
      <c r="B32" t="s">
        <v>53</v>
      </c>
      <c r="D32" t="s">
        <v>393</v>
      </c>
      <c r="E32" t="s">
        <v>393</v>
      </c>
      <c r="J32" t="str">
        <f t="shared" si="2"/>
        <v>alibi +1</v>
      </c>
      <c r="K32">
        <f t="shared" si="3"/>
        <v>130</v>
      </c>
      <c r="L32" t="str">
        <f t="shared" si="0"/>
        <v/>
      </c>
      <c r="M32" t="str">
        <f t="shared" si="1"/>
        <v/>
      </c>
      <c r="O32" t="str">
        <f t="shared" si="4"/>
        <v xml:space="preserve">      130:
        name: alibi +1</v>
      </c>
    </row>
    <row r="33" spans="1:15" x14ac:dyDescent="0.3">
      <c r="A33">
        <v>131</v>
      </c>
      <c r="B33" t="s">
        <v>54</v>
      </c>
      <c r="D33" t="s">
        <v>393</v>
      </c>
      <c r="E33" t="s">
        <v>393</v>
      </c>
      <c r="J33" t="str">
        <f t="shared" si="2"/>
        <v>W +1</v>
      </c>
      <c r="K33">
        <f t="shared" si="3"/>
        <v>131</v>
      </c>
      <c r="L33" t="str">
        <f t="shared" si="0"/>
        <v/>
      </c>
      <c r="M33" t="str">
        <f t="shared" si="1"/>
        <v/>
      </c>
      <c r="O33" t="str">
        <f t="shared" si="4"/>
        <v xml:space="preserve">      131:
        name: W +1</v>
      </c>
    </row>
    <row r="34" spans="1:15" x14ac:dyDescent="0.3">
      <c r="A34">
        <v>132</v>
      </c>
      <c r="B34" t="s">
        <v>55</v>
      </c>
      <c r="C34" t="str">
        <f t="shared" ref="C34" si="12">"true"</f>
        <v>true</v>
      </c>
      <c r="D34">
        <v>181</v>
      </c>
      <c r="E34">
        <v>133</v>
      </c>
      <c r="J34" t="str">
        <f t="shared" si="2"/>
        <v>Comedy Central</v>
      </c>
      <c r="K34">
        <f t="shared" si="3"/>
        <v>132</v>
      </c>
      <c r="L34">
        <f t="shared" si="0"/>
        <v>181</v>
      </c>
      <c r="M34">
        <f t="shared" si="1"/>
        <v>133</v>
      </c>
      <c r="O34" t="str">
        <f t="shared" si="4"/>
        <v xml:space="preserve">      132:
        name: Comedy Central
        show: true
        hd_channel: 181
        plus_one: 133</v>
      </c>
    </row>
    <row r="35" spans="1:15" x14ac:dyDescent="0.3">
      <c r="A35">
        <v>133</v>
      </c>
      <c r="B35" t="s">
        <v>56</v>
      </c>
      <c r="D35" t="s">
        <v>393</v>
      </c>
      <c r="E35" t="s">
        <v>393</v>
      </c>
      <c r="J35" t="str">
        <f t="shared" si="2"/>
        <v>Comedy Central +1</v>
      </c>
      <c r="K35">
        <f t="shared" si="3"/>
        <v>133</v>
      </c>
      <c r="L35" t="str">
        <f t="shared" si="0"/>
        <v/>
      </c>
      <c r="M35" t="str">
        <f t="shared" si="1"/>
        <v/>
      </c>
      <c r="O35" t="str">
        <f t="shared" si="4"/>
        <v xml:space="preserve">      133:
        name: Comedy Central +1</v>
      </c>
    </row>
    <row r="36" spans="1:15" x14ac:dyDescent="0.3">
      <c r="A36">
        <v>134</v>
      </c>
      <c r="B36" t="s">
        <v>57</v>
      </c>
      <c r="D36">
        <v>183</v>
      </c>
      <c r="E36" t="s">
        <v>393</v>
      </c>
      <c r="J36" t="str">
        <f t="shared" si="2"/>
        <v>MTV</v>
      </c>
      <c r="K36">
        <f t="shared" si="3"/>
        <v>134</v>
      </c>
      <c r="L36">
        <f t="shared" si="0"/>
        <v>183</v>
      </c>
      <c r="M36" t="str">
        <f t="shared" si="1"/>
        <v/>
      </c>
      <c r="O36" t="str">
        <f t="shared" si="4"/>
        <v xml:space="preserve">      134:
        name: MTV
        hd_channel: 183</v>
      </c>
    </row>
    <row r="37" spans="1:15" x14ac:dyDescent="0.3">
      <c r="A37">
        <v>135</v>
      </c>
      <c r="B37" t="s">
        <v>58</v>
      </c>
      <c r="C37" t="str">
        <f t="shared" ref="C37" si="13">"true"</f>
        <v>true</v>
      </c>
      <c r="D37">
        <v>165</v>
      </c>
      <c r="E37">
        <v>136</v>
      </c>
      <c r="J37" t="str">
        <f t="shared" si="2"/>
        <v>Syfy</v>
      </c>
      <c r="K37">
        <f t="shared" si="3"/>
        <v>135</v>
      </c>
      <c r="L37">
        <f t="shared" si="0"/>
        <v>165</v>
      </c>
      <c r="M37">
        <f t="shared" si="1"/>
        <v>136</v>
      </c>
      <c r="O37" t="str">
        <f t="shared" si="4"/>
        <v xml:space="preserve">      135:
        name: Syfy
        show: true
        hd_channel: 165
        plus_one: 136</v>
      </c>
    </row>
    <row r="38" spans="1:15" x14ac:dyDescent="0.3">
      <c r="A38">
        <v>136</v>
      </c>
      <c r="B38" t="s">
        <v>59</v>
      </c>
      <c r="D38" t="s">
        <v>393</v>
      </c>
      <c r="E38" t="s">
        <v>393</v>
      </c>
      <c r="J38" t="str">
        <f t="shared" si="2"/>
        <v>Syfy +1</v>
      </c>
      <c r="K38">
        <f t="shared" si="3"/>
        <v>136</v>
      </c>
      <c r="L38" t="str">
        <f t="shared" si="0"/>
        <v/>
      </c>
      <c r="M38" t="str">
        <f t="shared" si="1"/>
        <v/>
      </c>
      <c r="O38" t="str">
        <f t="shared" si="4"/>
        <v xml:space="preserve">      136:
        name: Syfy +1</v>
      </c>
    </row>
    <row r="39" spans="1:15" x14ac:dyDescent="0.3">
      <c r="A39">
        <v>137</v>
      </c>
      <c r="B39" t="s">
        <v>60</v>
      </c>
      <c r="D39">
        <v>164</v>
      </c>
      <c r="E39">
        <v>138</v>
      </c>
      <c r="J39" t="str">
        <f t="shared" si="2"/>
        <v>Universal Channel</v>
      </c>
      <c r="K39">
        <f t="shared" si="3"/>
        <v>137</v>
      </c>
      <c r="L39">
        <f t="shared" si="0"/>
        <v>164</v>
      </c>
      <c r="M39">
        <f t="shared" si="1"/>
        <v>138</v>
      </c>
      <c r="O39" t="str">
        <f t="shared" si="4"/>
        <v xml:space="preserve">      137:
        name: Universal Channel
        hd_channel: 164
        plus_one: 138</v>
      </c>
    </row>
    <row r="40" spans="1:15" x14ac:dyDescent="0.3">
      <c r="A40">
        <v>138</v>
      </c>
      <c r="B40" t="s">
        <v>61</v>
      </c>
      <c r="D40" t="s">
        <v>393</v>
      </c>
      <c r="E40" t="s">
        <v>393</v>
      </c>
      <c r="J40" t="str">
        <f t="shared" si="2"/>
        <v>Universal Channel +1</v>
      </c>
      <c r="K40">
        <f t="shared" si="3"/>
        <v>138</v>
      </c>
      <c r="L40" t="str">
        <f t="shared" si="0"/>
        <v/>
      </c>
      <c r="M40" t="str">
        <f t="shared" si="1"/>
        <v/>
      </c>
      <c r="O40" t="str">
        <f t="shared" si="4"/>
        <v xml:space="preserve">      138:
        name: Universal Channel +1</v>
      </c>
    </row>
    <row r="41" spans="1:15" x14ac:dyDescent="0.3">
      <c r="A41">
        <v>139</v>
      </c>
      <c r="B41" t="s">
        <v>62</v>
      </c>
      <c r="C41" t="str">
        <f t="shared" ref="C41" si="14">"true"</f>
        <v>true</v>
      </c>
      <c r="D41" t="s">
        <v>393</v>
      </c>
      <c r="E41">
        <v>180</v>
      </c>
      <c r="J41" t="str">
        <f t="shared" si="2"/>
        <v>Challenge</v>
      </c>
      <c r="K41">
        <f t="shared" si="3"/>
        <v>139</v>
      </c>
      <c r="L41" t="str">
        <f t="shared" si="0"/>
        <v/>
      </c>
      <c r="M41">
        <f t="shared" si="1"/>
        <v>180</v>
      </c>
      <c r="O41" t="str">
        <f t="shared" si="4"/>
        <v xml:space="preserve">      139:
        name: Challenge
        show: true
        plus_one: 180</v>
      </c>
    </row>
    <row r="42" spans="1:15" x14ac:dyDescent="0.3">
      <c r="A42">
        <v>140</v>
      </c>
      <c r="B42" t="s">
        <v>63</v>
      </c>
      <c r="D42" t="s">
        <v>393</v>
      </c>
      <c r="E42" t="s">
        <v>393</v>
      </c>
      <c r="J42" t="str">
        <f t="shared" si="2"/>
        <v>Sky Living +1</v>
      </c>
      <c r="K42">
        <f t="shared" si="3"/>
        <v>140</v>
      </c>
      <c r="L42" t="str">
        <f t="shared" si="0"/>
        <v/>
      </c>
      <c r="M42" t="str">
        <f t="shared" si="1"/>
        <v/>
      </c>
      <c r="O42" t="str">
        <f t="shared" si="4"/>
        <v xml:space="preserve">      140:
        name: Sky Living +1</v>
      </c>
    </row>
    <row r="43" spans="1:15" x14ac:dyDescent="0.3">
      <c r="A43">
        <v>141</v>
      </c>
      <c r="B43" t="s">
        <v>64</v>
      </c>
      <c r="D43" t="s">
        <v>393</v>
      </c>
      <c r="E43" t="s">
        <v>393</v>
      </c>
      <c r="J43" t="str">
        <f t="shared" si="2"/>
        <v>Channel 4 HD</v>
      </c>
      <c r="K43">
        <f t="shared" si="3"/>
        <v>141</v>
      </c>
      <c r="L43" t="str">
        <f t="shared" si="0"/>
        <v/>
      </c>
      <c r="M43" t="str">
        <f t="shared" si="1"/>
        <v/>
      </c>
      <c r="O43" t="str">
        <f t="shared" si="4"/>
        <v xml:space="preserve">      141:
        name: Channel 4 HD</v>
      </c>
    </row>
    <row r="44" spans="1:15" x14ac:dyDescent="0.3">
      <c r="A44">
        <v>142</v>
      </c>
      <c r="B44" t="s">
        <v>65</v>
      </c>
      <c r="D44" t="s">
        <v>393</v>
      </c>
      <c r="E44" t="s">
        <v>393</v>
      </c>
      <c r="J44" t="str">
        <f t="shared" si="2"/>
        <v>Channel 4 +1</v>
      </c>
      <c r="K44">
        <f t="shared" si="3"/>
        <v>142</v>
      </c>
      <c r="L44" t="str">
        <f t="shared" si="0"/>
        <v/>
      </c>
      <c r="M44" t="str">
        <f t="shared" si="1"/>
        <v/>
      </c>
      <c r="O44" t="str">
        <f t="shared" si="4"/>
        <v xml:space="preserve">      142:
        name: Channel 4 +1</v>
      </c>
    </row>
    <row r="45" spans="1:15" x14ac:dyDescent="0.3">
      <c r="A45">
        <v>143</v>
      </c>
      <c r="B45" t="s">
        <v>66</v>
      </c>
      <c r="D45">
        <v>203</v>
      </c>
      <c r="E45" t="s">
        <v>393</v>
      </c>
      <c r="J45" t="str">
        <f t="shared" si="2"/>
        <v>4seven</v>
      </c>
      <c r="K45">
        <f t="shared" si="3"/>
        <v>143</v>
      </c>
      <c r="L45">
        <f t="shared" si="0"/>
        <v>203</v>
      </c>
      <c r="M45" t="str">
        <f t="shared" si="1"/>
        <v/>
      </c>
      <c r="O45" t="str">
        <f t="shared" si="4"/>
        <v xml:space="preserve">      143:
        name: 4seven
        hd_channel: 203</v>
      </c>
    </row>
    <row r="46" spans="1:15" x14ac:dyDescent="0.3">
      <c r="A46">
        <v>145</v>
      </c>
      <c r="B46" t="s">
        <v>67</v>
      </c>
      <c r="D46" t="s">
        <v>393</v>
      </c>
      <c r="E46" t="s">
        <v>393</v>
      </c>
      <c r="J46" t="str">
        <f t="shared" si="2"/>
        <v>E4 HD</v>
      </c>
      <c r="K46">
        <f t="shared" si="3"/>
        <v>145</v>
      </c>
      <c r="L46" t="str">
        <f t="shared" si="0"/>
        <v/>
      </c>
      <c r="M46" t="str">
        <f t="shared" si="1"/>
        <v/>
      </c>
      <c r="O46" t="str">
        <f t="shared" si="4"/>
        <v xml:space="preserve">      145:
        name: E4 HD</v>
      </c>
    </row>
    <row r="47" spans="1:15" x14ac:dyDescent="0.3">
      <c r="A47">
        <v>146</v>
      </c>
      <c r="B47" t="s">
        <v>68</v>
      </c>
      <c r="D47" t="s">
        <v>393</v>
      </c>
      <c r="E47" t="s">
        <v>393</v>
      </c>
      <c r="J47" t="str">
        <f t="shared" si="2"/>
        <v>E4 +1</v>
      </c>
      <c r="K47">
        <f t="shared" si="3"/>
        <v>146</v>
      </c>
      <c r="L47" t="str">
        <f t="shared" si="0"/>
        <v/>
      </c>
      <c r="M47" t="str">
        <f t="shared" si="1"/>
        <v/>
      </c>
      <c r="O47" t="str">
        <f t="shared" si="4"/>
        <v xml:space="preserve">      146:
        name: E4 +1</v>
      </c>
    </row>
    <row r="48" spans="1:15" x14ac:dyDescent="0.3">
      <c r="A48">
        <v>147</v>
      </c>
      <c r="B48" t="s">
        <v>69</v>
      </c>
      <c r="C48" t="str">
        <f t="shared" ref="C48" si="15">"true"</f>
        <v>true</v>
      </c>
      <c r="D48">
        <v>195</v>
      </c>
      <c r="E48" t="s">
        <v>393</v>
      </c>
      <c r="J48" t="str">
        <f t="shared" si="2"/>
        <v>More4</v>
      </c>
      <c r="K48">
        <f t="shared" si="3"/>
        <v>147</v>
      </c>
      <c r="L48">
        <f t="shared" si="0"/>
        <v>195</v>
      </c>
      <c r="M48" t="str">
        <f t="shared" si="1"/>
        <v/>
      </c>
      <c r="O48" t="str">
        <f t="shared" si="4"/>
        <v xml:space="preserve">      147:
        name: More4
        show: true
        hd_channel: 195</v>
      </c>
    </row>
    <row r="49" spans="1:15" x14ac:dyDescent="0.3">
      <c r="A49">
        <v>148</v>
      </c>
      <c r="B49" t="s">
        <v>70</v>
      </c>
      <c r="D49" t="s">
        <v>393</v>
      </c>
      <c r="E49">
        <v>201</v>
      </c>
      <c r="J49" t="str">
        <f t="shared" si="2"/>
        <v>CBS Reality</v>
      </c>
      <c r="K49">
        <f t="shared" si="3"/>
        <v>148</v>
      </c>
      <c r="L49" t="str">
        <f t="shared" si="0"/>
        <v/>
      </c>
      <c r="M49">
        <f t="shared" si="1"/>
        <v>201</v>
      </c>
      <c r="O49" t="str">
        <f t="shared" si="4"/>
        <v xml:space="preserve">      148:
        name: CBS Reality
        plus_one: 201</v>
      </c>
    </row>
    <row r="50" spans="1:15" x14ac:dyDescent="0.3">
      <c r="A50">
        <v>149</v>
      </c>
      <c r="B50" t="s">
        <v>71</v>
      </c>
      <c r="D50" t="s">
        <v>393</v>
      </c>
      <c r="E50">
        <v>202</v>
      </c>
      <c r="J50" t="str">
        <f t="shared" si="2"/>
        <v>Horror Channel</v>
      </c>
      <c r="K50">
        <f t="shared" si="3"/>
        <v>149</v>
      </c>
      <c r="L50" t="str">
        <f t="shared" si="0"/>
        <v/>
      </c>
      <c r="M50">
        <f t="shared" si="1"/>
        <v>202</v>
      </c>
      <c r="O50" t="str">
        <f t="shared" si="4"/>
        <v xml:space="preserve">      149:
        name: Horror Channel
        plus_one: 202</v>
      </c>
    </row>
    <row r="51" spans="1:15" x14ac:dyDescent="0.3">
      <c r="A51">
        <v>150</v>
      </c>
      <c r="B51" t="s">
        <v>72</v>
      </c>
      <c r="D51" t="s">
        <v>393</v>
      </c>
      <c r="E51" t="s">
        <v>393</v>
      </c>
      <c r="J51" t="str">
        <f t="shared" si="2"/>
        <v>Channel 5 HD</v>
      </c>
      <c r="K51">
        <f t="shared" si="3"/>
        <v>150</v>
      </c>
      <c r="L51" t="str">
        <f t="shared" si="0"/>
        <v/>
      </c>
      <c r="M51" t="str">
        <f t="shared" si="1"/>
        <v/>
      </c>
      <c r="O51" t="str">
        <f t="shared" si="4"/>
        <v xml:space="preserve">      150:
        name: Channel 5 HD</v>
      </c>
    </row>
    <row r="52" spans="1:15" x14ac:dyDescent="0.3">
      <c r="A52">
        <v>151</v>
      </c>
      <c r="B52" t="s">
        <v>73</v>
      </c>
      <c r="D52" t="s">
        <v>393</v>
      </c>
      <c r="E52">
        <v>186</v>
      </c>
      <c r="J52" t="str">
        <f t="shared" si="2"/>
        <v>5STAR</v>
      </c>
      <c r="K52">
        <f t="shared" si="3"/>
        <v>151</v>
      </c>
      <c r="L52" t="str">
        <f t="shared" si="0"/>
        <v/>
      </c>
      <c r="M52">
        <f t="shared" si="1"/>
        <v>186</v>
      </c>
      <c r="O52" t="str">
        <f t="shared" si="4"/>
        <v xml:space="preserve">      151:
        name: 5STAR
        plus_one: 186</v>
      </c>
    </row>
    <row r="53" spans="1:15" x14ac:dyDescent="0.3">
      <c r="A53">
        <v>152</v>
      </c>
      <c r="B53" t="s">
        <v>74</v>
      </c>
      <c r="D53" t="s">
        <v>393</v>
      </c>
      <c r="E53" t="s">
        <v>393</v>
      </c>
      <c r="J53" t="str">
        <f t="shared" si="2"/>
        <v>My5</v>
      </c>
      <c r="K53">
        <f t="shared" si="3"/>
        <v>152</v>
      </c>
      <c r="L53" t="str">
        <f t="shared" si="0"/>
        <v/>
      </c>
      <c r="M53" t="str">
        <f t="shared" si="1"/>
        <v/>
      </c>
      <c r="O53" t="str">
        <f t="shared" si="4"/>
        <v xml:space="preserve">      152:
        name: My5</v>
      </c>
    </row>
    <row r="54" spans="1:15" x14ac:dyDescent="0.3">
      <c r="A54">
        <v>153</v>
      </c>
      <c r="B54" t="s">
        <v>75</v>
      </c>
      <c r="D54" t="s">
        <v>393</v>
      </c>
      <c r="E54">
        <v>185</v>
      </c>
      <c r="J54" t="str">
        <f t="shared" si="2"/>
        <v>5 USA</v>
      </c>
      <c r="K54">
        <f t="shared" si="3"/>
        <v>153</v>
      </c>
      <c r="L54" t="str">
        <f t="shared" si="0"/>
        <v/>
      </c>
      <c r="M54">
        <f t="shared" si="1"/>
        <v>185</v>
      </c>
      <c r="O54" t="str">
        <f t="shared" si="4"/>
        <v xml:space="preserve">      153:
        name: 5 USA
        plus_one: 185</v>
      </c>
    </row>
    <row r="55" spans="1:15" x14ac:dyDescent="0.3">
      <c r="A55">
        <v>154</v>
      </c>
      <c r="B55" t="s">
        <v>76</v>
      </c>
      <c r="D55" t="s">
        <v>393</v>
      </c>
      <c r="E55" t="s">
        <v>393</v>
      </c>
      <c r="J55" t="str">
        <f t="shared" si="2"/>
        <v>Spike</v>
      </c>
      <c r="K55">
        <f t="shared" si="3"/>
        <v>154</v>
      </c>
      <c r="L55" t="str">
        <f t="shared" si="0"/>
        <v/>
      </c>
      <c r="M55" t="str">
        <f t="shared" si="1"/>
        <v/>
      </c>
      <c r="O55" t="str">
        <f t="shared" si="4"/>
        <v xml:space="preserve">      154:
        name: Spike</v>
      </c>
    </row>
    <row r="56" spans="1:15" x14ac:dyDescent="0.3">
      <c r="A56">
        <v>155</v>
      </c>
      <c r="B56" t="s">
        <v>77</v>
      </c>
      <c r="D56" t="s">
        <v>393</v>
      </c>
      <c r="E56" t="s">
        <v>393</v>
      </c>
      <c r="J56" t="str">
        <f t="shared" si="2"/>
        <v>Channel 5 +1</v>
      </c>
      <c r="K56">
        <f t="shared" si="3"/>
        <v>155</v>
      </c>
      <c r="L56" t="str">
        <f t="shared" si="0"/>
        <v/>
      </c>
      <c r="M56" t="str">
        <f t="shared" si="1"/>
        <v/>
      </c>
      <c r="O56" t="str">
        <f t="shared" si="4"/>
        <v xml:space="preserve">      155:
        name: Channel 5 +1</v>
      </c>
    </row>
    <row r="57" spans="1:15" x14ac:dyDescent="0.3">
      <c r="A57">
        <v>156</v>
      </c>
      <c r="B57" t="s">
        <v>78</v>
      </c>
      <c r="D57" t="s">
        <v>393</v>
      </c>
      <c r="E57" t="s">
        <v>393</v>
      </c>
      <c r="J57" t="str">
        <f t="shared" si="2"/>
        <v>E!</v>
      </c>
      <c r="K57">
        <f t="shared" si="3"/>
        <v>156</v>
      </c>
      <c r="L57" t="str">
        <f t="shared" si="0"/>
        <v/>
      </c>
      <c r="M57" t="str">
        <f t="shared" si="1"/>
        <v/>
      </c>
      <c r="O57" t="str">
        <f t="shared" si="4"/>
        <v xml:space="preserve">      156:
        name: E!</v>
      </c>
    </row>
    <row r="58" spans="1:15" x14ac:dyDescent="0.3">
      <c r="A58">
        <v>157</v>
      </c>
      <c r="B58" t="s">
        <v>79</v>
      </c>
      <c r="D58">
        <v>199</v>
      </c>
      <c r="E58">
        <v>158</v>
      </c>
      <c r="J58" t="str">
        <f t="shared" si="2"/>
        <v>FOX</v>
      </c>
      <c r="K58">
        <f t="shared" si="3"/>
        <v>157</v>
      </c>
      <c r="L58">
        <f t="shared" si="0"/>
        <v>199</v>
      </c>
      <c r="M58">
        <f t="shared" si="1"/>
        <v>158</v>
      </c>
      <c r="O58" t="str">
        <f t="shared" si="4"/>
        <v xml:space="preserve">      157:
        name: FOX
        hd_channel: 199
        plus_one: 158</v>
      </c>
    </row>
    <row r="59" spans="1:15" x14ac:dyDescent="0.3">
      <c r="A59">
        <v>158</v>
      </c>
      <c r="B59" t="s">
        <v>80</v>
      </c>
      <c r="D59" t="s">
        <v>393</v>
      </c>
      <c r="E59" t="s">
        <v>393</v>
      </c>
      <c r="J59" t="str">
        <f t="shared" si="2"/>
        <v>FOX +1</v>
      </c>
      <c r="K59">
        <f t="shared" si="3"/>
        <v>158</v>
      </c>
      <c r="L59" t="str">
        <f t="shared" si="0"/>
        <v/>
      </c>
      <c r="M59" t="str">
        <f t="shared" si="1"/>
        <v/>
      </c>
      <c r="O59" t="str">
        <f t="shared" si="4"/>
        <v xml:space="preserve">      158:
        name: FOX +1</v>
      </c>
    </row>
    <row r="60" spans="1:15" x14ac:dyDescent="0.3">
      <c r="A60">
        <v>159</v>
      </c>
      <c r="B60" t="s">
        <v>10</v>
      </c>
      <c r="D60" t="s">
        <v>393</v>
      </c>
      <c r="E60" t="s">
        <v>393</v>
      </c>
      <c r="J60" t="str">
        <f t="shared" si="2"/>
        <v>Local TV Channel</v>
      </c>
      <c r="K60">
        <f t="shared" si="3"/>
        <v>159</v>
      </c>
      <c r="L60" t="str">
        <f t="shared" si="0"/>
        <v/>
      </c>
      <c r="M60" t="str">
        <f t="shared" si="1"/>
        <v/>
      </c>
      <c r="O60" t="str">
        <f t="shared" si="4"/>
        <v xml:space="preserve">      159:
        name: Local TV Channel</v>
      </c>
    </row>
    <row r="61" spans="1:15" x14ac:dyDescent="0.3">
      <c r="A61">
        <v>160</v>
      </c>
      <c r="B61" t="s">
        <v>81</v>
      </c>
      <c r="D61" t="s">
        <v>393</v>
      </c>
      <c r="E61">
        <v>207</v>
      </c>
      <c r="J61" t="str">
        <f t="shared" si="2"/>
        <v>Real Lives</v>
      </c>
      <c r="K61">
        <f t="shared" si="3"/>
        <v>160</v>
      </c>
      <c r="L61" t="str">
        <f t="shared" si="0"/>
        <v/>
      </c>
      <c r="M61">
        <f t="shared" si="1"/>
        <v>207</v>
      </c>
      <c r="O61" t="str">
        <f t="shared" si="4"/>
        <v xml:space="preserve">      160:
        name: Real Lives
        plus_one: 207</v>
      </c>
    </row>
    <row r="62" spans="1:15" x14ac:dyDescent="0.3">
      <c r="A62">
        <v>161</v>
      </c>
      <c r="B62" t="s">
        <v>82</v>
      </c>
      <c r="D62" t="s">
        <v>393</v>
      </c>
      <c r="E62" t="s">
        <v>393</v>
      </c>
      <c r="J62" t="str">
        <f t="shared" si="2"/>
        <v>BBC Alba</v>
      </c>
      <c r="K62">
        <f t="shared" si="3"/>
        <v>161</v>
      </c>
      <c r="L62" t="str">
        <f t="shared" si="0"/>
        <v/>
      </c>
      <c r="M62" t="str">
        <f t="shared" si="1"/>
        <v/>
      </c>
      <c r="O62" t="str">
        <f t="shared" si="4"/>
        <v xml:space="preserve">      161:
        name: BBC Alba</v>
      </c>
    </row>
    <row r="63" spans="1:15" x14ac:dyDescent="0.3">
      <c r="A63">
        <v>162</v>
      </c>
      <c r="B63" t="s">
        <v>83</v>
      </c>
      <c r="D63" t="s">
        <v>393</v>
      </c>
      <c r="E63" t="s">
        <v>393</v>
      </c>
      <c r="J63" t="str">
        <f t="shared" si="2"/>
        <v>BBC Two HD</v>
      </c>
      <c r="K63">
        <f t="shared" si="3"/>
        <v>162</v>
      </c>
      <c r="L63" t="str">
        <f t="shared" si="0"/>
        <v/>
      </c>
      <c r="M63" t="str">
        <f t="shared" si="1"/>
        <v/>
      </c>
      <c r="O63" t="str">
        <f t="shared" si="4"/>
        <v xml:space="preserve">      162:
        name: BBC Two HD</v>
      </c>
    </row>
    <row r="64" spans="1:15" x14ac:dyDescent="0.3">
      <c r="A64">
        <v>163</v>
      </c>
      <c r="B64" t="s">
        <v>84</v>
      </c>
      <c r="D64" t="s">
        <v>393</v>
      </c>
      <c r="E64" t="s">
        <v>393</v>
      </c>
      <c r="J64" t="str">
        <f t="shared" si="2"/>
        <v>BBC Four HD</v>
      </c>
      <c r="K64">
        <f t="shared" si="3"/>
        <v>163</v>
      </c>
      <c r="L64" t="str">
        <f t="shared" si="0"/>
        <v/>
      </c>
      <c r="M64" t="str">
        <f t="shared" si="1"/>
        <v/>
      </c>
      <c r="O64" t="str">
        <f t="shared" si="4"/>
        <v xml:space="preserve">      163:
        name: BBC Four HD</v>
      </c>
    </row>
    <row r="65" spans="1:15" x14ac:dyDescent="0.3">
      <c r="A65">
        <v>164</v>
      </c>
      <c r="B65" t="s">
        <v>85</v>
      </c>
      <c r="D65" t="s">
        <v>393</v>
      </c>
      <c r="E65" t="s">
        <v>393</v>
      </c>
      <c r="J65" t="str">
        <f t="shared" si="2"/>
        <v>Universal Channel HD</v>
      </c>
      <c r="K65">
        <f t="shared" si="3"/>
        <v>164</v>
      </c>
      <c r="L65" t="str">
        <f t="shared" si="0"/>
        <v/>
      </c>
      <c r="M65" t="str">
        <f t="shared" si="1"/>
        <v/>
      </c>
      <c r="O65" t="str">
        <f t="shared" si="4"/>
        <v xml:space="preserve">      164:
        name: Universal Channel HD</v>
      </c>
    </row>
    <row r="66" spans="1:15" x14ac:dyDescent="0.3">
      <c r="A66">
        <v>165</v>
      </c>
      <c r="B66" t="s">
        <v>86</v>
      </c>
      <c r="D66" t="s">
        <v>393</v>
      </c>
      <c r="E66" t="s">
        <v>393</v>
      </c>
      <c r="J66" t="str">
        <f t="shared" si="2"/>
        <v>Syfy HD</v>
      </c>
      <c r="K66">
        <f t="shared" si="3"/>
        <v>165</v>
      </c>
      <c r="L66" t="str">
        <f t="shared" ref="L66:L129" si="16">IF(NOT(ISERROR(VLOOKUP(B66&amp;" HD",B:B,1,FALSE))),VLOOKUP(B66&amp;" HD",J:K,2,FALSE),"")</f>
        <v/>
      </c>
      <c r="M66" t="str">
        <f t="shared" ref="M66:M129" si="17">IF(NOT(ISERROR(VLOOKUP(B66&amp;" +1",B:B,1,FALSE))),VLOOKUP(B66&amp;" +1",J:K,2,FALSE),"")</f>
        <v/>
      </c>
      <c r="O66" t="str">
        <f t="shared" si="4"/>
        <v xml:space="preserve">      165:
        name: Syfy HD</v>
      </c>
    </row>
    <row r="67" spans="1:15" x14ac:dyDescent="0.3">
      <c r="A67">
        <v>166</v>
      </c>
      <c r="B67" t="s">
        <v>87</v>
      </c>
      <c r="D67" t="s">
        <v>393</v>
      </c>
      <c r="E67" t="s">
        <v>393</v>
      </c>
      <c r="J67" t="str">
        <f t="shared" ref="J67:J138" si="18">B67</f>
        <v>S4C</v>
      </c>
      <c r="K67">
        <f t="shared" ref="K67:K138" si="19">A67</f>
        <v>166</v>
      </c>
      <c r="L67" t="str">
        <f t="shared" si="16"/>
        <v/>
      </c>
      <c r="M67" t="str">
        <f t="shared" si="17"/>
        <v/>
      </c>
      <c r="O67" t="str">
        <f t="shared" ref="O67:O130" si="20">SUBSTITUTE(CONCATENATE("      ",A67,":","\nname: ",IF(ISERROR(FIND("&amp;",B67)),"","'"),B67,IF(ISERROR(FIND("&amp;",B67)),"","'"),IF(C67&lt;&gt;"","\nshow: "&amp;C67,""),IF(D67&lt;&gt;"","\nhd_channel: "&amp;D67,""),IF(E67&lt;&gt;"","\nplus_one: "&amp;E67,""),IF(F67&lt;&gt;"","\nlogo: "&amp;F67,""),IF(G67&lt;&gt;"","\ntarget: "&amp;G67,""),IF(H67&lt;&gt;"","\nsource: "&amp;H67,"")),"\n",CHAR(10)&amp;"        ")</f>
        <v xml:space="preserve">      166:
        name: S4C</v>
      </c>
    </row>
    <row r="68" spans="1:15" x14ac:dyDescent="0.3">
      <c r="A68">
        <v>167</v>
      </c>
      <c r="B68" t="s">
        <v>88</v>
      </c>
      <c r="D68">
        <v>168</v>
      </c>
      <c r="E68">
        <v>169</v>
      </c>
      <c r="J68" t="str">
        <f t="shared" si="18"/>
        <v>TLC</v>
      </c>
      <c r="K68">
        <f t="shared" si="19"/>
        <v>167</v>
      </c>
      <c r="L68">
        <f t="shared" si="16"/>
        <v>168</v>
      </c>
      <c r="M68">
        <f t="shared" si="17"/>
        <v>169</v>
      </c>
      <c r="O68" t="str">
        <f t="shared" si="20"/>
        <v xml:space="preserve">      167:
        name: TLC
        hd_channel: 168
        plus_one: 169</v>
      </c>
    </row>
    <row r="69" spans="1:15" x14ac:dyDescent="0.3">
      <c r="A69">
        <v>168</v>
      </c>
      <c r="B69" t="s">
        <v>89</v>
      </c>
      <c r="D69" t="s">
        <v>393</v>
      </c>
      <c r="E69" t="s">
        <v>393</v>
      </c>
      <c r="J69" t="str">
        <f t="shared" si="18"/>
        <v>TLC HD</v>
      </c>
      <c r="K69">
        <f t="shared" si="19"/>
        <v>168</v>
      </c>
      <c r="L69" t="str">
        <f t="shared" si="16"/>
        <v/>
      </c>
      <c r="M69" t="str">
        <f t="shared" si="17"/>
        <v/>
      </c>
      <c r="O69" t="str">
        <f t="shared" si="20"/>
        <v xml:space="preserve">      168:
        name: TLC HD</v>
      </c>
    </row>
    <row r="70" spans="1:15" x14ac:dyDescent="0.3">
      <c r="A70">
        <v>169</v>
      </c>
      <c r="B70" t="s">
        <v>90</v>
      </c>
      <c r="D70" t="s">
        <v>393</v>
      </c>
      <c r="E70" t="s">
        <v>393</v>
      </c>
      <c r="J70" t="str">
        <f t="shared" si="18"/>
        <v>TLC +1</v>
      </c>
      <c r="K70">
        <f t="shared" si="19"/>
        <v>169</v>
      </c>
      <c r="L70" t="str">
        <f t="shared" si="16"/>
        <v/>
      </c>
      <c r="M70" t="str">
        <f t="shared" si="17"/>
        <v/>
      </c>
      <c r="O70" t="str">
        <f t="shared" si="20"/>
        <v xml:space="preserve">      169:
        name: TLC +1</v>
      </c>
    </row>
    <row r="71" spans="1:15" x14ac:dyDescent="0.3">
      <c r="A71">
        <v>170</v>
      </c>
      <c r="B71" t="s">
        <v>91</v>
      </c>
      <c r="D71" t="s">
        <v>393</v>
      </c>
      <c r="E71">
        <v>171</v>
      </c>
      <c r="J71" t="str">
        <f t="shared" si="18"/>
        <v>Investigation Discovery</v>
      </c>
      <c r="K71">
        <f t="shared" si="19"/>
        <v>170</v>
      </c>
      <c r="L71" t="str">
        <f t="shared" si="16"/>
        <v/>
      </c>
      <c r="M71">
        <f t="shared" si="17"/>
        <v>171</v>
      </c>
      <c r="O71" t="str">
        <f t="shared" si="20"/>
        <v xml:space="preserve">      170:
        name: Investigation Discovery
        plus_one: 171</v>
      </c>
    </row>
    <row r="72" spans="1:15" x14ac:dyDescent="0.3">
      <c r="A72">
        <v>171</v>
      </c>
      <c r="B72" t="s">
        <v>92</v>
      </c>
      <c r="D72" t="s">
        <v>393</v>
      </c>
      <c r="E72" t="s">
        <v>393</v>
      </c>
      <c r="J72" t="str">
        <f t="shared" si="18"/>
        <v>Investigation Discovery +1</v>
      </c>
      <c r="K72">
        <f t="shared" si="19"/>
        <v>171</v>
      </c>
      <c r="L72" t="str">
        <f t="shared" si="16"/>
        <v/>
      </c>
      <c r="M72" t="str">
        <f t="shared" si="17"/>
        <v/>
      </c>
      <c r="O72" t="str">
        <f t="shared" si="20"/>
        <v xml:space="preserve">      171:
        name: Investigation Discovery +1</v>
      </c>
    </row>
    <row r="73" spans="1:15" x14ac:dyDescent="0.3">
      <c r="A73">
        <v>172</v>
      </c>
      <c r="B73" t="s">
        <v>93</v>
      </c>
      <c r="D73">
        <v>217</v>
      </c>
      <c r="E73">
        <v>173</v>
      </c>
      <c r="J73" t="str">
        <f t="shared" si="18"/>
        <v>Quest</v>
      </c>
      <c r="K73">
        <f t="shared" si="19"/>
        <v>172</v>
      </c>
      <c r="L73">
        <f t="shared" si="16"/>
        <v>217</v>
      </c>
      <c r="M73">
        <f t="shared" si="17"/>
        <v>173</v>
      </c>
      <c r="O73" t="str">
        <f t="shared" si="20"/>
        <v xml:space="preserve">      172:
        name: Quest
        hd_channel: 217
        plus_one: 173</v>
      </c>
    </row>
    <row r="74" spans="1:15" x14ac:dyDescent="0.3">
      <c r="A74">
        <v>173</v>
      </c>
      <c r="B74" t="s">
        <v>94</v>
      </c>
      <c r="D74" t="s">
        <v>393</v>
      </c>
      <c r="E74" t="s">
        <v>393</v>
      </c>
      <c r="J74" t="str">
        <f t="shared" si="18"/>
        <v>Quest +1</v>
      </c>
      <c r="K74">
        <f t="shared" si="19"/>
        <v>173</v>
      </c>
      <c r="L74" t="str">
        <f t="shared" si="16"/>
        <v/>
      </c>
      <c r="M74" t="str">
        <f t="shared" si="17"/>
        <v/>
      </c>
      <c r="O74" t="str">
        <f t="shared" si="20"/>
        <v xml:space="preserve">      173:
        name: Quest +1</v>
      </c>
    </row>
    <row r="75" spans="1:15" x14ac:dyDescent="0.3">
      <c r="A75">
        <v>174</v>
      </c>
      <c r="B75" t="s">
        <v>95</v>
      </c>
      <c r="D75" t="s">
        <v>393</v>
      </c>
      <c r="E75" t="s">
        <v>393</v>
      </c>
      <c r="J75" t="str">
        <f t="shared" si="18"/>
        <v>ITV3 +1</v>
      </c>
      <c r="K75">
        <f t="shared" si="19"/>
        <v>174</v>
      </c>
      <c r="L75" t="str">
        <f t="shared" si="16"/>
        <v/>
      </c>
      <c r="M75" t="str">
        <f t="shared" si="17"/>
        <v/>
      </c>
      <c r="O75" t="str">
        <f t="shared" si="20"/>
        <v xml:space="preserve">      174:
        name: ITV3 +1</v>
      </c>
    </row>
    <row r="76" spans="1:15" x14ac:dyDescent="0.3">
      <c r="A76">
        <v>175</v>
      </c>
      <c r="B76" t="s">
        <v>96</v>
      </c>
      <c r="D76" t="s">
        <v>393</v>
      </c>
      <c r="E76" t="s">
        <v>393</v>
      </c>
      <c r="J76" t="str">
        <f t="shared" si="18"/>
        <v>ITV4 +1</v>
      </c>
      <c r="K76">
        <f t="shared" si="19"/>
        <v>175</v>
      </c>
      <c r="L76" t="str">
        <f t="shared" si="16"/>
        <v/>
      </c>
      <c r="M76" t="str">
        <f t="shared" si="17"/>
        <v/>
      </c>
      <c r="O76" t="str">
        <f t="shared" si="20"/>
        <v xml:space="preserve">      175:
        name: ITV4 +1</v>
      </c>
    </row>
    <row r="77" spans="1:15" x14ac:dyDescent="0.3">
      <c r="A77">
        <v>176</v>
      </c>
      <c r="B77" t="s">
        <v>97</v>
      </c>
      <c r="D77" t="s">
        <v>393</v>
      </c>
      <c r="E77" t="s">
        <v>393</v>
      </c>
      <c r="J77" t="str">
        <f t="shared" si="18"/>
        <v>ITV2 HD</v>
      </c>
      <c r="K77">
        <f t="shared" si="19"/>
        <v>176</v>
      </c>
      <c r="L77" t="str">
        <f t="shared" si="16"/>
        <v/>
      </c>
      <c r="M77" t="str">
        <f t="shared" si="17"/>
        <v/>
      </c>
      <c r="O77" t="str">
        <f t="shared" si="20"/>
        <v xml:space="preserve">      176:
        name: ITV2 HD</v>
      </c>
    </row>
    <row r="78" spans="1:15" x14ac:dyDescent="0.3">
      <c r="A78">
        <v>177</v>
      </c>
      <c r="B78" t="s">
        <v>98</v>
      </c>
      <c r="D78" t="s">
        <v>393</v>
      </c>
      <c r="E78" t="s">
        <v>393</v>
      </c>
      <c r="J78" t="str">
        <f t="shared" si="18"/>
        <v>ITV3 HD</v>
      </c>
      <c r="K78">
        <f t="shared" si="19"/>
        <v>177</v>
      </c>
      <c r="L78" t="str">
        <f t="shared" si="16"/>
        <v/>
      </c>
      <c r="M78" t="str">
        <f t="shared" si="17"/>
        <v/>
      </c>
      <c r="O78" t="str">
        <f t="shared" si="20"/>
        <v xml:space="preserve">      177:
        name: ITV3 HD</v>
      </c>
    </row>
    <row r="79" spans="1:15" x14ac:dyDescent="0.3">
      <c r="A79">
        <v>178</v>
      </c>
      <c r="B79" t="s">
        <v>99</v>
      </c>
      <c r="D79" t="s">
        <v>393</v>
      </c>
      <c r="E79" t="s">
        <v>393</v>
      </c>
      <c r="J79" t="str">
        <f t="shared" si="18"/>
        <v>ITV4 HD</v>
      </c>
      <c r="K79">
        <f t="shared" si="19"/>
        <v>178</v>
      </c>
      <c r="L79" t="str">
        <f t="shared" si="16"/>
        <v/>
      </c>
      <c r="M79" t="str">
        <f t="shared" si="17"/>
        <v/>
      </c>
      <c r="O79" t="str">
        <f t="shared" si="20"/>
        <v xml:space="preserve">      178:
        name: ITV4 HD</v>
      </c>
    </row>
    <row r="80" spans="1:15" x14ac:dyDescent="0.3">
      <c r="A80">
        <v>179</v>
      </c>
      <c r="B80" t="s">
        <v>100</v>
      </c>
      <c r="D80" t="s">
        <v>393</v>
      </c>
      <c r="E80" t="s">
        <v>393</v>
      </c>
      <c r="J80" t="str">
        <f t="shared" si="18"/>
        <v>ITVBe HD</v>
      </c>
      <c r="K80">
        <f t="shared" si="19"/>
        <v>179</v>
      </c>
      <c r="L80" t="str">
        <f t="shared" si="16"/>
        <v/>
      </c>
      <c r="M80" t="str">
        <f t="shared" si="17"/>
        <v/>
      </c>
      <c r="O80" t="str">
        <f t="shared" si="20"/>
        <v xml:space="preserve">      179:
        name: ITVBe HD</v>
      </c>
    </row>
    <row r="81" spans="1:15" x14ac:dyDescent="0.3">
      <c r="A81">
        <v>180</v>
      </c>
      <c r="B81" t="s">
        <v>101</v>
      </c>
      <c r="D81" t="s">
        <v>393</v>
      </c>
      <c r="E81" t="s">
        <v>393</v>
      </c>
      <c r="J81" t="str">
        <f t="shared" si="18"/>
        <v>Challenge +1</v>
      </c>
      <c r="K81">
        <f t="shared" si="19"/>
        <v>180</v>
      </c>
      <c r="L81" t="str">
        <f t="shared" si="16"/>
        <v/>
      </c>
      <c r="M81" t="str">
        <f t="shared" si="17"/>
        <v/>
      </c>
      <c r="O81" t="str">
        <f t="shared" si="20"/>
        <v xml:space="preserve">      180:
        name: Challenge +1</v>
      </c>
    </row>
    <row r="82" spans="1:15" x14ac:dyDescent="0.3">
      <c r="A82">
        <v>181</v>
      </c>
      <c r="B82" t="s">
        <v>102</v>
      </c>
      <c r="D82" t="s">
        <v>393</v>
      </c>
      <c r="E82" t="s">
        <v>393</v>
      </c>
      <c r="J82" t="str">
        <f t="shared" si="18"/>
        <v>Comedy Central HD</v>
      </c>
      <c r="K82">
        <f t="shared" si="19"/>
        <v>181</v>
      </c>
      <c r="L82" t="str">
        <f t="shared" si="16"/>
        <v/>
      </c>
      <c r="M82" t="str">
        <f t="shared" si="17"/>
        <v/>
      </c>
      <c r="O82" t="str">
        <f t="shared" si="20"/>
        <v xml:space="preserve">      181:
        name: Comedy Central HD</v>
      </c>
    </row>
    <row r="83" spans="1:15" x14ac:dyDescent="0.3">
      <c r="A83">
        <v>182</v>
      </c>
      <c r="B83" t="s">
        <v>103</v>
      </c>
      <c r="D83" t="s">
        <v>393</v>
      </c>
      <c r="E83" t="s">
        <v>393</v>
      </c>
      <c r="J83" t="str">
        <f t="shared" si="18"/>
        <v>Comedy Central Extra</v>
      </c>
      <c r="K83">
        <f t="shared" si="19"/>
        <v>182</v>
      </c>
      <c r="L83" t="str">
        <f t="shared" si="16"/>
        <v/>
      </c>
      <c r="M83" t="str">
        <f t="shared" si="17"/>
        <v/>
      </c>
      <c r="O83" t="str">
        <f t="shared" si="20"/>
        <v xml:space="preserve">      182:
        name: Comedy Central Extra</v>
      </c>
    </row>
    <row r="84" spans="1:15" x14ac:dyDescent="0.3">
      <c r="A84">
        <v>183</v>
      </c>
      <c r="B84" t="s">
        <v>104</v>
      </c>
      <c r="D84" t="s">
        <v>393</v>
      </c>
      <c r="E84" t="s">
        <v>393</v>
      </c>
      <c r="J84" t="str">
        <f t="shared" si="18"/>
        <v>MTV HD</v>
      </c>
      <c r="K84">
        <f t="shared" si="19"/>
        <v>183</v>
      </c>
      <c r="L84" t="str">
        <f t="shared" si="16"/>
        <v/>
      </c>
      <c r="M84" t="str">
        <f t="shared" si="17"/>
        <v/>
      </c>
      <c r="O84" t="str">
        <f t="shared" si="20"/>
        <v xml:space="preserve">      183:
        name: MTV HD</v>
      </c>
    </row>
    <row r="85" spans="1:15" x14ac:dyDescent="0.3">
      <c r="A85">
        <v>184</v>
      </c>
      <c r="B85" t="s">
        <v>105</v>
      </c>
      <c r="D85" t="s">
        <v>393</v>
      </c>
      <c r="E85" t="s">
        <v>393</v>
      </c>
      <c r="J85" t="str">
        <f t="shared" si="18"/>
        <v>BET</v>
      </c>
      <c r="K85">
        <f t="shared" si="19"/>
        <v>184</v>
      </c>
      <c r="L85" t="str">
        <f t="shared" si="16"/>
        <v/>
      </c>
      <c r="M85" t="str">
        <f t="shared" si="17"/>
        <v/>
      </c>
      <c r="O85" t="str">
        <f t="shared" si="20"/>
        <v xml:space="preserve">      184:
        name: BET</v>
      </c>
    </row>
    <row r="86" spans="1:15" x14ac:dyDescent="0.3">
      <c r="A86">
        <v>185</v>
      </c>
      <c r="B86" t="s">
        <v>106</v>
      </c>
      <c r="D86" t="s">
        <v>393</v>
      </c>
      <c r="E86" t="s">
        <v>393</v>
      </c>
      <c r="J86" t="str">
        <f t="shared" si="18"/>
        <v>5 USA +1</v>
      </c>
      <c r="K86">
        <f t="shared" si="19"/>
        <v>185</v>
      </c>
      <c r="L86" t="str">
        <f t="shared" si="16"/>
        <v/>
      </c>
      <c r="M86" t="str">
        <f t="shared" si="17"/>
        <v/>
      </c>
      <c r="O86" t="str">
        <f t="shared" si="20"/>
        <v xml:space="preserve">      185:
        name: 5 USA +1</v>
      </c>
    </row>
    <row r="87" spans="1:15" x14ac:dyDescent="0.3">
      <c r="A87">
        <v>186</v>
      </c>
      <c r="B87" t="s">
        <v>107</v>
      </c>
      <c r="D87" t="s">
        <v>393</v>
      </c>
      <c r="E87" t="s">
        <v>393</v>
      </c>
      <c r="J87" t="str">
        <f t="shared" si="18"/>
        <v>5STAR +1</v>
      </c>
      <c r="K87">
        <f t="shared" si="19"/>
        <v>186</v>
      </c>
      <c r="L87" t="str">
        <f t="shared" si="16"/>
        <v/>
      </c>
      <c r="M87" t="str">
        <f t="shared" si="17"/>
        <v/>
      </c>
      <c r="O87" t="str">
        <f t="shared" si="20"/>
        <v xml:space="preserve">      186:
        name: 5STAR +1</v>
      </c>
    </row>
    <row r="88" spans="1:15" x14ac:dyDescent="0.3">
      <c r="A88">
        <v>187</v>
      </c>
      <c r="B88" t="s">
        <v>404</v>
      </c>
      <c r="J88" t="str">
        <f t="shared" ref="J88:J89" si="21">B88</f>
        <v>Paramount Network HD</v>
      </c>
      <c r="K88">
        <f t="shared" ref="K88:K89" si="22">A88</f>
        <v>187</v>
      </c>
      <c r="L88" t="str">
        <f t="shared" si="16"/>
        <v/>
      </c>
      <c r="M88" t="str">
        <f t="shared" si="17"/>
        <v/>
      </c>
      <c r="O88" t="str">
        <f t="shared" si="20"/>
        <v xml:space="preserve">      187:
        name: Paramount Network HD</v>
      </c>
    </row>
    <row r="89" spans="1:15" x14ac:dyDescent="0.3">
      <c r="A89">
        <v>189</v>
      </c>
      <c r="B89" t="s">
        <v>405</v>
      </c>
      <c r="E89">
        <v>220</v>
      </c>
      <c r="J89" t="str">
        <f t="shared" si="21"/>
        <v>True Entertainment</v>
      </c>
      <c r="K89">
        <f t="shared" si="22"/>
        <v>189</v>
      </c>
      <c r="L89" t="str">
        <f t="shared" si="16"/>
        <v/>
      </c>
      <c r="M89">
        <f t="shared" si="17"/>
        <v>220</v>
      </c>
      <c r="O89" t="str">
        <f t="shared" si="20"/>
        <v xml:space="preserve">      189:
        name: True Entertainment
        plus_one: 220</v>
      </c>
    </row>
    <row r="90" spans="1:15" x14ac:dyDescent="0.3">
      <c r="A90">
        <v>190</v>
      </c>
      <c r="B90" t="s">
        <v>108</v>
      </c>
      <c r="D90" t="s">
        <v>393</v>
      </c>
      <c r="E90" t="s">
        <v>393</v>
      </c>
      <c r="J90" t="str">
        <f t="shared" si="18"/>
        <v>Gold +1</v>
      </c>
      <c r="K90">
        <f t="shared" si="19"/>
        <v>190</v>
      </c>
      <c r="L90" t="str">
        <f t="shared" si="16"/>
        <v/>
      </c>
      <c r="M90" t="str">
        <f t="shared" si="17"/>
        <v/>
      </c>
      <c r="O90" t="str">
        <f t="shared" si="20"/>
        <v xml:space="preserve">      190:
        name: Gold +1</v>
      </c>
    </row>
    <row r="91" spans="1:15" x14ac:dyDescent="0.3">
      <c r="A91">
        <v>191</v>
      </c>
      <c r="B91" t="s">
        <v>109</v>
      </c>
      <c r="D91" t="s">
        <v>393</v>
      </c>
      <c r="E91" t="s">
        <v>393</v>
      </c>
      <c r="J91" t="str">
        <f t="shared" si="18"/>
        <v>W HD</v>
      </c>
      <c r="K91">
        <f t="shared" si="19"/>
        <v>191</v>
      </c>
      <c r="L91" t="str">
        <f t="shared" si="16"/>
        <v/>
      </c>
      <c r="M91" t="str">
        <f t="shared" si="17"/>
        <v/>
      </c>
      <c r="O91" t="str">
        <f t="shared" si="20"/>
        <v xml:space="preserve">      191:
        name: W HD</v>
      </c>
    </row>
    <row r="92" spans="1:15" x14ac:dyDescent="0.3">
      <c r="A92">
        <v>192</v>
      </c>
      <c r="B92" t="s">
        <v>110</v>
      </c>
      <c r="D92" t="s">
        <v>393</v>
      </c>
      <c r="E92" t="s">
        <v>393</v>
      </c>
      <c r="J92" t="str">
        <f t="shared" si="18"/>
        <v>CBS Action</v>
      </c>
      <c r="K92">
        <f t="shared" si="19"/>
        <v>192</v>
      </c>
      <c r="L92" t="str">
        <f t="shared" si="16"/>
        <v/>
      </c>
      <c r="M92" t="str">
        <f t="shared" si="17"/>
        <v/>
      </c>
      <c r="O92" t="str">
        <f t="shared" si="20"/>
        <v xml:space="preserve">      192:
        name: CBS Action</v>
      </c>
    </row>
    <row r="93" spans="1:15" x14ac:dyDescent="0.3">
      <c r="A93">
        <v>193</v>
      </c>
      <c r="B93" t="s">
        <v>111</v>
      </c>
      <c r="D93" t="s">
        <v>393</v>
      </c>
      <c r="E93" t="s">
        <v>393</v>
      </c>
      <c r="J93" t="str">
        <f t="shared" si="18"/>
        <v>Sony Crime Channel</v>
      </c>
      <c r="K93">
        <f t="shared" si="19"/>
        <v>193</v>
      </c>
      <c r="L93" t="str">
        <f t="shared" si="16"/>
        <v/>
      </c>
      <c r="M93" t="str">
        <f t="shared" si="17"/>
        <v/>
      </c>
      <c r="O93" t="str">
        <f t="shared" si="20"/>
        <v xml:space="preserve">      193:
        name: Sony Crime Channel</v>
      </c>
    </row>
    <row r="94" spans="1:15" x14ac:dyDescent="0.3">
      <c r="A94">
        <v>194</v>
      </c>
      <c r="B94" t="s">
        <v>112</v>
      </c>
      <c r="D94" t="s">
        <v>393</v>
      </c>
      <c r="E94" t="s">
        <v>393</v>
      </c>
      <c r="J94" t="str">
        <f t="shared" si="18"/>
        <v>Dave HD</v>
      </c>
      <c r="K94">
        <f t="shared" si="19"/>
        <v>194</v>
      </c>
      <c r="L94" t="str">
        <f t="shared" si="16"/>
        <v/>
      </c>
      <c r="M94" t="str">
        <f t="shared" si="17"/>
        <v/>
      </c>
      <c r="O94" t="str">
        <f t="shared" si="20"/>
        <v xml:space="preserve">      194:
        name: Dave HD</v>
      </c>
    </row>
    <row r="95" spans="1:15" x14ac:dyDescent="0.3">
      <c r="A95">
        <v>195</v>
      </c>
      <c r="B95" t="s">
        <v>113</v>
      </c>
      <c r="D95" t="s">
        <v>393</v>
      </c>
      <c r="E95" t="s">
        <v>393</v>
      </c>
      <c r="J95" t="str">
        <f t="shared" si="18"/>
        <v>More4 HD</v>
      </c>
      <c r="K95">
        <f t="shared" si="19"/>
        <v>195</v>
      </c>
      <c r="L95" t="str">
        <f t="shared" si="16"/>
        <v/>
      </c>
      <c r="M95" t="str">
        <f t="shared" si="17"/>
        <v/>
      </c>
      <c r="O95" t="str">
        <f t="shared" si="20"/>
        <v xml:space="preserve">      195:
        name: More4 HD</v>
      </c>
    </row>
    <row r="96" spans="1:15" x14ac:dyDescent="0.3">
      <c r="A96">
        <v>196</v>
      </c>
      <c r="B96" t="s">
        <v>114</v>
      </c>
      <c r="D96" t="s">
        <v>393</v>
      </c>
      <c r="E96" t="s">
        <v>393</v>
      </c>
      <c r="J96" t="str">
        <f t="shared" si="18"/>
        <v>More 4 +1</v>
      </c>
      <c r="K96">
        <f t="shared" si="19"/>
        <v>196</v>
      </c>
      <c r="L96" t="str">
        <f t="shared" si="16"/>
        <v/>
      </c>
      <c r="M96" t="str">
        <f t="shared" si="17"/>
        <v/>
      </c>
      <c r="O96" t="str">
        <f t="shared" si="20"/>
        <v xml:space="preserve">      196:
        name: More 4 +1</v>
      </c>
    </row>
    <row r="97" spans="1:15" x14ac:dyDescent="0.3">
      <c r="A97">
        <v>197</v>
      </c>
      <c r="B97" t="s">
        <v>115</v>
      </c>
      <c r="D97" t="s">
        <v>393</v>
      </c>
      <c r="E97" t="s">
        <v>393</v>
      </c>
      <c r="J97" t="str">
        <f t="shared" si="18"/>
        <v>CBS Drama</v>
      </c>
      <c r="K97">
        <f t="shared" si="19"/>
        <v>197</v>
      </c>
      <c r="L97" t="str">
        <f t="shared" si="16"/>
        <v/>
      </c>
      <c r="M97" t="str">
        <f t="shared" si="17"/>
        <v/>
      </c>
      <c r="O97" t="str">
        <f t="shared" si="20"/>
        <v xml:space="preserve">      197:
        name: CBS Drama</v>
      </c>
    </row>
    <row r="98" spans="1:15" x14ac:dyDescent="0.3">
      <c r="A98">
        <v>198</v>
      </c>
      <c r="B98" t="s">
        <v>116</v>
      </c>
      <c r="D98" t="s">
        <v>393</v>
      </c>
      <c r="E98" t="s">
        <v>393</v>
      </c>
      <c r="J98" t="str">
        <f t="shared" si="18"/>
        <v>YouTube</v>
      </c>
      <c r="K98">
        <f t="shared" si="19"/>
        <v>198</v>
      </c>
      <c r="L98" t="str">
        <f t="shared" si="16"/>
        <v/>
      </c>
      <c r="M98" t="str">
        <f t="shared" si="17"/>
        <v/>
      </c>
      <c r="O98" t="str">
        <f t="shared" si="20"/>
        <v xml:space="preserve">      198:
        name: YouTube</v>
      </c>
    </row>
    <row r="99" spans="1:15" x14ac:dyDescent="0.3">
      <c r="A99">
        <v>199</v>
      </c>
      <c r="B99" t="s">
        <v>117</v>
      </c>
      <c r="D99" t="s">
        <v>393</v>
      </c>
      <c r="E99" t="s">
        <v>393</v>
      </c>
      <c r="J99" t="str">
        <f t="shared" si="18"/>
        <v>FOX HD</v>
      </c>
      <c r="K99">
        <f t="shared" si="19"/>
        <v>199</v>
      </c>
      <c r="L99" t="str">
        <f t="shared" si="16"/>
        <v/>
      </c>
      <c r="M99" t="str">
        <f t="shared" si="17"/>
        <v/>
      </c>
      <c r="O99" t="str">
        <f t="shared" si="20"/>
        <v xml:space="preserve">      199:
        name: FOX HD</v>
      </c>
    </row>
    <row r="100" spans="1:15" x14ac:dyDescent="0.3">
      <c r="A100">
        <v>200</v>
      </c>
      <c r="B100" t="s">
        <v>118</v>
      </c>
      <c r="D100" t="s">
        <v>393</v>
      </c>
      <c r="E100" t="s">
        <v>393</v>
      </c>
      <c r="J100" t="str">
        <f t="shared" si="18"/>
        <v>alibi HD</v>
      </c>
      <c r="K100">
        <f t="shared" si="19"/>
        <v>200</v>
      </c>
      <c r="L100" t="str">
        <f t="shared" si="16"/>
        <v/>
      </c>
      <c r="M100" t="str">
        <f t="shared" si="17"/>
        <v/>
      </c>
      <c r="O100" t="str">
        <f t="shared" si="20"/>
        <v xml:space="preserve">      200:
        name: alibi HD</v>
      </c>
    </row>
    <row r="101" spans="1:15" x14ac:dyDescent="0.3">
      <c r="A101">
        <v>201</v>
      </c>
      <c r="B101" t="s">
        <v>119</v>
      </c>
      <c r="D101" t="s">
        <v>393</v>
      </c>
      <c r="E101" t="s">
        <v>393</v>
      </c>
      <c r="J101" t="str">
        <f t="shared" si="18"/>
        <v>CBS Reality +1</v>
      </c>
      <c r="K101">
        <f t="shared" si="19"/>
        <v>201</v>
      </c>
      <c r="L101" t="str">
        <f t="shared" si="16"/>
        <v/>
      </c>
      <c r="M101" t="str">
        <f t="shared" si="17"/>
        <v/>
      </c>
      <c r="O101" t="str">
        <f t="shared" si="20"/>
        <v xml:space="preserve">      201:
        name: CBS Reality +1</v>
      </c>
    </row>
    <row r="102" spans="1:15" x14ac:dyDescent="0.3">
      <c r="A102">
        <v>202</v>
      </c>
      <c r="B102" t="s">
        <v>120</v>
      </c>
      <c r="D102" t="s">
        <v>393</v>
      </c>
      <c r="E102" t="s">
        <v>393</v>
      </c>
      <c r="J102" t="str">
        <f t="shared" si="18"/>
        <v>Horror Channel +1</v>
      </c>
      <c r="K102">
        <f t="shared" si="19"/>
        <v>202</v>
      </c>
      <c r="L102" t="str">
        <f t="shared" si="16"/>
        <v/>
      </c>
      <c r="M102" t="str">
        <f t="shared" si="17"/>
        <v/>
      </c>
      <c r="O102" t="str">
        <f t="shared" si="20"/>
        <v xml:space="preserve">      202:
        name: Horror Channel +1</v>
      </c>
    </row>
    <row r="103" spans="1:15" x14ac:dyDescent="0.3">
      <c r="A103">
        <v>203</v>
      </c>
      <c r="B103" t="s">
        <v>121</v>
      </c>
      <c r="D103" t="s">
        <v>393</v>
      </c>
      <c r="E103" t="s">
        <v>393</v>
      </c>
      <c r="J103" t="str">
        <f t="shared" si="18"/>
        <v>4seven HD</v>
      </c>
      <c r="K103">
        <f t="shared" si="19"/>
        <v>203</v>
      </c>
      <c r="L103" t="str">
        <f t="shared" si="16"/>
        <v/>
      </c>
      <c r="M103" t="str">
        <f t="shared" si="17"/>
        <v/>
      </c>
      <c r="O103" t="str">
        <f t="shared" si="20"/>
        <v xml:space="preserve">      203:
        name: 4seven HD</v>
      </c>
    </row>
    <row r="104" spans="1:15" x14ac:dyDescent="0.3">
      <c r="A104">
        <v>204</v>
      </c>
      <c r="B104" t="s">
        <v>122</v>
      </c>
      <c r="D104" t="s">
        <v>393</v>
      </c>
      <c r="E104" t="s">
        <v>393</v>
      </c>
      <c r="J104" t="str">
        <f t="shared" si="18"/>
        <v>Netflix</v>
      </c>
      <c r="K104">
        <f t="shared" si="19"/>
        <v>204</v>
      </c>
      <c r="L104" t="str">
        <f t="shared" si="16"/>
        <v/>
      </c>
      <c r="M104" t="str">
        <f t="shared" si="17"/>
        <v/>
      </c>
      <c r="O104" t="str">
        <f t="shared" si="20"/>
        <v xml:space="preserve">      204:
        name: Netflix</v>
      </c>
    </row>
    <row r="105" spans="1:15" x14ac:dyDescent="0.3">
      <c r="A105">
        <v>206</v>
      </c>
      <c r="B105" t="s">
        <v>123</v>
      </c>
      <c r="D105" t="s">
        <v>393</v>
      </c>
      <c r="E105" t="s">
        <v>393</v>
      </c>
      <c r="J105" t="str">
        <f t="shared" si="18"/>
        <v>Sky Arts HD</v>
      </c>
      <c r="K105">
        <f t="shared" si="19"/>
        <v>206</v>
      </c>
      <c r="L105" t="str">
        <f t="shared" si="16"/>
        <v/>
      </c>
      <c r="M105" t="str">
        <f t="shared" si="17"/>
        <v/>
      </c>
      <c r="O105" t="str">
        <f t="shared" si="20"/>
        <v xml:space="preserve">      206:
        name: Sky Arts HD</v>
      </c>
    </row>
    <row r="106" spans="1:15" x14ac:dyDescent="0.3">
      <c r="A106">
        <v>207</v>
      </c>
      <c r="B106" t="s">
        <v>124</v>
      </c>
      <c r="D106" t="s">
        <v>393</v>
      </c>
      <c r="E106" t="s">
        <v>393</v>
      </c>
      <c r="J106" t="str">
        <f t="shared" si="18"/>
        <v>Real Lives +1</v>
      </c>
      <c r="K106">
        <f t="shared" si="19"/>
        <v>207</v>
      </c>
      <c r="L106" t="str">
        <f t="shared" si="16"/>
        <v/>
      </c>
      <c r="M106" t="str">
        <f t="shared" si="17"/>
        <v/>
      </c>
      <c r="O106" t="str">
        <f t="shared" si="20"/>
        <v xml:space="preserve">      207:
        name: Real Lives +1</v>
      </c>
    </row>
    <row r="107" spans="1:15" x14ac:dyDescent="0.3">
      <c r="A107">
        <v>208</v>
      </c>
      <c r="B107" t="s">
        <v>125</v>
      </c>
      <c r="D107">
        <v>209</v>
      </c>
      <c r="E107">
        <v>225</v>
      </c>
      <c r="J107" t="str">
        <f t="shared" si="18"/>
        <v>Lifetime</v>
      </c>
      <c r="K107">
        <f t="shared" si="19"/>
        <v>208</v>
      </c>
      <c r="L107">
        <f t="shared" si="16"/>
        <v>209</v>
      </c>
      <c r="M107">
        <f t="shared" si="17"/>
        <v>225</v>
      </c>
      <c r="O107" t="str">
        <f t="shared" si="20"/>
        <v xml:space="preserve">      208:
        name: Lifetime
        hd_channel: 209
        plus_one: 225</v>
      </c>
    </row>
    <row r="108" spans="1:15" x14ac:dyDescent="0.3">
      <c r="A108">
        <v>209</v>
      </c>
      <c r="B108" t="s">
        <v>126</v>
      </c>
      <c r="D108" t="s">
        <v>393</v>
      </c>
      <c r="E108" t="s">
        <v>393</v>
      </c>
      <c r="J108" t="str">
        <f t="shared" si="18"/>
        <v>Lifetime HD</v>
      </c>
      <c r="K108">
        <f t="shared" si="19"/>
        <v>209</v>
      </c>
      <c r="L108" t="str">
        <f t="shared" si="16"/>
        <v/>
      </c>
      <c r="M108" t="str">
        <f t="shared" si="17"/>
        <v/>
      </c>
      <c r="O108" t="str">
        <f t="shared" si="20"/>
        <v xml:space="preserve">      209:
        name: Lifetime HD</v>
      </c>
    </row>
    <row r="109" spans="1:15" x14ac:dyDescent="0.3">
      <c r="A109">
        <v>210</v>
      </c>
      <c r="B109" t="s">
        <v>11</v>
      </c>
      <c r="D109" t="s">
        <v>393</v>
      </c>
      <c r="E109" t="s">
        <v>393</v>
      </c>
      <c r="J109" t="str">
        <f t="shared" si="18"/>
        <v>hayu</v>
      </c>
      <c r="K109">
        <f t="shared" si="19"/>
        <v>210</v>
      </c>
      <c r="L109" t="str">
        <f t="shared" si="16"/>
        <v/>
      </c>
      <c r="M109" t="str">
        <f t="shared" si="17"/>
        <v/>
      </c>
      <c r="O109" t="str">
        <f t="shared" si="20"/>
        <v xml:space="preserve">      210:
        name: hayu</v>
      </c>
    </row>
    <row r="110" spans="1:15" x14ac:dyDescent="0.3">
      <c r="A110">
        <v>211</v>
      </c>
      <c r="B110" t="s">
        <v>127</v>
      </c>
      <c r="D110" t="s">
        <v>393</v>
      </c>
      <c r="E110" t="s">
        <v>393</v>
      </c>
      <c r="J110" t="str">
        <f t="shared" si="18"/>
        <v>Dave ja vu</v>
      </c>
      <c r="K110">
        <f t="shared" si="19"/>
        <v>211</v>
      </c>
      <c r="L110" t="str">
        <f t="shared" si="16"/>
        <v/>
      </c>
      <c r="M110" t="str">
        <f t="shared" si="17"/>
        <v/>
      </c>
      <c r="O110" t="str">
        <f t="shared" si="20"/>
        <v xml:space="preserve">      211:
        name: Dave ja vu</v>
      </c>
    </row>
    <row r="111" spans="1:15" x14ac:dyDescent="0.3">
      <c r="A111">
        <v>212</v>
      </c>
      <c r="B111" t="s">
        <v>128</v>
      </c>
      <c r="D111" t="s">
        <v>393</v>
      </c>
      <c r="E111" t="s">
        <v>393</v>
      </c>
      <c r="J111" t="str">
        <f t="shared" si="18"/>
        <v>TruTV</v>
      </c>
      <c r="K111">
        <f t="shared" si="19"/>
        <v>212</v>
      </c>
      <c r="L111" t="str">
        <f t="shared" si="16"/>
        <v/>
      </c>
      <c r="M111" t="str">
        <f t="shared" si="17"/>
        <v/>
      </c>
      <c r="O111" t="str">
        <f t="shared" si="20"/>
        <v xml:space="preserve">      212:
        name: TruTV</v>
      </c>
    </row>
    <row r="112" spans="1:15" x14ac:dyDescent="0.3">
      <c r="A112">
        <v>213</v>
      </c>
      <c r="B112" t="s">
        <v>129</v>
      </c>
      <c r="D112" t="s">
        <v>393</v>
      </c>
      <c r="E112">
        <v>214</v>
      </c>
      <c r="J112" t="str">
        <f t="shared" si="18"/>
        <v>DMAX</v>
      </c>
      <c r="K112">
        <f t="shared" si="19"/>
        <v>213</v>
      </c>
      <c r="L112" t="str">
        <f t="shared" si="16"/>
        <v/>
      </c>
      <c r="M112">
        <f t="shared" si="17"/>
        <v>214</v>
      </c>
      <c r="O112" t="str">
        <f t="shared" si="20"/>
        <v xml:space="preserve">      213:
        name: DMAX
        plus_one: 214</v>
      </c>
    </row>
    <row r="113" spans="1:15" x14ac:dyDescent="0.3">
      <c r="A113">
        <v>214</v>
      </c>
      <c r="B113" t="s">
        <v>130</v>
      </c>
      <c r="D113" t="s">
        <v>393</v>
      </c>
      <c r="E113" t="s">
        <v>393</v>
      </c>
      <c r="J113" t="str">
        <f t="shared" si="18"/>
        <v>DMAX +1</v>
      </c>
      <c r="K113">
        <f t="shared" si="19"/>
        <v>214</v>
      </c>
      <c r="L113" t="str">
        <f t="shared" si="16"/>
        <v/>
      </c>
      <c r="M113" t="str">
        <f t="shared" si="17"/>
        <v/>
      </c>
      <c r="O113" t="str">
        <f t="shared" si="20"/>
        <v xml:space="preserve">      214:
        name: DMAX +1</v>
      </c>
    </row>
    <row r="114" spans="1:15" x14ac:dyDescent="0.3">
      <c r="A114">
        <v>215</v>
      </c>
      <c r="B114" t="s">
        <v>131</v>
      </c>
      <c r="D114" t="s">
        <v>393</v>
      </c>
      <c r="E114" t="s">
        <v>393</v>
      </c>
      <c r="J114" t="str">
        <f t="shared" si="18"/>
        <v>Quest Red</v>
      </c>
      <c r="K114">
        <f t="shared" si="19"/>
        <v>215</v>
      </c>
      <c r="L114" t="str">
        <f t="shared" si="16"/>
        <v/>
      </c>
      <c r="M114" t="str">
        <f t="shared" si="17"/>
        <v/>
      </c>
      <c r="O114" t="str">
        <f t="shared" si="20"/>
        <v xml:space="preserve">      215:
        name: Quest Red</v>
      </c>
    </row>
    <row r="115" spans="1:15" x14ac:dyDescent="0.3">
      <c r="A115">
        <v>216</v>
      </c>
      <c r="B115" t="s">
        <v>132</v>
      </c>
      <c r="D115" t="s">
        <v>393</v>
      </c>
      <c r="E115" t="s">
        <v>393</v>
      </c>
      <c r="J115" t="str">
        <f t="shared" si="18"/>
        <v>Blaze</v>
      </c>
      <c r="K115">
        <f t="shared" si="19"/>
        <v>216</v>
      </c>
      <c r="L115" t="str">
        <f t="shared" si="16"/>
        <v/>
      </c>
      <c r="M115" t="str">
        <f t="shared" si="17"/>
        <v/>
      </c>
      <c r="O115" t="str">
        <f t="shared" si="20"/>
        <v xml:space="preserve">      216:
        name: Blaze</v>
      </c>
    </row>
    <row r="116" spans="1:15" x14ac:dyDescent="0.3">
      <c r="A116">
        <v>217</v>
      </c>
      <c r="B116" t="s">
        <v>411</v>
      </c>
      <c r="J116" t="str">
        <f t="shared" si="18"/>
        <v>Quest HD</v>
      </c>
      <c r="K116">
        <f t="shared" si="19"/>
        <v>217</v>
      </c>
      <c r="L116" t="str">
        <f t="shared" si="16"/>
        <v/>
      </c>
      <c r="M116" t="str">
        <f t="shared" si="17"/>
        <v/>
      </c>
      <c r="O116" t="str">
        <f t="shared" si="20"/>
        <v xml:space="preserve">      217:
        name: Quest HD</v>
      </c>
    </row>
    <row r="117" spans="1:15" x14ac:dyDescent="0.3">
      <c r="A117">
        <v>218</v>
      </c>
      <c r="B117" t="s">
        <v>407</v>
      </c>
      <c r="D117" t="s">
        <v>393</v>
      </c>
      <c r="E117" t="s">
        <v>393</v>
      </c>
      <c r="J117" t="str">
        <f t="shared" ref="J117:J121" si="23">B117</f>
        <v>Your TV HD</v>
      </c>
      <c r="K117">
        <f t="shared" ref="K117:K121" si="24">A117</f>
        <v>218</v>
      </c>
      <c r="L117" t="str">
        <f t="shared" si="16"/>
        <v/>
      </c>
      <c r="M117" t="str">
        <f t="shared" si="17"/>
        <v/>
      </c>
      <c r="O117" t="str">
        <f t="shared" si="20"/>
        <v xml:space="preserve">      218:
        name: Your TV HD</v>
      </c>
    </row>
    <row r="118" spans="1:15" x14ac:dyDescent="0.3">
      <c r="A118">
        <v>219</v>
      </c>
      <c r="B118" t="s">
        <v>410</v>
      </c>
      <c r="J118" t="str">
        <f t="shared" si="23"/>
        <v>Vice</v>
      </c>
      <c r="K118">
        <f t="shared" si="24"/>
        <v>219</v>
      </c>
      <c r="L118" t="str">
        <f t="shared" si="16"/>
        <v/>
      </c>
      <c r="M118" t="str">
        <f t="shared" si="17"/>
        <v/>
      </c>
      <c r="O118" t="str">
        <f t="shared" si="20"/>
        <v xml:space="preserve">      219:
        name: Vice</v>
      </c>
    </row>
    <row r="119" spans="1:15" x14ac:dyDescent="0.3">
      <c r="A119">
        <v>220</v>
      </c>
      <c r="B119" t="s">
        <v>409</v>
      </c>
      <c r="J119" t="str">
        <f t="shared" si="23"/>
        <v>True Entertainment +1</v>
      </c>
      <c r="K119">
        <f t="shared" si="24"/>
        <v>220</v>
      </c>
      <c r="L119" t="str">
        <f t="shared" si="16"/>
        <v/>
      </c>
      <c r="M119" t="str">
        <f t="shared" si="17"/>
        <v/>
      </c>
      <c r="O119" t="str">
        <f t="shared" si="20"/>
        <v xml:space="preserve">      220:
        name: True Entertainment +1</v>
      </c>
    </row>
    <row r="120" spans="1:15" x14ac:dyDescent="0.3">
      <c r="A120">
        <v>222</v>
      </c>
      <c r="B120" t="s">
        <v>412</v>
      </c>
      <c r="J120" t="str">
        <f t="shared" si="23"/>
        <v>Crime + Investigation HD</v>
      </c>
      <c r="K120">
        <f t="shared" si="24"/>
        <v>222</v>
      </c>
      <c r="L120" t="str">
        <f t="shared" si="16"/>
        <v/>
      </c>
      <c r="M120" t="str">
        <f t="shared" si="17"/>
        <v/>
      </c>
      <c r="O120" t="str">
        <f t="shared" si="20"/>
        <v xml:space="preserve">      222:
        name: Crime + Investigation HD</v>
      </c>
    </row>
    <row r="121" spans="1:15" x14ac:dyDescent="0.3">
      <c r="A121">
        <v>225</v>
      </c>
      <c r="B121" t="s">
        <v>414</v>
      </c>
      <c r="J121" t="str">
        <f t="shared" si="23"/>
        <v>Lifetime +1</v>
      </c>
      <c r="K121">
        <f t="shared" si="24"/>
        <v>225</v>
      </c>
      <c r="L121" t="str">
        <f t="shared" si="16"/>
        <v/>
      </c>
      <c r="M121" t="str">
        <f t="shared" si="17"/>
        <v/>
      </c>
      <c r="O121" t="str">
        <f t="shared" si="20"/>
        <v xml:space="preserve">      225:
        name: Lifetime +1</v>
      </c>
    </row>
    <row r="122" spans="1:15" x14ac:dyDescent="0.3">
      <c r="A122">
        <v>245</v>
      </c>
      <c r="B122" t="s">
        <v>133</v>
      </c>
      <c r="D122" t="s">
        <v>393</v>
      </c>
      <c r="E122">
        <v>246</v>
      </c>
      <c r="J122" t="str">
        <f t="shared" si="18"/>
        <v>Yesterday</v>
      </c>
      <c r="K122">
        <f t="shared" si="19"/>
        <v>245</v>
      </c>
      <c r="L122" t="str">
        <f t="shared" si="16"/>
        <v/>
      </c>
      <c r="M122">
        <f t="shared" si="17"/>
        <v>246</v>
      </c>
      <c r="O122" t="str">
        <f t="shared" si="20"/>
        <v xml:space="preserve">      245:
        name: Yesterday
        plus_one: 246</v>
      </c>
    </row>
    <row r="123" spans="1:15" x14ac:dyDescent="0.3">
      <c r="A123">
        <v>246</v>
      </c>
      <c r="B123" t="s">
        <v>134</v>
      </c>
      <c r="D123" t="s">
        <v>393</v>
      </c>
      <c r="E123" t="s">
        <v>393</v>
      </c>
      <c r="J123" t="str">
        <f t="shared" si="18"/>
        <v>Yesterday +1</v>
      </c>
      <c r="K123">
        <f t="shared" si="19"/>
        <v>246</v>
      </c>
      <c r="L123" t="str">
        <f t="shared" si="16"/>
        <v/>
      </c>
      <c r="M123" t="str">
        <f t="shared" si="17"/>
        <v/>
      </c>
      <c r="O123" t="str">
        <f t="shared" si="20"/>
        <v xml:space="preserve">      246:
        name: Yesterday +1</v>
      </c>
    </row>
    <row r="124" spans="1:15" x14ac:dyDescent="0.3">
      <c r="A124">
        <v>247</v>
      </c>
      <c r="B124" t="s">
        <v>135</v>
      </c>
      <c r="D124">
        <v>249</v>
      </c>
      <c r="E124">
        <v>248</v>
      </c>
      <c r="J124" t="str">
        <f t="shared" si="18"/>
        <v>Eden</v>
      </c>
      <c r="K124">
        <f t="shared" si="19"/>
        <v>247</v>
      </c>
      <c r="L124">
        <f t="shared" si="16"/>
        <v>249</v>
      </c>
      <c r="M124">
        <f t="shared" si="17"/>
        <v>248</v>
      </c>
      <c r="O124" t="str">
        <f t="shared" si="20"/>
        <v xml:space="preserve">      247:
        name: Eden
        hd_channel: 249
        plus_one: 248</v>
      </c>
    </row>
    <row r="125" spans="1:15" x14ac:dyDescent="0.3">
      <c r="A125">
        <v>248</v>
      </c>
      <c r="B125" t="s">
        <v>136</v>
      </c>
      <c r="D125" t="s">
        <v>393</v>
      </c>
      <c r="E125" t="s">
        <v>393</v>
      </c>
      <c r="J125" t="str">
        <f t="shared" si="18"/>
        <v>Eden +1</v>
      </c>
      <c r="K125">
        <f t="shared" si="19"/>
        <v>248</v>
      </c>
      <c r="L125" t="str">
        <f t="shared" si="16"/>
        <v/>
      </c>
      <c r="M125" t="str">
        <f t="shared" si="17"/>
        <v/>
      </c>
      <c r="O125" t="str">
        <f t="shared" si="20"/>
        <v xml:space="preserve">      248:
        name: Eden +1</v>
      </c>
    </row>
    <row r="126" spans="1:15" x14ac:dyDescent="0.3">
      <c r="A126">
        <v>249</v>
      </c>
      <c r="B126" t="s">
        <v>137</v>
      </c>
      <c r="D126" t="s">
        <v>393</v>
      </c>
      <c r="E126" t="s">
        <v>393</v>
      </c>
      <c r="J126" t="str">
        <f t="shared" si="18"/>
        <v>Eden HD</v>
      </c>
      <c r="K126">
        <f t="shared" si="19"/>
        <v>249</v>
      </c>
      <c r="L126" t="str">
        <f t="shared" si="16"/>
        <v/>
      </c>
      <c r="M126" t="str">
        <f t="shared" si="17"/>
        <v/>
      </c>
      <c r="O126" t="str">
        <f t="shared" si="20"/>
        <v xml:space="preserve">      249:
        name: Eden HD</v>
      </c>
    </row>
    <row r="127" spans="1:15" x14ac:dyDescent="0.3">
      <c r="A127">
        <v>250</v>
      </c>
      <c r="B127" t="s">
        <v>138</v>
      </c>
      <c r="D127">
        <v>251</v>
      </c>
      <c r="E127">
        <v>252</v>
      </c>
      <c r="J127" t="str">
        <f t="shared" si="18"/>
        <v>Discovery Channel</v>
      </c>
      <c r="K127">
        <f t="shared" si="19"/>
        <v>250</v>
      </c>
      <c r="L127">
        <f t="shared" si="16"/>
        <v>251</v>
      </c>
      <c r="M127">
        <f t="shared" si="17"/>
        <v>252</v>
      </c>
      <c r="O127" t="str">
        <f t="shared" si="20"/>
        <v xml:space="preserve">      250:
        name: Discovery Channel
        hd_channel: 251
        plus_one: 252</v>
      </c>
    </row>
    <row r="128" spans="1:15" x14ac:dyDescent="0.3">
      <c r="A128">
        <v>251</v>
      </c>
      <c r="B128" t="s">
        <v>139</v>
      </c>
      <c r="D128" t="s">
        <v>393</v>
      </c>
      <c r="E128" t="s">
        <v>393</v>
      </c>
      <c r="J128" t="str">
        <f t="shared" si="18"/>
        <v>Discovery Channel HD</v>
      </c>
      <c r="K128">
        <f t="shared" si="19"/>
        <v>251</v>
      </c>
      <c r="L128" t="str">
        <f t="shared" si="16"/>
        <v/>
      </c>
      <c r="M128" t="str">
        <f t="shared" si="17"/>
        <v/>
      </c>
      <c r="O128" t="str">
        <f t="shared" si="20"/>
        <v xml:space="preserve">      251:
        name: Discovery Channel HD</v>
      </c>
    </row>
    <row r="129" spans="1:15" x14ac:dyDescent="0.3">
      <c r="A129">
        <v>252</v>
      </c>
      <c r="B129" t="s">
        <v>140</v>
      </c>
      <c r="D129" t="s">
        <v>393</v>
      </c>
      <c r="E129" t="s">
        <v>393</v>
      </c>
      <c r="J129" t="str">
        <f t="shared" si="18"/>
        <v>Discovery Channel +1</v>
      </c>
      <c r="K129">
        <f t="shared" si="19"/>
        <v>252</v>
      </c>
      <c r="L129" t="str">
        <f t="shared" si="16"/>
        <v/>
      </c>
      <c r="M129" t="str">
        <f t="shared" si="17"/>
        <v/>
      </c>
      <c r="O129" t="str">
        <f t="shared" si="20"/>
        <v xml:space="preserve">      252:
        name: Discovery Channel +1</v>
      </c>
    </row>
    <row r="130" spans="1:15" x14ac:dyDescent="0.3">
      <c r="A130">
        <v>256</v>
      </c>
      <c r="B130" t="s">
        <v>141</v>
      </c>
      <c r="D130">
        <v>257</v>
      </c>
      <c r="E130">
        <v>258</v>
      </c>
      <c r="J130" t="str">
        <f t="shared" si="18"/>
        <v>Animal Planet</v>
      </c>
      <c r="K130">
        <f t="shared" si="19"/>
        <v>256</v>
      </c>
      <c r="L130">
        <f t="shared" ref="L130:L193" si="25">IF(NOT(ISERROR(VLOOKUP(B130&amp;" HD",B:B,1,FALSE))),VLOOKUP(B130&amp;" HD",J:K,2,FALSE),"")</f>
        <v>257</v>
      </c>
      <c r="M130">
        <f t="shared" ref="M130:M193" si="26">IF(NOT(ISERROR(VLOOKUP(B130&amp;" +1",B:B,1,FALSE))),VLOOKUP(B130&amp;" +1",J:K,2,FALSE),"")</f>
        <v>258</v>
      </c>
      <c r="O130" t="str">
        <f t="shared" si="20"/>
        <v xml:space="preserve">      256:
        name: Animal Planet
        hd_channel: 257
        plus_one: 258</v>
      </c>
    </row>
    <row r="131" spans="1:15" x14ac:dyDescent="0.3">
      <c r="A131">
        <v>257</v>
      </c>
      <c r="B131" t="s">
        <v>142</v>
      </c>
      <c r="D131" t="s">
        <v>393</v>
      </c>
      <c r="E131" t="s">
        <v>393</v>
      </c>
      <c r="J131" t="str">
        <f t="shared" si="18"/>
        <v>Animal Planet HD</v>
      </c>
      <c r="K131">
        <f t="shared" si="19"/>
        <v>257</v>
      </c>
      <c r="L131" t="str">
        <f t="shared" si="25"/>
        <v/>
      </c>
      <c r="M131" t="str">
        <f t="shared" si="26"/>
        <v/>
      </c>
      <c r="O131" t="str">
        <f t="shared" ref="O131:O194" si="27">SUBSTITUTE(CONCATENATE("      ",A131,":","\nname: ",IF(ISERROR(FIND("&amp;",B131)),"","'"),B131,IF(ISERROR(FIND("&amp;",B131)),"","'"),IF(C131&lt;&gt;"","\nshow: "&amp;C131,""),IF(D131&lt;&gt;"","\nhd_channel: "&amp;D131,""),IF(E131&lt;&gt;"","\nplus_one: "&amp;E131,""),IF(F131&lt;&gt;"","\nlogo: "&amp;F131,""),IF(G131&lt;&gt;"","\ntarget: "&amp;G131,""),IF(H131&lt;&gt;"","\nsource: "&amp;H131,"")),"\n",CHAR(10)&amp;"        ")</f>
        <v xml:space="preserve">      257:
        name: Animal Planet HD</v>
      </c>
    </row>
    <row r="132" spans="1:15" x14ac:dyDescent="0.3">
      <c r="A132">
        <v>258</v>
      </c>
      <c r="B132" t="s">
        <v>143</v>
      </c>
      <c r="D132" t="s">
        <v>393</v>
      </c>
      <c r="E132" t="s">
        <v>393</v>
      </c>
      <c r="J132" t="str">
        <f t="shared" si="18"/>
        <v>Animal Planet +1</v>
      </c>
      <c r="K132">
        <f t="shared" si="19"/>
        <v>258</v>
      </c>
      <c r="L132" t="str">
        <f t="shared" si="25"/>
        <v/>
      </c>
      <c r="M132" t="str">
        <f t="shared" si="26"/>
        <v/>
      </c>
      <c r="O132" t="str">
        <f t="shared" si="27"/>
        <v xml:space="preserve">      258:
        name: Animal Planet +1</v>
      </c>
    </row>
    <row r="133" spans="1:15" x14ac:dyDescent="0.3">
      <c r="A133">
        <v>259</v>
      </c>
      <c r="B133" t="s">
        <v>144</v>
      </c>
      <c r="D133" t="s">
        <v>393</v>
      </c>
      <c r="E133">
        <v>260</v>
      </c>
      <c r="J133" t="str">
        <f t="shared" si="18"/>
        <v>Discovery Science</v>
      </c>
      <c r="K133">
        <f t="shared" si="19"/>
        <v>259</v>
      </c>
      <c r="L133" t="str">
        <f t="shared" si="25"/>
        <v/>
      </c>
      <c r="M133">
        <f t="shared" si="26"/>
        <v>260</v>
      </c>
      <c r="O133" t="str">
        <f t="shared" si="27"/>
        <v xml:space="preserve">      259:
        name: Discovery Science
        plus_one: 260</v>
      </c>
    </row>
    <row r="134" spans="1:15" x14ac:dyDescent="0.3">
      <c r="A134">
        <v>260</v>
      </c>
      <c r="B134" t="s">
        <v>145</v>
      </c>
      <c r="D134" t="s">
        <v>393</v>
      </c>
      <c r="E134" t="s">
        <v>393</v>
      </c>
      <c r="J134" t="str">
        <f t="shared" si="18"/>
        <v>Discovery Science +1</v>
      </c>
      <c r="K134">
        <f t="shared" si="19"/>
        <v>260</v>
      </c>
      <c r="L134" t="str">
        <f t="shared" si="25"/>
        <v/>
      </c>
      <c r="M134" t="str">
        <f t="shared" si="26"/>
        <v/>
      </c>
      <c r="O134" t="str">
        <f t="shared" si="27"/>
        <v xml:space="preserve">      260:
        name: Discovery Science +1</v>
      </c>
    </row>
    <row r="135" spans="1:15" x14ac:dyDescent="0.3">
      <c r="A135">
        <v>261</v>
      </c>
      <c r="B135" t="s">
        <v>146</v>
      </c>
      <c r="D135" t="s">
        <v>393</v>
      </c>
      <c r="E135" t="s">
        <v>393</v>
      </c>
      <c r="J135" t="str">
        <f t="shared" si="18"/>
        <v>Discovery Turbo</v>
      </c>
      <c r="K135">
        <f t="shared" si="19"/>
        <v>261</v>
      </c>
      <c r="L135" t="str">
        <f t="shared" si="25"/>
        <v/>
      </c>
      <c r="M135" t="str">
        <f t="shared" si="26"/>
        <v/>
      </c>
      <c r="O135" t="str">
        <f t="shared" si="27"/>
        <v xml:space="preserve">      261:
        name: Discovery Turbo</v>
      </c>
    </row>
    <row r="136" spans="1:15" x14ac:dyDescent="0.3">
      <c r="A136">
        <v>262</v>
      </c>
      <c r="B136" t="s">
        <v>147</v>
      </c>
      <c r="D136" t="s">
        <v>393</v>
      </c>
      <c r="E136">
        <v>263</v>
      </c>
      <c r="J136" t="str">
        <f t="shared" si="18"/>
        <v>Discovery History</v>
      </c>
      <c r="K136">
        <f t="shared" si="19"/>
        <v>262</v>
      </c>
      <c r="L136" t="str">
        <f t="shared" si="25"/>
        <v/>
      </c>
      <c r="M136">
        <f t="shared" si="26"/>
        <v>263</v>
      </c>
      <c r="O136" t="str">
        <f t="shared" si="27"/>
        <v xml:space="preserve">      262:
        name: Discovery History
        plus_one: 263</v>
      </c>
    </row>
    <row r="137" spans="1:15" x14ac:dyDescent="0.3">
      <c r="A137">
        <v>263</v>
      </c>
      <c r="B137" t="s">
        <v>148</v>
      </c>
      <c r="D137" t="s">
        <v>393</v>
      </c>
      <c r="E137" t="s">
        <v>393</v>
      </c>
      <c r="J137" t="str">
        <f t="shared" si="18"/>
        <v>Discovery History +1</v>
      </c>
      <c r="K137">
        <f t="shared" si="19"/>
        <v>263</v>
      </c>
      <c r="L137" t="str">
        <f t="shared" si="25"/>
        <v/>
      </c>
      <c r="M137" t="str">
        <f t="shared" si="26"/>
        <v/>
      </c>
      <c r="O137" t="str">
        <f t="shared" si="27"/>
        <v xml:space="preserve">      263:
        name: Discovery History +1</v>
      </c>
    </row>
    <row r="138" spans="1:15" x14ac:dyDescent="0.3">
      <c r="A138">
        <v>264</v>
      </c>
      <c r="B138" t="s">
        <v>149</v>
      </c>
      <c r="D138">
        <v>265</v>
      </c>
      <c r="E138" t="s">
        <v>393</v>
      </c>
      <c r="J138" t="str">
        <f t="shared" si="18"/>
        <v>Nat Geo Wild</v>
      </c>
      <c r="K138">
        <f t="shared" si="19"/>
        <v>264</v>
      </c>
      <c r="L138">
        <f t="shared" si="25"/>
        <v>265</v>
      </c>
      <c r="M138" t="str">
        <f t="shared" si="26"/>
        <v/>
      </c>
      <c r="O138" t="str">
        <f t="shared" si="27"/>
        <v xml:space="preserve">      264:
        name: Nat Geo Wild
        hd_channel: 265</v>
      </c>
    </row>
    <row r="139" spans="1:15" x14ac:dyDescent="0.3">
      <c r="A139">
        <v>265</v>
      </c>
      <c r="B139" t="s">
        <v>150</v>
      </c>
      <c r="D139" t="s">
        <v>393</v>
      </c>
      <c r="E139" t="s">
        <v>393</v>
      </c>
      <c r="J139" t="str">
        <f t="shared" ref="J139:J206" si="28">B139</f>
        <v>Nat Geo Wild HD</v>
      </c>
      <c r="K139">
        <f t="shared" ref="K139:K206" si="29">A139</f>
        <v>265</v>
      </c>
      <c r="L139" t="str">
        <f t="shared" si="25"/>
        <v/>
      </c>
      <c r="M139" t="str">
        <f t="shared" si="26"/>
        <v/>
      </c>
      <c r="O139" t="str">
        <f t="shared" si="27"/>
        <v xml:space="preserve">      265:
        name: Nat Geo Wild HD</v>
      </c>
    </row>
    <row r="140" spans="1:15" x14ac:dyDescent="0.3">
      <c r="A140">
        <v>266</v>
      </c>
      <c r="B140" t="s">
        <v>151</v>
      </c>
      <c r="D140">
        <v>268</v>
      </c>
      <c r="E140">
        <v>267</v>
      </c>
      <c r="J140" t="str">
        <f t="shared" si="28"/>
        <v>National Geographic Channel</v>
      </c>
      <c r="K140">
        <f t="shared" si="29"/>
        <v>266</v>
      </c>
      <c r="L140">
        <f t="shared" si="25"/>
        <v>268</v>
      </c>
      <c r="M140">
        <f t="shared" si="26"/>
        <v>267</v>
      </c>
      <c r="O140" t="str">
        <f t="shared" si="27"/>
        <v xml:space="preserve">      266:
        name: National Geographic Channel
        hd_channel: 268
        plus_one: 267</v>
      </c>
    </row>
    <row r="141" spans="1:15" x14ac:dyDescent="0.3">
      <c r="A141">
        <v>267</v>
      </c>
      <c r="B141" t="s">
        <v>152</v>
      </c>
      <c r="D141" t="s">
        <v>393</v>
      </c>
      <c r="E141" t="s">
        <v>393</v>
      </c>
      <c r="J141" t="str">
        <f t="shared" si="28"/>
        <v>National Geographic Channel +1</v>
      </c>
      <c r="K141">
        <f t="shared" si="29"/>
        <v>267</v>
      </c>
      <c r="L141" t="str">
        <f t="shared" si="25"/>
        <v/>
      </c>
      <c r="M141" t="str">
        <f t="shared" si="26"/>
        <v/>
      </c>
      <c r="O141" t="str">
        <f t="shared" si="27"/>
        <v xml:space="preserve">      267:
        name: National Geographic Channel +1</v>
      </c>
    </row>
    <row r="142" spans="1:15" x14ac:dyDescent="0.3">
      <c r="A142">
        <v>268</v>
      </c>
      <c r="B142" t="s">
        <v>153</v>
      </c>
      <c r="D142" t="s">
        <v>393</v>
      </c>
      <c r="E142" t="s">
        <v>393</v>
      </c>
      <c r="J142" t="str">
        <f t="shared" si="28"/>
        <v>National Geographic Channel HD</v>
      </c>
      <c r="K142">
        <f t="shared" si="29"/>
        <v>268</v>
      </c>
      <c r="L142" t="str">
        <f t="shared" si="25"/>
        <v/>
      </c>
      <c r="M142" t="str">
        <f t="shared" si="26"/>
        <v/>
      </c>
      <c r="O142" t="str">
        <f t="shared" si="27"/>
        <v xml:space="preserve">      268:
        name: National Geographic Channel HD</v>
      </c>
    </row>
    <row r="143" spans="1:15" x14ac:dyDescent="0.3">
      <c r="A143">
        <v>269</v>
      </c>
      <c r="B143" t="s">
        <v>418</v>
      </c>
      <c r="D143" t="s">
        <v>393</v>
      </c>
      <c r="E143" t="s">
        <v>393</v>
      </c>
      <c r="J143" t="str">
        <f t="shared" si="28"/>
        <v>Together</v>
      </c>
      <c r="K143">
        <f t="shared" si="29"/>
        <v>269</v>
      </c>
      <c r="L143" t="str">
        <f t="shared" si="25"/>
        <v/>
      </c>
      <c r="M143" t="str">
        <f t="shared" si="26"/>
        <v/>
      </c>
      <c r="O143" t="str">
        <f t="shared" si="27"/>
        <v xml:space="preserve">      269:
        name: Together</v>
      </c>
    </row>
    <row r="144" spans="1:15" x14ac:dyDescent="0.3">
      <c r="A144">
        <v>270</v>
      </c>
      <c r="B144" t="s">
        <v>154</v>
      </c>
      <c r="D144">
        <v>299</v>
      </c>
      <c r="E144">
        <v>271</v>
      </c>
      <c r="J144" t="str">
        <f t="shared" si="28"/>
        <v>History</v>
      </c>
      <c r="K144">
        <f t="shared" si="29"/>
        <v>270</v>
      </c>
      <c r="L144">
        <f t="shared" si="25"/>
        <v>299</v>
      </c>
      <c r="M144">
        <f t="shared" si="26"/>
        <v>271</v>
      </c>
      <c r="O144" t="str">
        <f t="shared" si="27"/>
        <v xml:space="preserve">      270:
        name: History
        hd_channel: 299
        plus_one: 271</v>
      </c>
    </row>
    <row r="145" spans="1:15" x14ac:dyDescent="0.3">
      <c r="A145">
        <v>271</v>
      </c>
      <c r="B145" t="s">
        <v>155</v>
      </c>
      <c r="D145" t="s">
        <v>393</v>
      </c>
      <c r="E145" t="s">
        <v>393</v>
      </c>
      <c r="J145" t="str">
        <f t="shared" si="28"/>
        <v>History +1</v>
      </c>
      <c r="K145">
        <f t="shared" si="29"/>
        <v>271</v>
      </c>
      <c r="L145" t="str">
        <f t="shared" si="25"/>
        <v/>
      </c>
      <c r="M145" t="str">
        <f t="shared" si="26"/>
        <v/>
      </c>
      <c r="O145" t="str">
        <f t="shared" si="27"/>
        <v xml:space="preserve">      271:
        name: History +1</v>
      </c>
    </row>
    <row r="146" spans="1:15" x14ac:dyDescent="0.3">
      <c r="A146">
        <v>273</v>
      </c>
      <c r="B146" t="s">
        <v>156</v>
      </c>
      <c r="D146">
        <v>274</v>
      </c>
      <c r="E146" t="s">
        <v>393</v>
      </c>
      <c r="J146" t="str">
        <f t="shared" si="28"/>
        <v>H2</v>
      </c>
      <c r="K146">
        <f t="shared" si="29"/>
        <v>273</v>
      </c>
      <c r="L146">
        <f t="shared" si="25"/>
        <v>274</v>
      </c>
      <c r="M146" t="str">
        <f t="shared" si="26"/>
        <v/>
      </c>
      <c r="O146" t="str">
        <f t="shared" si="27"/>
        <v xml:space="preserve">      273:
        name: H2
        hd_channel: 274</v>
      </c>
    </row>
    <row r="147" spans="1:15" x14ac:dyDescent="0.3">
      <c r="A147">
        <v>274</v>
      </c>
      <c r="B147" t="s">
        <v>157</v>
      </c>
      <c r="D147" t="s">
        <v>393</v>
      </c>
      <c r="E147" t="s">
        <v>393</v>
      </c>
      <c r="J147" t="str">
        <f t="shared" si="28"/>
        <v>H2 HD</v>
      </c>
      <c r="K147">
        <f t="shared" si="29"/>
        <v>274</v>
      </c>
      <c r="L147" t="str">
        <f t="shared" si="25"/>
        <v/>
      </c>
      <c r="M147" t="str">
        <f t="shared" si="26"/>
        <v/>
      </c>
      <c r="O147" t="str">
        <f t="shared" si="27"/>
        <v xml:space="preserve">      274:
        name: H2 HD</v>
      </c>
    </row>
    <row r="148" spans="1:15" x14ac:dyDescent="0.3">
      <c r="A148">
        <v>275</v>
      </c>
      <c r="B148" t="s">
        <v>158</v>
      </c>
      <c r="D148">
        <v>222</v>
      </c>
      <c r="E148" t="s">
        <v>393</v>
      </c>
      <c r="J148" t="str">
        <f t="shared" si="28"/>
        <v>Crime + Investigation</v>
      </c>
      <c r="K148">
        <f t="shared" si="29"/>
        <v>275</v>
      </c>
      <c r="L148">
        <f t="shared" si="25"/>
        <v>222</v>
      </c>
      <c r="M148" t="str">
        <f t="shared" si="26"/>
        <v/>
      </c>
      <c r="O148" t="str">
        <f t="shared" si="27"/>
        <v xml:space="preserve">      275:
        name: Crime + Investigation
        hd_channel: 222</v>
      </c>
    </row>
    <row r="149" spans="1:15" x14ac:dyDescent="0.3">
      <c r="A149">
        <v>276</v>
      </c>
      <c r="B149" t="s">
        <v>159</v>
      </c>
      <c r="D149" t="s">
        <v>393</v>
      </c>
      <c r="E149" t="s">
        <v>393</v>
      </c>
      <c r="J149" t="str">
        <f t="shared" si="28"/>
        <v>PBS America</v>
      </c>
      <c r="K149">
        <f t="shared" si="29"/>
        <v>276</v>
      </c>
      <c r="L149" t="str">
        <f t="shared" si="25"/>
        <v/>
      </c>
      <c r="M149" t="str">
        <f t="shared" si="26"/>
        <v/>
      </c>
      <c r="O149" t="str">
        <f t="shared" si="27"/>
        <v xml:space="preserve">      276:
        name: PBS America</v>
      </c>
    </row>
    <row r="150" spans="1:15" x14ac:dyDescent="0.3">
      <c r="A150">
        <v>277</v>
      </c>
      <c r="B150" t="s">
        <v>160</v>
      </c>
      <c r="D150" t="s">
        <v>393</v>
      </c>
      <c r="E150" t="s">
        <v>393</v>
      </c>
      <c r="J150" t="str">
        <f t="shared" si="28"/>
        <v>Forces TV</v>
      </c>
      <c r="K150">
        <f t="shared" si="29"/>
        <v>277</v>
      </c>
      <c r="L150" t="str">
        <f t="shared" si="25"/>
        <v/>
      </c>
      <c r="M150" t="str">
        <f t="shared" si="26"/>
        <v/>
      </c>
      <c r="O150" t="str">
        <f t="shared" si="27"/>
        <v xml:space="preserve">      277:
        name: Forces TV</v>
      </c>
    </row>
    <row r="151" spans="1:15" x14ac:dyDescent="0.3">
      <c r="A151">
        <v>278</v>
      </c>
      <c r="B151" t="s">
        <v>161</v>
      </c>
      <c r="D151">
        <v>280</v>
      </c>
      <c r="E151">
        <v>279</v>
      </c>
      <c r="J151" t="str">
        <f t="shared" si="28"/>
        <v>Good Food</v>
      </c>
      <c r="K151">
        <f t="shared" si="29"/>
        <v>278</v>
      </c>
      <c r="L151">
        <f t="shared" si="25"/>
        <v>280</v>
      </c>
      <c r="M151">
        <f t="shared" si="26"/>
        <v>279</v>
      </c>
      <c r="O151" t="str">
        <f t="shared" si="27"/>
        <v xml:space="preserve">      278:
        name: Good Food
        hd_channel: 280
        plus_one: 279</v>
      </c>
    </row>
    <row r="152" spans="1:15" x14ac:dyDescent="0.3">
      <c r="A152">
        <v>279</v>
      </c>
      <c r="B152" t="s">
        <v>162</v>
      </c>
      <c r="D152" t="s">
        <v>393</v>
      </c>
      <c r="E152" t="s">
        <v>393</v>
      </c>
      <c r="J152" t="str">
        <f t="shared" si="28"/>
        <v>Good Food +1</v>
      </c>
      <c r="K152">
        <f t="shared" si="29"/>
        <v>279</v>
      </c>
      <c r="L152" t="str">
        <f t="shared" si="25"/>
        <v/>
      </c>
      <c r="M152" t="str">
        <f t="shared" si="26"/>
        <v/>
      </c>
      <c r="O152" t="str">
        <f t="shared" si="27"/>
        <v xml:space="preserve">      279:
        name: Good Food +1</v>
      </c>
    </row>
    <row r="153" spans="1:15" x14ac:dyDescent="0.3">
      <c r="A153">
        <v>280</v>
      </c>
      <c r="B153" t="s">
        <v>163</v>
      </c>
      <c r="D153" t="s">
        <v>393</v>
      </c>
      <c r="E153" t="s">
        <v>393</v>
      </c>
      <c r="J153" t="str">
        <f t="shared" si="28"/>
        <v>Good Food HD</v>
      </c>
      <c r="K153">
        <f t="shared" si="29"/>
        <v>280</v>
      </c>
      <c r="L153" t="str">
        <f t="shared" si="25"/>
        <v/>
      </c>
      <c r="M153" t="str">
        <f t="shared" si="26"/>
        <v/>
      </c>
      <c r="O153" t="str">
        <f t="shared" si="27"/>
        <v xml:space="preserve">      280:
        name: Good Food HD</v>
      </c>
    </row>
    <row r="154" spans="1:15" x14ac:dyDescent="0.3">
      <c r="A154">
        <v>281</v>
      </c>
      <c r="B154" t="s">
        <v>164</v>
      </c>
      <c r="D154" t="s">
        <v>393</v>
      </c>
      <c r="E154">
        <v>282</v>
      </c>
      <c r="J154" t="str">
        <f t="shared" si="28"/>
        <v>Home</v>
      </c>
      <c r="K154">
        <f t="shared" si="29"/>
        <v>281</v>
      </c>
      <c r="L154" t="str">
        <f t="shared" si="25"/>
        <v/>
      </c>
      <c r="M154">
        <f t="shared" si="26"/>
        <v>282</v>
      </c>
      <c r="O154" t="str">
        <f t="shared" si="27"/>
        <v xml:space="preserve">      281:
        name: Home
        plus_one: 282</v>
      </c>
    </row>
    <row r="155" spans="1:15" x14ac:dyDescent="0.3">
      <c r="A155">
        <v>282</v>
      </c>
      <c r="B155" t="s">
        <v>165</v>
      </c>
      <c r="D155" t="s">
        <v>393</v>
      </c>
      <c r="E155" t="s">
        <v>393</v>
      </c>
      <c r="J155" t="str">
        <f t="shared" si="28"/>
        <v>Home +1</v>
      </c>
      <c r="K155">
        <f t="shared" si="29"/>
        <v>282</v>
      </c>
      <c r="L155" t="str">
        <f t="shared" si="25"/>
        <v/>
      </c>
      <c r="M155" t="str">
        <f t="shared" si="26"/>
        <v/>
      </c>
      <c r="O155" t="str">
        <f t="shared" si="27"/>
        <v xml:space="preserve">      282:
        name: Home +1</v>
      </c>
    </row>
    <row r="156" spans="1:15" x14ac:dyDescent="0.3">
      <c r="A156">
        <v>284</v>
      </c>
      <c r="B156" t="s">
        <v>166</v>
      </c>
      <c r="D156" t="s">
        <v>393</v>
      </c>
      <c r="E156">
        <v>285</v>
      </c>
      <c r="J156" t="str">
        <f t="shared" si="28"/>
        <v>Discovery Home &amp; Health</v>
      </c>
      <c r="K156">
        <f t="shared" si="29"/>
        <v>284</v>
      </c>
      <c r="L156" t="str">
        <f t="shared" si="25"/>
        <v/>
      </c>
      <c r="M156">
        <f t="shared" si="26"/>
        <v>285</v>
      </c>
      <c r="O156" t="str">
        <f t="shared" si="27"/>
        <v xml:space="preserve">      284:
        name: 'Discovery Home &amp; Health'
        plus_one: 285</v>
      </c>
    </row>
    <row r="157" spans="1:15" x14ac:dyDescent="0.3">
      <c r="A157">
        <v>285</v>
      </c>
      <c r="B157" t="s">
        <v>167</v>
      </c>
      <c r="D157" t="s">
        <v>393</v>
      </c>
      <c r="E157" t="s">
        <v>393</v>
      </c>
      <c r="J157" t="str">
        <f t="shared" si="28"/>
        <v>Discovery Home &amp; Health +1</v>
      </c>
      <c r="K157">
        <f t="shared" si="29"/>
        <v>285</v>
      </c>
      <c r="L157" t="str">
        <f t="shared" si="25"/>
        <v/>
      </c>
      <c r="M157" t="str">
        <f t="shared" si="26"/>
        <v/>
      </c>
      <c r="O157" t="str">
        <f t="shared" si="27"/>
        <v xml:space="preserve">      285:
        name: 'Discovery Home &amp; Health +1'</v>
      </c>
    </row>
    <row r="158" spans="1:15" x14ac:dyDescent="0.3">
      <c r="A158">
        <v>286</v>
      </c>
      <c r="B158" t="s">
        <v>168</v>
      </c>
      <c r="D158" t="s">
        <v>393</v>
      </c>
      <c r="E158" t="s">
        <v>393</v>
      </c>
      <c r="J158" t="str">
        <f t="shared" si="28"/>
        <v>Discovery Shed</v>
      </c>
      <c r="K158">
        <f t="shared" si="29"/>
        <v>286</v>
      </c>
      <c r="L158" t="str">
        <f t="shared" si="25"/>
        <v/>
      </c>
      <c r="M158" t="str">
        <f t="shared" si="26"/>
        <v/>
      </c>
      <c r="O158" t="str">
        <f t="shared" si="27"/>
        <v xml:space="preserve">      286:
        name: Discovery Shed</v>
      </c>
    </row>
    <row r="159" spans="1:15" x14ac:dyDescent="0.3">
      <c r="A159">
        <v>287</v>
      </c>
      <c r="B159" t="s">
        <v>169</v>
      </c>
      <c r="D159" t="s">
        <v>393</v>
      </c>
      <c r="E159" t="s">
        <v>393</v>
      </c>
      <c r="J159" t="str">
        <f t="shared" si="28"/>
        <v>GOD Channel</v>
      </c>
      <c r="K159">
        <f t="shared" si="29"/>
        <v>287</v>
      </c>
      <c r="L159" t="str">
        <f t="shared" si="25"/>
        <v/>
      </c>
      <c r="M159" t="str">
        <f t="shared" si="26"/>
        <v/>
      </c>
      <c r="O159" t="str">
        <f t="shared" si="27"/>
        <v xml:space="preserve">      287:
        name: GOD Channel</v>
      </c>
    </row>
    <row r="160" spans="1:15" x14ac:dyDescent="0.3">
      <c r="A160">
        <v>290</v>
      </c>
      <c r="B160" t="s">
        <v>170</v>
      </c>
      <c r="D160" t="s">
        <v>393</v>
      </c>
      <c r="E160" t="s">
        <v>393</v>
      </c>
      <c r="J160" t="str">
        <f t="shared" si="28"/>
        <v>GINX eSports TV</v>
      </c>
      <c r="K160">
        <f t="shared" si="29"/>
        <v>290</v>
      </c>
      <c r="L160" t="str">
        <f t="shared" si="25"/>
        <v/>
      </c>
      <c r="M160" t="str">
        <f t="shared" si="26"/>
        <v/>
      </c>
      <c r="O160" t="str">
        <f t="shared" si="27"/>
        <v xml:space="preserve">      290:
        name: GINX eSports TV</v>
      </c>
    </row>
    <row r="161" spans="1:15" x14ac:dyDescent="0.3">
      <c r="A161">
        <v>291</v>
      </c>
      <c r="B161" t="s">
        <v>171</v>
      </c>
      <c r="D161" t="s">
        <v>393</v>
      </c>
      <c r="E161" t="s">
        <v>393</v>
      </c>
      <c r="J161" t="str">
        <f t="shared" si="28"/>
        <v>Food Network</v>
      </c>
      <c r="K161">
        <f t="shared" si="29"/>
        <v>291</v>
      </c>
      <c r="L161" t="str">
        <f t="shared" si="25"/>
        <v/>
      </c>
      <c r="M161" t="str">
        <f t="shared" si="26"/>
        <v/>
      </c>
      <c r="O161" t="str">
        <f t="shared" si="27"/>
        <v xml:space="preserve">      291:
        name: Food Network</v>
      </c>
    </row>
    <row r="162" spans="1:15" x14ac:dyDescent="0.3">
      <c r="A162">
        <v>292</v>
      </c>
      <c r="B162" t="s">
        <v>172</v>
      </c>
      <c r="D162" t="s">
        <v>393</v>
      </c>
      <c r="E162" t="s">
        <v>393</v>
      </c>
      <c r="J162" t="str">
        <f t="shared" si="28"/>
        <v>Travel Channel</v>
      </c>
      <c r="K162">
        <f t="shared" si="29"/>
        <v>292</v>
      </c>
      <c r="L162" t="str">
        <f t="shared" si="25"/>
        <v/>
      </c>
      <c r="M162" t="str">
        <f t="shared" si="26"/>
        <v/>
      </c>
      <c r="O162" t="str">
        <f t="shared" si="27"/>
        <v xml:space="preserve">      292:
        name: Travel Channel</v>
      </c>
    </row>
    <row r="163" spans="1:15" x14ac:dyDescent="0.3">
      <c r="A163">
        <v>293</v>
      </c>
      <c r="B163" t="s">
        <v>415</v>
      </c>
      <c r="J163" t="str">
        <f t="shared" si="28"/>
        <v>Love Nature HD</v>
      </c>
      <c r="K163">
        <f t="shared" si="29"/>
        <v>293</v>
      </c>
      <c r="L163" t="str">
        <f t="shared" si="25"/>
        <v/>
      </c>
      <c r="M163" t="str">
        <f t="shared" si="26"/>
        <v/>
      </c>
      <c r="O163" t="str">
        <f t="shared" si="27"/>
        <v xml:space="preserve">      293:
        name: Love Nature HD</v>
      </c>
    </row>
    <row r="164" spans="1:15" x14ac:dyDescent="0.3">
      <c r="A164">
        <v>294</v>
      </c>
      <c r="B164" t="s">
        <v>417</v>
      </c>
      <c r="D164">
        <v>293</v>
      </c>
      <c r="J164" t="str">
        <f t="shared" si="28"/>
        <v>Love Nature</v>
      </c>
      <c r="K164">
        <f t="shared" si="29"/>
        <v>294</v>
      </c>
      <c r="L164">
        <f t="shared" si="25"/>
        <v>293</v>
      </c>
      <c r="M164" t="str">
        <f t="shared" si="26"/>
        <v/>
      </c>
      <c r="O164" t="str">
        <f t="shared" si="27"/>
        <v xml:space="preserve">      294:
        name: Love Nature
        hd_channel: 293</v>
      </c>
    </row>
    <row r="165" spans="1:15" x14ac:dyDescent="0.3">
      <c r="A165">
        <v>298</v>
      </c>
      <c r="B165" t="s">
        <v>419</v>
      </c>
      <c r="J165" t="str">
        <f t="shared" si="28"/>
        <v>Horse &amp; Country</v>
      </c>
      <c r="K165">
        <f t="shared" si="29"/>
        <v>298</v>
      </c>
      <c r="L165" t="str">
        <f t="shared" si="25"/>
        <v/>
      </c>
      <c r="M165" t="str">
        <f t="shared" si="26"/>
        <v/>
      </c>
      <c r="O165" t="str">
        <f t="shared" si="27"/>
        <v xml:space="preserve">      298:
        name: 'Horse &amp; Country'</v>
      </c>
    </row>
    <row r="166" spans="1:15" x14ac:dyDescent="0.3">
      <c r="A166">
        <v>299</v>
      </c>
      <c r="B166" t="s">
        <v>413</v>
      </c>
      <c r="J166" t="str">
        <f t="shared" si="28"/>
        <v>History HD</v>
      </c>
      <c r="K166">
        <f t="shared" si="29"/>
        <v>299</v>
      </c>
      <c r="L166" t="str">
        <f t="shared" si="25"/>
        <v/>
      </c>
      <c r="M166" t="str">
        <f t="shared" si="26"/>
        <v/>
      </c>
      <c r="O166" t="str">
        <f t="shared" si="27"/>
        <v xml:space="preserve">      299:
        name: History HD</v>
      </c>
    </row>
    <row r="167" spans="1:15" x14ac:dyDescent="0.3">
      <c r="A167">
        <v>300</v>
      </c>
      <c r="B167" t="s">
        <v>12</v>
      </c>
      <c r="D167" t="s">
        <v>393</v>
      </c>
      <c r="E167" t="s">
        <v>393</v>
      </c>
      <c r="J167" t="str">
        <f t="shared" si="28"/>
        <v>VTV Music On Demand</v>
      </c>
      <c r="K167">
        <f t="shared" si="29"/>
        <v>300</v>
      </c>
      <c r="L167" t="str">
        <f t="shared" si="25"/>
        <v/>
      </c>
      <c r="M167" t="str">
        <f t="shared" si="26"/>
        <v/>
      </c>
      <c r="O167" t="str">
        <f t="shared" si="27"/>
        <v xml:space="preserve">      300:
        name: VTV Music On Demand</v>
      </c>
    </row>
    <row r="168" spans="1:15" x14ac:dyDescent="0.3">
      <c r="A168">
        <v>310</v>
      </c>
      <c r="B168" t="s">
        <v>173</v>
      </c>
      <c r="D168" t="s">
        <v>393</v>
      </c>
      <c r="E168" t="s">
        <v>393</v>
      </c>
      <c r="J168" t="str">
        <f t="shared" si="28"/>
        <v>MTV Music</v>
      </c>
      <c r="K168">
        <f t="shared" si="29"/>
        <v>310</v>
      </c>
      <c r="L168" t="str">
        <f t="shared" si="25"/>
        <v/>
      </c>
      <c r="M168" t="str">
        <f t="shared" si="26"/>
        <v/>
      </c>
      <c r="O168" t="str">
        <f t="shared" si="27"/>
        <v xml:space="preserve">      310:
        name: MTV Music</v>
      </c>
    </row>
    <row r="169" spans="1:15" x14ac:dyDescent="0.3">
      <c r="A169">
        <v>311</v>
      </c>
      <c r="B169" t="s">
        <v>174</v>
      </c>
      <c r="D169" t="s">
        <v>393</v>
      </c>
      <c r="E169" t="s">
        <v>393</v>
      </c>
      <c r="J169" t="str">
        <f t="shared" si="28"/>
        <v>MTV Live HD</v>
      </c>
      <c r="K169">
        <f t="shared" si="29"/>
        <v>311</v>
      </c>
      <c r="L169" t="str">
        <f t="shared" si="25"/>
        <v/>
      </c>
      <c r="M169" t="str">
        <f t="shared" si="26"/>
        <v/>
      </c>
      <c r="O169" t="str">
        <f t="shared" si="27"/>
        <v xml:space="preserve">      311:
        name: MTV Live HD</v>
      </c>
    </row>
    <row r="170" spans="1:15" x14ac:dyDescent="0.3">
      <c r="A170">
        <v>312</v>
      </c>
      <c r="B170" t="s">
        <v>175</v>
      </c>
      <c r="D170" t="s">
        <v>393</v>
      </c>
      <c r="E170" t="s">
        <v>393</v>
      </c>
      <c r="J170" t="str">
        <f t="shared" si="28"/>
        <v>MTV Hits</v>
      </c>
      <c r="K170">
        <f t="shared" si="29"/>
        <v>312</v>
      </c>
      <c r="L170" t="str">
        <f t="shared" si="25"/>
        <v/>
      </c>
      <c r="M170" t="str">
        <f t="shared" si="26"/>
        <v/>
      </c>
      <c r="O170" t="str">
        <f t="shared" si="27"/>
        <v xml:space="preserve">      312:
        name: MTV Hits</v>
      </c>
    </row>
    <row r="171" spans="1:15" x14ac:dyDescent="0.3">
      <c r="A171">
        <v>313</v>
      </c>
      <c r="B171" t="s">
        <v>176</v>
      </c>
      <c r="D171" t="s">
        <v>393</v>
      </c>
      <c r="E171" t="s">
        <v>393</v>
      </c>
      <c r="J171" t="str">
        <f t="shared" si="28"/>
        <v>MTV Base</v>
      </c>
      <c r="K171">
        <f t="shared" si="29"/>
        <v>313</v>
      </c>
      <c r="L171" t="str">
        <f t="shared" si="25"/>
        <v/>
      </c>
      <c r="M171" t="str">
        <f t="shared" si="26"/>
        <v/>
      </c>
      <c r="O171" t="str">
        <f t="shared" si="27"/>
        <v xml:space="preserve">      313:
        name: MTV Base</v>
      </c>
    </row>
    <row r="172" spans="1:15" x14ac:dyDescent="0.3">
      <c r="A172">
        <v>314</v>
      </c>
      <c r="B172" t="s">
        <v>177</v>
      </c>
      <c r="D172" t="s">
        <v>393</v>
      </c>
      <c r="E172" t="s">
        <v>393</v>
      </c>
      <c r="J172" t="str">
        <f t="shared" si="28"/>
        <v>MTV Dance</v>
      </c>
      <c r="K172">
        <f t="shared" si="29"/>
        <v>314</v>
      </c>
      <c r="L172" t="str">
        <f t="shared" si="25"/>
        <v/>
      </c>
      <c r="M172" t="str">
        <f t="shared" si="26"/>
        <v/>
      </c>
      <c r="O172" t="str">
        <f t="shared" si="27"/>
        <v xml:space="preserve">      314:
        name: MTV Dance</v>
      </c>
    </row>
    <row r="173" spans="1:15" x14ac:dyDescent="0.3">
      <c r="A173">
        <v>315</v>
      </c>
      <c r="B173" t="s">
        <v>178</v>
      </c>
      <c r="D173" t="s">
        <v>393</v>
      </c>
      <c r="E173" t="s">
        <v>393</v>
      </c>
      <c r="J173" t="str">
        <f t="shared" si="28"/>
        <v>MTV Rocks</v>
      </c>
      <c r="K173">
        <f t="shared" si="29"/>
        <v>315</v>
      </c>
      <c r="L173" t="str">
        <f t="shared" si="25"/>
        <v/>
      </c>
      <c r="M173" t="str">
        <f t="shared" si="26"/>
        <v/>
      </c>
      <c r="O173" t="str">
        <f t="shared" si="27"/>
        <v xml:space="preserve">      315:
        name: MTV Rocks</v>
      </c>
    </row>
    <row r="174" spans="1:15" x14ac:dyDescent="0.3">
      <c r="A174">
        <v>316</v>
      </c>
      <c r="B174" t="s">
        <v>179</v>
      </c>
      <c r="D174" t="s">
        <v>393</v>
      </c>
      <c r="E174" t="s">
        <v>393</v>
      </c>
      <c r="J174" t="str">
        <f t="shared" si="28"/>
        <v>VH1</v>
      </c>
      <c r="K174">
        <f t="shared" si="29"/>
        <v>316</v>
      </c>
      <c r="L174" t="str">
        <f t="shared" si="25"/>
        <v/>
      </c>
      <c r="M174" t="str">
        <f t="shared" si="26"/>
        <v/>
      </c>
      <c r="O174" t="str">
        <f t="shared" si="27"/>
        <v xml:space="preserve">      316:
        name: VH1</v>
      </c>
    </row>
    <row r="175" spans="1:15" x14ac:dyDescent="0.3">
      <c r="A175">
        <v>318</v>
      </c>
      <c r="B175" t="s">
        <v>180</v>
      </c>
      <c r="D175" t="s">
        <v>393</v>
      </c>
      <c r="E175" t="s">
        <v>393</v>
      </c>
      <c r="J175" t="str">
        <f t="shared" si="28"/>
        <v>MTV OMG</v>
      </c>
      <c r="K175">
        <f t="shared" si="29"/>
        <v>318</v>
      </c>
      <c r="L175" t="str">
        <f t="shared" si="25"/>
        <v/>
      </c>
      <c r="M175" t="str">
        <f t="shared" si="26"/>
        <v/>
      </c>
      <c r="O175" t="str">
        <f t="shared" si="27"/>
        <v xml:space="preserve">      318:
        name: MTV OMG</v>
      </c>
    </row>
    <row r="176" spans="1:15" x14ac:dyDescent="0.3">
      <c r="A176">
        <v>330</v>
      </c>
      <c r="B176" t="s">
        <v>181</v>
      </c>
      <c r="D176" t="s">
        <v>393</v>
      </c>
      <c r="E176" t="s">
        <v>393</v>
      </c>
      <c r="J176" t="str">
        <f t="shared" si="28"/>
        <v>Box Upfront</v>
      </c>
      <c r="K176">
        <f t="shared" si="29"/>
        <v>330</v>
      </c>
      <c r="L176" t="str">
        <f t="shared" si="25"/>
        <v/>
      </c>
      <c r="M176" t="str">
        <f t="shared" si="26"/>
        <v/>
      </c>
      <c r="O176" t="str">
        <f t="shared" si="27"/>
        <v xml:space="preserve">      330:
        name: Box Upfront</v>
      </c>
    </row>
    <row r="177" spans="1:15" x14ac:dyDescent="0.3">
      <c r="A177">
        <v>335</v>
      </c>
      <c r="B177" t="s">
        <v>182</v>
      </c>
      <c r="D177" t="s">
        <v>393</v>
      </c>
      <c r="E177" t="s">
        <v>393</v>
      </c>
      <c r="J177" t="str">
        <f t="shared" si="28"/>
        <v>The Box</v>
      </c>
      <c r="K177">
        <f t="shared" si="29"/>
        <v>335</v>
      </c>
      <c r="L177" t="str">
        <f t="shared" si="25"/>
        <v/>
      </c>
      <c r="M177" t="str">
        <f t="shared" si="26"/>
        <v/>
      </c>
      <c r="O177" t="str">
        <f t="shared" si="27"/>
        <v xml:space="preserve">      335:
        name: The Box</v>
      </c>
    </row>
    <row r="178" spans="1:15" x14ac:dyDescent="0.3">
      <c r="A178">
        <v>336</v>
      </c>
      <c r="B178" t="s">
        <v>183</v>
      </c>
      <c r="D178" t="s">
        <v>393</v>
      </c>
      <c r="E178" t="s">
        <v>393</v>
      </c>
      <c r="J178" t="str">
        <f t="shared" si="28"/>
        <v>Box Hits</v>
      </c>
      <c r="K178">
        <f t="shared" si="29"/>
        <v>336</v>
      </c>
      <c r="L178" t="str">
        <f t="shared" si="25"/>
        <v/>
      </c>
      <c r="M178" t="str">
        <f t="shared" si="26"/>
        <v/>
      </c>
      <c r="O178" t="str">
        <f t="shared" si="27"/>
        <v xml:space="preserve">      336:
        name: Box Hits</v>
      </c>
    </row>
    <row r="179" spans="1:15" x14ac:dyDescent="0.3">
      <c r="A179">
        <v>337</v>
      </c>
      <c r="B179" t="s">
        <v>184</v>
      </c>
      <c r="D179" t="s">
        <v>393</v>
      </c>
      <c r="E179" t="s">
        <v>393</v>
      </c>
      <c r="J179" t="str">
        <f t="shared" si="28"/>
        <v>4Music</v>
      </c>
      <c r="K179">
        <f t="shared" si="29"/>
        <v>337</v>
      </c>
      <c r="L179" t="str">
        <f t="shared" si="25"/>
        <v/>
      </c>
      <c r="M179" t="str">
        <f t="shared" si="26"/>
        <v/>
      </c>
      <c r="O179" t="str">
        <f t="shared" si="27"/>
        <v xml:space="preserve">      337:
        name: 4Music</v>
      </c>
    </row>
    <row r="180" spans="1:15" x14ac:dyDescent="0.3">
      <c r="A180">
        <v>338</v>
      </c>
      <c r="B180" t="s">
        <v>185</v>
      </c>
      <c r="D180" t="s">
        <v>393</v>
      </c>
      <c r="E180" t="s">
        <v>393</v>
      </c>
      <c r="J180" t="str">
        <f t="shared" si="28"/>
        <v>Kiss</v>
      </c>
      <c r="K180">
        <f t="shared" si="29"/>
        <v>338</v>
      </c>
      <c r="L180" t="str">
        <f t="shared" si="25"/>
        <v/>
      </c>
      <c r="M180" t="str">
        <f t="shared" si="26"/>
        <v/>
      </c>
      <c r="O180" t="str">
        <f t="shared" si="27"/>
        <v xml:space="preserve">      338:
        name: Kiss</v>
      </c>
    </row>
    <row r="181" spans="1:15" x14ac:dyDescent="0.3">
      <c r="A181">
        <v>340</v>
      </c>
      <c r="B181" t="s">
        <v>186</v>
      </c>
      <c r="D181" t="s">
        <v>393</v>
      </c>
      <c r="E181" t="s">
        <v>393</v>
      </c>
      <c r="J181" t="str">
        <f t="shared" si="28"/>
        <v>Magic</v>
      </c>
      <c r="K181">
        <f t="shared" si="29"/>
        <v>340</v>
      </c>
      <c r="L181" t="str">
        <f t="shared" si="25"/>
        <v/>
      </c>
      <c r="M181" t="str">
        <f t="shared" si="26"/>
        <v/>
      </c>
      <c r="O181" t="str">
        <f t="shared" si="27"/>
        <v xml:space="preserve">      340:
        name: Magic</v>
      </c>
    </row>
    <row r="182" spans="1:15" x14ac:dyDescent="0.3">
      <c r="A182">
        <v>342</v>
      </c>
      <c r="B182" t="s">
        <v>187</v>
      </c>
      <c r="D182" t="s">
        <v>393</v>
      </c>
      <c r="E182" t="s">
        <v>393</v>
      </c>
      <c r="J182" t="str">
        <f t="shared" si="28"/>
        <v>Kerrang! TV</v>
      </c>
      <c r="K182">
        <f t="shared" si="29"/>
        <v>342</v>
      </c>
      <c r="L182" t="str">
        <f t="shared" si="25"/>
        <v/>
      </c>
      <c r="M182" t="str">
        <f t="shared" si="26"/>
        <v/>
      </c>
      <c r="O182" t="str">
        <f t="shared" si="27"/>
        <v xml:space="preserve">      342:
        name: Kerrang! TV</v>
      </c>
    </row>
    <row r="183" spans="1:15" x14ac:dyDescent="0.3">
      <c r="A183">
        <v>343</v>
      </c>
      <c r="B183" t="s">
        <v>188</v>
      </c>
      <c r="D183" t="s">
        <v>393</v>
      </c>
      <c r="E183" t="s">
        <v>393</v>
      </c>
      <c r="J183" t="str">
        <f t="shared" si="28"/>
        <v>Vintage TV</v>
      </c>
      <c r="K183">
        <f t="shared" si="29"/>
        <v>343</v>
      </c>
      <c r="L183" t="str">
        <f t="shared" si="25"/>
        <v/>
      </c>
      <c r="M183" t="str">
        <f t="shared" si="26"/>
        <v/>
      </c>
      <c r="O183" t="str">
        <f t="shared" si="27"/>
        <v xml:space="preserve">      343:
        name: Vintage TV</v>
      </c>
    </row>
    <row r="184" spans="1:15" x14ac:dyDescent="0.3">
      <c r="A184">
        <v>344</v>
      </c>
      <c r="B184" t="s">
        <v>189</v>
      </c>
      <c r="D184" t="s">
        <v>393</v>
      </c>
      <c r="E184" t="s">
        <v>393</v>
      </c>
      <c r="J184" t="str">
        <f t="shared" si="28"/>
        <v>Vevo</v>
      </c>
      <c r="K184">
        <f t="shared" si="29"/>
        <v>344</v>
      </c>
      <c r="L184" t="str">
        <f t="shared" si="25"/>
        <v/>
      </c>
      <c r="M184" t="str">
        <f t="shared" si="26"/>
        <v/>
      </c>
      <c r="O184" t="str">
        <f t="shared" si="27"/>
        <v xml:space="preserve">      344:
        name: Vevo</v>
      </c>
    </row>
    <row r="185" spans="1:15" x14ac:dyDescent="0.3">
      <c r="A185">
        <v>345</v>
      </c>
      <c r="B185" t="s">
        <v>190</v>
      </c>
      <c r="D185" t="s">
        <v>393</v>
      </c>
      <c r="E185" t="s">
        <v>393</v>
      </c>
      <c r="J185" t="str">
        <f t="shared" si="28"/>
        <v>Clubland TV</v>
      </c>
      <c r="K185">
        <f t="shared" si="29"/>
        <v>345</v>
      </c>
      <c r="L185" t="str">
        <f t="shared" si="25"/>
        <v/>
      </c>
      <c r="M185" t="str">
        <f t="shared" si="26"/>
        <v/>
      </c>
      <c r="O185" t="str">
        <f t="shared" si="27"/>
        <v xml:space="preserve">      345:
        name: Clubland TV</v>
      </c>
    </row>
    <row r="186" spans="1:15" x14ac:dyDescent="0.3">
      <c r="A186">
        <v>400</v>
      </c>
      <c r="B186" t="s">
        <v>13</v>
      </c>
      <c r="D186" t="s">
        <v>393</v>
      </c>
      <c r="E186" t="s">
        <v>393</v>
      </c>
      <c r="J186" t="str">
        <f t="shared" si="28"/>
        <v>Virgin Movies Previews</v>
      </c>
      <c r="K186">
        <f t="shared" si="29"/>
        <v>400</v>
      </c>
      <c r="L186" t="str">
        <f t="shared" si="25"/>
        <v/>
      </c>
      <c r="M186" t="str">
        <f t="shared" si="26"/>
        <v/>
      </c>
      <c r="O186" t="str">
        <f t="shared" si="27"/>
        <v xml:space="preserve">      400:
        name: Virgin Movies Previews</v>
      </c>
    </row>
    <row r="187" spans="1:15" x14ac:dyDescent="0.3">
      <c r="A187">
        <v>401</v>
      </c>
      <c r="B187" t="s">
        <v>191</v>
      </c>
      <c r="D187" t="s">
        <v>393</v>
      </c>
      <c r="E187" t="s">
        <v>393</v>
      </c>
      <c r="J187" t="str">
        <f t="shared" si="28"/>
        <v>Sky Cinema Premiere HD</v>
      </c>
      <c r="K187">
        <f t="shared" si="29"/>
        <v>401</v>
      </c>
      <c r="L187" t="str">
        <f t="shared" si="25"/>
        <v/>
      </c>
      <c r="M187" t="str">
        <f t="shared" si="26"/>
        <v/>
      </c>
      <c r="O187" t="str">
        <f t="shared" si="27"/>
        <v xml:space="preserve">      401:
        name: Sky Cinema Premiere HD</v>
      </c>
    </row>
    <row r="188" spans="1:15" x14ac:dyDescent="0.3">
      <c r="A188">
        <v>403</v>
      </c>
      <c r="B188" t="s">
        <v>192</v>
      </c>
      <c r="D188" t="s">
        <v>393</v>
      </c>
      <c r="E188" t="s">
        <v>393</v>
      </c>
      <c r="J188" t="str">
        <f t="shared" si="28"/>
        <v>Sky Cinema Hits HD</v>
      </c>
      <c r="K188">
        <f t="shared" si="29"/>
        <v>403</v>
      </c>
      <c r="L188" t="str">
        <f t="shared" si="25"/>
        <v/>
      </c>
      <c r="M188" t="str">
        <f t="shared" si="26"/>
        <v/>
      </c>
      <c r="O188" t="str">
        <f t="shared" si="27"/>
        <v xml:space="preserve">      403:
        name: Sky Cinema Hits HD</v>
      </c>
    </row>
    <row r="189" spans="1:15" x14ac:dyDescent="0.3">
      <c r="A189">
        <v>404</v>
      </c>
      <c r="B189" t="s">
        <v>193</v>
      </c>
      <c r="D189" t="s">
        <v>393</v>
      </c>
      <c r="E189" t="s">
        <v>393</v>
      </c>
      <c r="J189" t="str">
        <f t="shared" si="28"/>
        <v>Sky Cinema Greats HD</v>
      </c>
      <c r="K189">
        <f t="shared" si="29"/>
        <v>404</v>
      </c>
      <c r="L189" t="str">
        <f t="shared" si="25"/>
        <v/>
      </c>
      <c r="M189" t="str">
        <f t="shared" si="26"/>
        <v/>
      </c>
      <c r="O189" t="str">
        <f t="shared" si="27"/>
        <v xml:space="preserve">      404:
        name: Sky Cinema Greats HD</v>
      </c>
    </row>
    <row r="190" spans="1:15" x14ac:dyDescent="0.3">
      <c r="A190">
        <v>405</v>
      </c>
      <c r="B190" t="s">
        <v>194</v>
      </c>
      <c r="D190" t="s">
        <v>393</v>
      </c>
      <c r="E190" t="s">
        <v>393</v>
      </c>
      <c r="J190" t="str">
        <f t="shared" si="28"/>
        <v>Sky Cinema Disney HD</v>
      </c>
      <c r="K190">
        <f t="shared" si="29"/>
        <v>405</v>
      </c>
      <c r="L190" t="str">
        <f t="shared" si="25"/>
        <v/>
      </c>
      <c r="M190" t="str">
        <f t="shared" si="26"/>
        <v/>
      </c>
      <c r="O190" t="str">
        <f t="shared" si="27"/>
        <v xml:space="preserve">      405:
        name: Sky Cinema Disney HD</v>
      </c>
    </row>
    <row r="191" spans="1:15" x14ac:dyDescent="0.3">
      <c r="A191">
        <v>406</v>
      </c>
      <c r="B191" t="s">
        <v>195</v>
      </c>
      <c r="D191" t="s">
        <v>393</v>
      </c>
      <c r="E191" t="s">
        <v>393</v>
      </c>
      <c r="J191" t="str">
        <f t="shared" si="28"/>
        <v>Sky Cinema Family HD</v>
      </c>
      <c r="K191">
        <f t="shared" si="29"/>
        <v>406</v>
      </c>
      <c r="L191" t="str">
        <f t="shared" si="25"/>
        <v/>
      </c>
      <c r="M191" t="str">
        <f t="shared" si="26"/>
        <v/>
      </c>
      <c r="O191" t="str">
        <f t="shared" si="27"/>
        <v xml:space="preserve">      406:
        name: Sky Cinema Family HD</v>
      </c>
    </row>
    <row r="192" spans="1:15" x14ac:dyDescent="0.3">
      <c r="A192">
        <v>407</v>
      </c>
      <c r="B192" t="s">
        <v>196</v>
      </c>
      <c r="D192" t="s">
        <v>393</v>
      </c>
      <c r="E192" t="s">
        <v>393</v>
      </c>
      <c r="J192" t="str">
        <f t="shared" si="28"/>
        <v>Sky Cinema Action &amp; Adventure HD</v>
      </c>
      <c r="K192">
        <f t="shared" si="29"/>
        <v>407</v>
      </c>
      <c r="L192" t="str">
        <f t="shared" si="25"/>
        <v/>
      </c>
      <c r="M192" t="str">
        <f t="shared" si="26"/>
        <v/>
      </c>
      <c r="O192" t="str">
        <f t="shared" si="27"/>
        <v xml:space="preserve">      407:
        name: 'Sky Cinema Action &amp; Adventure HD'</v>
      </c>
    </row>
    <row r="193" spans="1:15" x14ac:dyDescent="0.3">
      <c r="A193">
        <v>408</v>
      </c>
      <c r="B193" t="s">
        <v>197</v>
      </c>
      <c r="D193" t="s">
        <v>393</v>
      </c>
      <c r="E193" t="s">
        <v>393</v>
      </c>
      <c r="J193" t="str">
        <f t="shared" si="28"/>
        <v>Sky Cinema Comedy HD</v>
      </c>
      <c r="K193">
        <f t="shared" si="29"/>
        <v>408</v>
      </c>
      <c r="L193" t="str">
        <f t="shared" si="25"/>
        <v/>
      </c>
      <c r="M193" t="str">
        <f t="shared" si="26"/>
        <v/>
      </c>
      <c r="O193" t="str">
        <f t="shared" si="27"/>
        <v xml:space="preserve">      408:
        name: Sky Cinema Comedy HD</v>
      </c>
    </row>
    <row r="194" spans="1:15" x14ac:dyDescent="0.3">
      <c r="A194">
        <v>409</v>
      </c>
      <c r="B194" t="s">
        <v>198</v>
      </c>
      <c r="D194" t="s">
        <v>393</v>
      </c>
      <c r="E194" t="s">
        <v>393</v>
      </c>
      <c r="J194" t="str">
        <f t="shared" si="28"/>
        <v>Sky Cinema Crime &amp; Thriller HD</v>
      </c>
      <c r="K194">
        <f t="shared" si="29"/>
        <v>409</v>
      </c>
      <c r="L194" t="str">
        <f t="shared" ref="L194:L257" si="30">IF(NOT(ISERROR(VLOOKUP(B194&amp;" HD",B:B,1,FALSE))),VLOOKUP(B194&amp;" HD",J:K,2,FALSE),"")</f>
        <v/>
      </c>
      <c r="M194" t="str">
        <f t="shared" ref="M194:M257" si="31">IF(NOT(ISERROR(VLOOKUP(B194&amp;" +1",B:B,1,FALSE))),VLOOKUP(B194&amp;" +1",J:K,2,FALSE),"")</f>
        <v/>
      </c>
      <c r="O194" t="str">
        <f t="shared" si="27"/>
        <v xml:space="preserve">      409:
        name: 'Sky Cinema Crime &amp; Thriller HD'</v>
      </c>
    </row>
    <row r="195" spans="1:15" x14ac:dyDescent="0.3">
      <c r="A195">
        <v>410</v>
      </c>
      <c r="B195" t="s">
        <v>199</v>
      </c>
      <c r="D195" t="s">
        <v>393</v>
      </c>
      <c r="E195" t="s">
        <v>393</v>
      </c>
      <c r="J195" t="str">
        <f t="shared" si="28"/>
        <v>Sky Cinema Drama &amp; Romance HD</v>
      </c>
      <c r="K195">
        <f t="shared" si="29"/>
        <v>410</v>
      </c>
      <c r="L195" t="str">
        <f t="shared" si="30"/>
        <v/>
      </c>
      <c r="M195" t="str">
        <f t="shared" si="31"/>
        <v/>
      </c>
      <c r="O195" t="str">
        <f t="shared" ref="O195:O258" si="32">SUBSTITUTE(CONCATENATE("      ",A195,":","\nname: ",IF(ISERROR(FIND("&amp;",B195)),"","'"),B195,IF(ISERROR(FIND("&amp;",B195)),"","'"),IF(C195&lt;&gt;"","\nshow: "&amp;C195,""),IF(D195&lt;&gt;"","\nhd_channel: "&amp;D195,""),IF(E195&lt;&gt;"","\nplus_one: "&amp;E195,""),IF(F195&lt;&gt;"","\nlogo: "&amp;F195,""),IF(G195&lt;&gt;"","\ntarget: "&amp;G195,""),IF(H195&lt;&gt;"","\nsource: "&amp;H195,"")),"\n",CHAR(10)&amp;"        ")</f>
        <v xml:space="preserve">      410:
        name: 'Sky Cinema Drama &amp; Romance HD'</v>
      </c>
    </row>
    <row r="196" spans="1:15" x14ac:dyDescent="0.3">
      <c r="A196">
        <v>411</v>
      </c>
      <c r="B196" t="s">
        <v>200</v>
      </c>
      <c r="D196" t="s">
        <v>393</v>
      </c>
      <c r="E196" t="s">
        <v>393</v>
      </c>
      <c r="J196" t="str">
        <f t="shared" si="28"/>
        <v>Sky Cinema Sci Fi &amp; Horror HD</v>
      </c>
      <c r="K196">
        <f t="shared" si="29"/>
        <v>411</v>
      </c>
      <c r="L196" t="str">
        <f t="shared" si="30"/>
        <v/>
      </c>
      <c r="M196" t="str">
        <f t="shared" si="31"/>
        <v/>
      </c>
      <c r="O196" t="str">
        <f t="shared" si="32"/>
        <v xml:space="preserve">      411:
        name: 'Sky Cinema Sci Fi &amp; Horror HD'</v>
      </c>
    </row>
    <row r="197" spans="1:15" x14ac:dyDescent="0.3">
      <c r="A197">
        <v>412</v>
      </c>
      <c r="B197" t="s">
        <v>201</v>
      </c>
      <c r="D197" t="s">
        <v>393</v>
      </c>
      <c r="E197" t="s">
        <v>393</v>
      </c>
      <c r="J197" t="str">
        <f t="shared" si="28"/>
        <v>Sky Cinema Select HD</v>
      </c>
      <c r="K197">
        <f t="shared" si="29"/>
        <v>412</v>
      </c>
      <c r="L197" t="str">
        <f t="shared" si="30"/>
        <v/>
      </c>
      <c r="M197" t="str">
        <f t="shared" si="31"/>
        <v/>
      </c>
      <c r="O197" t="str">
        <f t="shared" si="32"/>
        <v xml:space="preserve">      412:
        name: Sky Cinema Select HD</v>
      </c>
    </row>
    <row r="198" spans="1:15" x14ac:dyDescent="0.3">
      <c r="A198">
        <v>415</v>
      </c>
      <c r="B198" t="s">
        <v>202</v>
      </c>
      <c r="D198">
        <v>416</v>
      </c>
      <c r="E198">
        <v>417</v>
      </c>
      <c r="J198" t="str">
        <f t="shared" si="28"/>
        <v>TCM</v>
      </c>
      <c r="K198">
        <f t="shared" si="29"/>
        <v>415</v>
      </c>
      <c r="L198">
        <f t="shared" si="30"/>
        <v>416</v>
      </c>
      <c r="M198">
        <f t="shared" si="31"/>
        <v>417</v>
      </c>
      <c r="O198" t="str">
        <f t="shared" si="32"/>
        <v xml:space="preserve">      415:
        name: TCM
        hd_channel: 416
        plus_one: 417</v>
      </c>
    </row>
    <row r="199" spans="1:15" x14ac:dyDescent="0.3">
      <c r="A199">
        <v>416</v>
      </c>
      <c r="B199" t="s">
        <v>203</v>
      </c>
      <c r="D199" t="s">
        <v>393</v>
      </c>
      <c r="E199" t="s">
        <v>393</v>
      </c>
      <c r="J199" t="str">
        <f t="shared" si="28"/>
        <v>TCM HD</v>
      </c>
      <c r="K199">
        <f t="shared" si="29"/>
        <v>416</v>
      </c>
      <c r="L199" t="str">
        <f t="shared" si="30"/>
        <v/>
      </c>
      <c r="M199" t="str">
        <f t="shared" si="31"/>
        <v/>
      </c>
      <c r="O199" t="str">
        <f t="shared" si="32"/>
        <v xml:space="preserve">      416:
        name: TCM HD</v>
      </c>
    </row>
    <row r="200" spans="1:15" x14ac:dyDescent="0.3">
      <c r="A200">
        <v>417</v>
      </c>
      <c r="B200" t="s">
        <v>204</v>
      </c>
      <c r="D200" t="s">
        <v>393</v>
      </c>
      <c r="E200" t="s">
        <v>393</v>
      </c>
      <c r="J200" t="str">
        <f t="shared" si="28"/>
        <v>TCM +1</v>
      </c>
      <c r="K200">
        <f t="shared" si="29"/>
        <v>417</v>
      </c>
      <c r="L200" t="str">
        <f t="shared" si="30"/>
        <v/>
      </c>
      <c r="M200" t="str">
        <f t="shared" si="31"/>
        <v/>
      </c>
      <c r="O200" t="str">
        <f t="shared" si="32"/>
        <v xml:space="preserve">      417:
        name: TCM +1</v>
      </c>
    </row>
    <row r="201" spans="1:15" x14ac:dyDescent="0.3">
      <c r="A201">
        <v>419</v>
      </c>
      <c r="B201" t="s">
        <v>205</v>
      </c>
      <c r="D201" t="s">
        <v>393</v>
      </c>
      <c r="E201" t="s">
        <v>393</v>
      </c>
      <c r="J201" t="str">
        <f t="shared" si="28"/>
        <v>Movies 24</v>
      </c>
      <c r="K201">
        <f t="shared" si="29"/>
        <v>419</v>
      </c>
      <c r="L201" t="str">
        <f t="shared" si="30"/>
        <v/>
      </c>
      <c r="M201" t="str">
        <f t="shared" si="31"/>
        <v/>
      </c>
      <c r="O201" t="str">
        <f t="shared" si="32"/>
        <v xml:space="preserve">      419:
        name: Movies 24</v>
      </c>
    </row>
    <row r="202" spans="1:15" x14ac:dyDescent="0.3">
      <c r="A202">
        <v>420</v>
      </c>
      <c r="B202" t="s">
        <v>206</v>
      </c>
      <c r="D202" t="s">
        <v>393</v>
      </c>
      <c r="E202" t="s">
        <v>393</v>
      </c>
      <c r="J202" t="str">
        <f t="shared" si="28"/>
        <v>Movies 24+</v>
      </c>
      <c r="K202">
        <f t="shared" si="29"/>
        <v>420</v>
      </c>
      <c r="L202" t="str">
        <f t="shared" si="30"/>
        <v/>
      </c>
      <c r="M202" t="str">
        <f t="shared" si="31"/>
        <v/>
      </c>
      <c r="O202" t="str">
        <f t="shared" si="32"/>
        <v xml:space="preserve">      420:
        name: Movies 24+</v>
      </c>
    </row>
    <row r="203" spans="1:15" x14ac:dyDescent="0.3">
      <c r="A203">
        <v>424</v>
      </c>
      <c r="B203" t="s">
        <v>207</v>
      </c>
      <c r="D203" t="s">
        <v>393</v>
      </c>
      <c r="E203" t="s">
        <v>393</v>
      </c>
      <c r="J203" t="str">
        <f t="shared" si="28"/>
        <v>True Movies 1</v>
      </c>
      <c r="K203">
        <f t="shared" si="29"/>
        <v>424</v>
      </c>
      <c r="L203" t="str">
        <f t="shared" si="30"/>
        <v/>
      </c>
      <c r="M203" t="str">
        <f t="shared" si="31"/>
        <v/>
      </c>
      <c r="O203" t="str">
        <f t="shared" si="32"/>
        <v xml:space="preserve">      424:
        name: True Movies 1</v>
      </c>
    </row>
    <row r="204" spans="1:15" x14ac:dyDescent="0.3">
      <c r="A204">
        <v>425</v>
      </c>
      <c r="B204" t="s">
        <v>208</v>
      </c>
      <c r="D204" t="s">
        <v>393</v>
      </c>
      <c r="E204" t="s">
        <v>393</v>
      </c>
      <c r="J204" t="str">
        <f t="shared" si="28"/>
        <v>Sony Movie Channel</v>
      </c>
      <c r="K204">
        <f t="shared" si="29"/>
        <v>425</v>
      </c>
      <c r="L204" t="str">
        <f t="shared" si="30"/>
        <v/>
      </c>
      <c r="M204" t="str">
        <f t="shared" si="31"/>
        <v/>
      </c>
      <c r="O204" t="str">
        <f t="shared" si="32"/>
        <v xml:space="preserve">      425:
        name: Sony Movie Channel</v>
      </c>
    </row>
    <row r="205" spans="1:15" x14ac:dyDescent="0.3">
      <c r="A205">
        <v>426</v>
      </c>
      <c r="B205" t="s">
        <v>209</v>
      </c>
      <c r="D205" t="s">
        <v>393</v>
      </c>
      <c r="E205" t="s">
        <v>393</v>
      </c>
      <c r="J205" t="str">
        <f t="shared" si="28"/>
        <v>Movies4Men</v>
      </c>
      <c r="K205">
        <f t="shared" si="29"/>
        <v>426</v>
      </c>
      <c r="L205" t="str">
        <f t="shared" si="30"/>
        <v/>
      </c>
      <c r="M205" t="str">
        <f t="shared" si="31"/>
        <v/>
      </c>
      <c r="O205" t="str">
        <f t="shared" si="32"/>
        <v xml:space="preserve">      426:
        name: Movies4Men</v>
      </c>
    </row>
    <row r="206" spans="1:15" x14ac:dyDescent="0.3">
      <c r="A206">
        <v>428</v>
      </c>
      <c r="B206" t="s">
        <v>210</v>
      </c>
      <c r="C206" t="str">
        <f t="shared" ref="C206" si="33">"true"</f>
        <v>true</v>
      </c>
      <c r="D206">
        <v>429</v>
      </c>
      <c r="E206">
        <v>430</v>
      </c>
      <c r="J206" t="str">
        <f t="shared" si="28"/>
        <v>Film4</v>
      </c>
      <c r="K206">
        <f t="shared" si="29"/>
        <v>428</v>
      </c>
      <c r="L206">
        <f t="shared" si="30"/>
        <v>429</v>
      </c>
      <c r="M206">
        <f t="shared" si="31"/>
        <v>430</v>
      </c>
      <c r="O206" t="str">
        <f t="shared" si="32"/>
        <v xml:space="preserve">      428:
        name: Film4
        show: true
        hd_channel: 429
        plus_one: 430</v>
      </c>
    </row>
    <row r="207" spans="1:15" x14ac:dyDescent="0.3">
      <c r="A207">
        <v>429</v>
      </c>
      <c r="B207" t="s">
        <v>211</v>
      </c>
      <c r="D207" t="s">
        <v>393</v>
      </c>
      <c r="E207" t="s">
        <v>393</v>
      </c>
      <c r="J207" t="str">
        <f t="shared" ref="J207:J271" si="34">B207</f>
        <v>Film4 HD</v>
      </c>
      <c r="K207">
        <f t="shared" ref="K207:K271" si="35">A207</f>
        <v>429</v>
      </c>
      <c r="L207" t="str">
        <f t="shared" si="30"/>
        <v/>
      </c>
      <c r="M207" t="str">
        <f t="shared" si="31"/>
        <v/>
      </c>
      <c r="O207" t="str">
        <f t="shared" si="32"/>
        <v xml:space="preserve">      429:
        name: Film4 HD</v>
      </c>
    </row>
    <row r="208" spans="1:15" x14ac:dyDescent="0.3">
      <c r="A208">
        <v>430</v>
      </c>
      <c r="B208" t="s">
        <v>212</v>
      </c>
      <c r="D208" t="s">
        <v>393</v>
      </c>
      <c r="E208" t="s">
        <v>393</v>
      </c>
      <c r="J208" t="str">
        <f t="shared" si="34"/>
        <v>Film4 +1</v>
      </c>
      <c r="K208">
        <f t="shared" si="35"/>
        <v>430</v>
      </c>
      <c r="L208" t="str">
        <f t="shared" si="30"/>
        <v/>
      </c>
      <c r="M208" t="str">
        <f t="shared" si="31"/>
        <v/>
      </c>
      <c r="O208" t="str">
        <f t="shared" si="32"/>
        <v xml:space="preserve">      430:
        name: Film4 +1</v>
      </c>
    </row>
    <row r="209" spans="1:15" x14ac:dyDescent="0.3">
      <c r="A209">
        <v>431</v>
      </c>
      <c r="B209" t="s">
        <v>213</v>
      </c>
      <c r="D209">
        <v>401</v>
      </c>
      <c r="E209">
        <v>432</v>
      </c>
      <c r="J209" t="str">
        <f t="shared" si="34"/>
        <v>Sky Cinema Premiere</v>
      </c>
      <c r="K209">
        <f t="shared" si="35"/>
        <v>431</v>
      </c>
      <c r="L209">
        <f t="shared" si="30"/>
        <v>401</v>
      </c>
      <c r="M209">
        <f t="shared" si="31"/>
        <v>432</v>
      </c>
      <c r="O209" t="str">
        <f t="shared" si="32"/>
        <v xml:space="preserve">      431:
        name: Sky Cinema Premiere
        hd_channel: 401
        plus_one: 432</v>
      </c>
    </row>
    <row r="210" spans="1:15" x14ac:dyDescent="0.3">
      <c r="A210">
        <v>432</v>
      </c>
      <c r="B210" t="s">
        <v>214</v>
      </c>
      <c r="D210" t="s">
        <v>393</v>
      </c>
      <c r="E210" t="s">
        <v>393</v>
      </c>
      <c r="J210" t="str">
        <f t="shared" si="34"/>
        <v>Sky Cinema Premiere +1</v>
      </c>
      <c r="K210">
        <f t="shared" si="35"/>
        <v>432</v>
      </c>
      <c r="L210" t="str">
        <f t="shared" si="30"/>
        <v/>
      </c>
      <c r="M210" t="str">
        <f t="shared" si="31"/>
        <v/>
      </c>
      <c r="O210" t="str">
        <f t="shared" si="32"/>
        <v xml:space="preserve">      432:
        name: Sky Cinema Premiere +1</v>
      </c>
    </row>
    <row r="211" spans="1:15" x14ac:dyDescent="0.3">
      <c r="A211">
        <v>433</v>
      </c>
      <c r="B211" t="s">
        <v>215</v>
      </c>
      <c r="D211">
        <v>403</v>
      </c>
      <c r="E211" t="s">
        <v>393</v>
      </c>
      <c r="J211" t="str">
        <f t="shared" si="34"/>
        <v>Sky Cinema Hits</v>
      </c>
      <c r="K211">
        <f t="shared" si="35"/>
        <v>433</v>
      </c>
      <c r="L211">
        <f t="shared" si="30"/>
        <v>403</v>
      </c>
      <c r="M211" t="str">
        <f t="shared" si="31"/>
        <v/>
      </c>
      <c r="O211" t="str">
        <f t="shared" si="32"/>
        <v xml:space="preserve">      433:
        name: Sky Cinema Hits
        hd_channel: 403</v>
      </c>
    </row>
    <row r="212" spans="1:15" x14ac:dyDescent="0.3">
      <c r="A212">
        <v>434</v>
      </c>
      <c r="B212" t="s">
        <v>216</v>
      </c>
      <c r="D212">
        <v>404</v>
      </c>
      <c r="E212" t="s">
        <v>393</v>
      </c>
      <c r="J212" t="str">
        <f t="shared" si="34"/>
        <v>Sky Cinema Greats</v>
      </c>
      <c r="K212">
        <f t="shared" si="35"/>
        <v>434</v>
      </c>
      <c r="L212">
        <f t="shared" si="30"/>
        <v>404</v>
      </c>
      <c r="M212" t="str">
        <f t="shared" si="31"/>
        <v/>
      </c>
      <c r="O212" t="str">
        <f t="shared" si="32"/>
        <v xml:space="preserve">      434:
        name: Sky Cinema Greats
        hd_channel: 404</v>
      </c>
    </row>
    <row r="213" spans="1:15" x14ac:dyDescent="0.3">
      <c r="A213">
        <v>435</v>
      </c>
      <c r="B213" t="s">
        <v>217</v>
      </c>
      <c r="D213">
        <v>405</v>
      </c>
      <c r="E213" t="s">
        <v>393</v>
      </c>
      <c r="J213" t="str">
        <f t="shared" si="34"/>
        <v>Sky Cinema Disney</v>
      </c>
      <c r="K213">
        <f t="shared" si="35"/>
        <v>435</v>
      </c>
      <c r="L213">
        <f t="shared" si="30"/>
        <v>405</v>
      </c>
      <c r="M213" t="str">
        <f t="shared" si="31"/>
        <v/>
      </c>
      <c r="O213" t="str">
        <f t="shared" si="32"/>
        <v xml:space="preserve">      435:
        name: Sky Cinema Disney
        hd_channel: 405</v>
      </c>
    </row>
    <row r="214" spans="1:15" x14ac:dyDescent="0.3">
      <c r="A214">
        <v>436</v>
      </c>
      <c r="B214" t="s">
        <v>218</v>
      </c>
      <c r="D214">
        <v>406</v>
      </c>
      <c r="E214" t="s">
        <v>393</v>
      </c>
      <c r="J214" t="str">
        <f t="shared" si="34"/>
        <v>Sky Cinema Family</v>
      </c>
      <c r="K214">
        <f t="shared" si="35"/>
        <v>436</v>
      </c>
      <c r="L214">
        <f t="shared" si="30"/>
        <v>406</v>
      </c>
      <c r="M214" t="str">
        <f t="shared" si="31"/>
        <v/>
      </c>
      <c r="O214" t="str">
        <f t="shared" si="32"/>
        <v xml:space="preserve">      436:
        name: Sky Cinema Family
        hd_channel: 406</v>
      </c>
    </row>
    <row r="215" spans="1:15" x14ac:dyDescent="0.3">
      <c r="A215">
        <v>437</v>
      </c>
      <c r="B215" t="s">
        <v>219</v>
      </c>
      <c r="D215">
        <v>407</v>
      </c>
      <c r="E215" t="s">
        <v>393</v>
      </c>
      <c r="J215" t="str">
        <f t="shared" si="34"/>
        <v>Sky Cinema Action &amp; Adventure</v>
      </c>
      <c r="K215">
        <f t="shared" si="35"/>
        <v>437</v>
      </c>
      <c r="L215">
        <f t="shared" si="30"/>
        <v>407</v>
      </c>
      <c r="M215" t="str">
        <f t="shared" si="31"/>
        <v/>
      </c>
      <c r="O215" t="str">
        <f t="shared" si="32"/>
        <v xml:space="preserve">      437:
        name: 'Sky Cinema Action &amp; Adventure'
        hd_channel: 407</v>
      </c>
    </row>
    <row r="216" spans="1:15" x14ac:dyDescent="0.3">
      <c r="A216">
        <v>438</v>
      </c>
      <c r="B216" t="s">
        <v>220</v>
      </c>
      <c r="D216">
        <v>408</v>
      </c>
      <c r="E216" t="s">
        <v>393</v>
      </c>
      <c r="J216" t="str">
        <f t="shared" si="34"/>
        <v>Sky Cinema Comedy</v>
      </c>
      <c r="K216">
        <f t="shared" si="35"/>
        <v>438</v>
      </c>
      <c r="L216">
        <f t="shared" si="30"/>
        <v>408</v>
      </c>
      <c r="M216" t="str">
        <f t="shared" si="31"/>
        <v/>
      </c>
      <c r="O216" t="str">
        <f t="shared" si="32"/>
        <v xml:space="preserve">      438:
        name: Sky Cinema Comedy
        hd_channel: 408</v>
      </c>
    </row>
    <row r="217" spans="1:15" x14ac:dyDescent="0.3">
      <c r="A217">
        <v>439</v>
      </c>
      <c r="B217" t="s">
        <v>221</v>
      </c>
      <c r="D217">
        <v>409</v>
      </c>
      <c r="E217" t="s">
        <v>393</v>
      </c>
      <c r="J217" t="str">
        <f t="shared" si="34"/>
        <v>Sky Cinema Crime &amp; Thriller</v>
      </c>
      <c r="K217">
        <f t="shared" si="35"/>
        <v>439</v>
      </c>
      <c r="L217">
        <f t="shared" si="30"/>
        <v>409</v>
      </c>
      <c r="M217" t="str">
        <f t="shared" si="31"/>
        <v/>
      </c>
      <c r="O217" t="str">
        <f t="shared" si="32"/>
        <v xml:space="preserve">      439:
        name: 'Sky Cinema Crime &amp; Thriller'
        hd_channel: 409</v>
      </c>
    </row>
    <row r="218" spans="1:15" x14ac:dyDescent="0.3">
      <c r="A218">
        <v>440</v>
      </c>
      <c r="B218" t="s">
        <v>222</v>
      </c>
      <c r="D218">
        <v>410</v>
      </c>
      <c r="E218" t="s">
        <v>393</v>
      </c>
      <c r="J218" t="str">
        <f t="shared" si="34"/>
        <v>Sky Cinema Drama &amp; Romance</v>
      </c>
      <c r="K218">
        <f t="shared" si="35"/>
        <v>440</v>
      </c>
      <c r="L218">
        <f t="shared" si="30"/>
        <v>410</v>
      </c>
      <c r="M218" t="str">
        <f t="shared" si="31"/>
        <v/>
      </c>
      <c r="O218" t="str">
        <f t="shared" si="32"/>
        <v xml:space="preserve">      440:
        name: 'Sky Cinema Drama &amp; Romance'
        hd_channel: 410</v>
      </c>
    </row>
    <row r="219" spans="1:15" x14ac:dyDescent="0.3">
      <c r="A219">
        <v>441</v>
      </c>
      <c r="B219" t="s">
        <v>223</v>
      </c>
      <c r="D219">
        <v>411</v>
      </c>
      <c r="E219" t="s">
        <v>393</v>
      </c>
      <c r="J219" t="str">
        <f t="shared" si="34"/>
        <v>Sky Cinema Sci Fi &amp; Horror</v>
      </c>
      <c r="K219">
        <f t="shared" si="35"/>
        <v>441</v>
      </c>
      <c r="L219">
        <f t="shared" si="30"/>
        <v>411</v>
      </c>
      <c r="M219" t="str">
        <f t="shared" si="31"/>
        <v/>
      </c>
      <c r="O219" t="str">
        <f t="shared" si="32"/>
        <v xml:space="preserve">      441:
        name: 'Sky Cinema Sci Fi &amp; Horror'
        hd_channel: 411</v>
      </c>
    </row>
    <row r="220" spans="1:15" x14ac:dyDescent="0.3">
      <c r="A220">
        <v>442</v>
      </c>
      <c r="B220" t="s">
        <v>224</v>
      </c>
      <c r="D220">
        <v>412</v>
      </c>
      <c r="E220" t="s">
        <v>393</v>
      </c>
      <c r="J220" t="str">
        <f t="shared" si="34"/>
        <v>Sky Cinema Select</v>
      </c>
      <c r="K220">
        <f t="shared" si="35"/>
        <v>442</v>
      </c>
      <c r="L220">
        <f t="shared" si="30"/>
        <v>412</v>
      </c>
      <c r="M220" t="str">
        <f t="shared" si="31"/>
        <v/>
      </c>
      <c r="O220" t="str">
        <f t="shared" si="32"/>
        <v xml:space="preserve">      442:
        name: Sky Cinema Select
        hd_channel: 412</v>
      </c>
    </row>
    <row r="221" spans="1:15" x14ac:dyDescent="0.3">
      <c r="A221">
        <v>445</v>
      </c>
      <c r="B221" t="s">
        <v>225</v>
      </c>
      <c r="D221" t="s">
        <v>393</v>
      </c>
      <c r="E221" t="s">
        <v>393</v>
      </c>
      <c r="J221" t="str">
        <f t="shared" si="34"/>
        <v>Talking Pictures TV</v>
      </c>
      <c r="K221">
        <f t="shared" si="35"/>
        <v>445</v>
      </c>
      <c r="L221" t="str">
        <f t="shared" si="30"/>
        <v/>
      </c>
      <c r="M221" t="str">
        <f t="shared" si="31"/>
        <v/>
      </c>
      <c r="O221" t="str">
        <f t="shared" si="32"/>
        <v xml:space="preserve">      445:
        name: Talking Pictures TV</v>
      </c>
    </row>
    <row r="222" spans="1:15" x14ac:dyDescent="0.3">
      <c r="A222">
        <v>501</v>
      </c>
      <c r="B222" t="s">
        <v>226</v>
      </c>
      <c r="D222" t="s">
        <v>393</v>
      </c>
      <c r="E222" t="s">
        <v>393</v>
      </c>
      <c r="J222" t="str">
        <f t="shared" si="34"/>
        <v>Sky Sports Main Event HD</v>
      </c>
      <c r="K222">
        <f t="shared" si="35"/>
        <v>501</v>
      </c>
      <c r="L222" t="str">
        <f t="shared" si="30"/>
        <v/>
      </c>
      <c r="M222" t="str">
        <f t="shared" si="31"/>
        <v/>
      </c>
      <c r="O222" t="str">
        <f t="shared" si="32"/>
        <v xml:space="preserve">      501:
        name: Sky Sports Main Event HD</v>
      </c>
    </row>
    <row r="223" spans="1:15" x14ac:dyDescent="0.3">
      <c r="A223">
        <v>502</v>
      </c>
      <c r="B223" t="s">
        <v>227</v>
      </c>
      <c r="D223" t="s">
        <v>393</v>
      </c>
      <c r="E223" t="s">
        <v>393</v>
      </c>
      <c r="J223" t="str">
        <f t="shared" si="34"/>
        <v>Sky Sports Premier League HD</v>
      </c>
      <c r="K223">
        <f t="shared" si="35"/>
        <v>502</v>
      </c>
      <c r="L223" t="str">
        <f t="shared" si="30"/>
        <v/>
      </c>
      <c r="M223" t="str">
        <f t="shared" si="31"/>
        <v/>
      </c>
      <c r="O223" t="str">
        <f t="shared" si="32"/>
        <v xml:space="preserve">      502:
        name: Sky Sports Premier League HD</v>
      </c>
    </row>
    <row r="224" spans="1:15" x14ac:dyDescent="0.3">
      <c r="A224">
        <v>503</v>
      </c>
      <c r="B224" t="s">
        <v>228</v>
      </c>
      <c r="D224" t="s">
        <v>393</v>
      </c>
      <c r="E224" t="s">
        <v>393</v>
      </c>
      <c r="J224" t="str">
        <f t="shared" si="34"/>
        <v>Sky Sports Football HD</v>
      </c>
      <c r="K224">
        <f t="shared" si="35"/>
        <v>503</v>
      </c>
      <c r="L224" t="str">
        <f t="shared" si="30"/>
        <v/>
      </c>
      <c r="M224" t="str">
        <f t="shared" si="31"/>
        <v/>
      </c>
      <c r="O224" t="str">
        <f t="shared" si="32"/>
        <v xml:space="preserve">      503:
        name: Sky Sports Football HD</v>
      </c>
    </row>
    <row r="225" spans="1:15" x14ac:dyDescent="0.3">
      <c r="A225">
        <v>504</v>
      </c>
      <c r="B225" t="s">
        <v>229</v>
      </c>
      <c r="D225" t="s">
        <v>393</v>
      </c>
      <c r="E225" t="s">
        <v>393</v>
      </c>
      <c r="J225" t="str">
        <f t="shared" si="34"/>
        <v>Sky Sports Cricket HD</v>
      </c>
      <c r="K225">
        <f t="shared" si="35"/>
        <v>504</v>
      </c>
      <c r="L225" t="str">
        <f t="shared" si="30"/>
        <v/>
      </c>
      <c r="M225" t="str">
        <f t="shared" si="31"/>
        <v/>
      </c>
      <c r="O225" t="str">
        <f t="shared" si="32"/>
        <v xml:space="preserve">      504:
        name: Sky Sports Cricket HD</v>
      </c>
    </row>
    <row r="226" spans="1:15" x14ac:dyDescent="0.3">
      <c r="A226">
        <v>505</v>
      </c>
      <c r="B226" t="s">
        <v>230</v>
      </c>
      <c r="D226" t="s">
        <v>393</v>
      </c>
      <c r="E226" t="s">
        <v>393</v>
      </c>
      <c r="J226" t="str">
        <f t="shared" si="34"/>
        <v>Sky Sports Golf HD</v>
      </c>
      <c r="K226">
        <f t="shared" si="35"/>
        <v>505</v>
      </c>
      <c r="L226" t="str">
        <f t="shared" si="30"/>
        <v/>
      </c>
      <c r="M226" t="str">
        <f t="shared" si="31"/>
        <v/>
      </c>
      <c r="O226" t="str">
        <f t="shared" si="32"/>
        <v xml:space="preserve">      505:
        name: Sky Sports Golf HD</v>
      </c>
    </row>
    <row r="227" spans="1:15" x14ac:dyDescent="0.3">
      <c r="A227">
        <v>506</v>
      </c>
      <c r="B227" t="s">
        <v>231</v>
      </c>
      <c r="D227" t="s">
        <v>393</v>
      </c>
      <c r="E227" t="s">
        <v>393</v>
      </c>
      <c r="J227" t="str">
        <f t="shared" si="34"/>
        <v>Sky Sports F1 HD</v>
      </c>
      <c r="K227">
        <f t="shared" si="35"/>
        <v>506</v>
      </c>
      <c r="L227" t="str">
        <f t="shared" si="30"/>
        <v/>
      </c>
      <c r="M227" t="str">
        <f t="shared" si="31"/>
        <v/>
      </c>
      <c r="O227" t="str">
        <f t="shared" si="32"/>
        <v xml:space="preserve">      506:
        name: Sky Sports F1 HD</v>
      </c>
    </row>
    <row r="228" spans="1:15" x14ac:dyDescent="0.3">
      <c r="A228">
        <v>507</v>
      </c>
      <c r="B228" t="s">
        <v>232</v>
      </c>
      <c r="D228" t="s">
        <v>393</v>
      </c>
      <c r="E228" t="s">
        <v>393</v>
      </c>
      <c r="J228" t="str">
        <f t="shared" si="34"/>
        <v>Sky Sports Action HD</v>
      </c>
      <c r="K228">
        <f t="shared" si="35"/>
        <v>507</v>
      </c>
      <c r="L228" t="str">
        <f t="shared" si="30"/>
        <v/>
      </c>
      <c r="M228" t="str">
        <f t="shared" si="31"/>
        <v/>
      </c>
      <c r="O228" t="str">
        <f t="shared" si="32"/>
        <v xml:space="preserve">      507:
        name: Sky Sports Action HD</v>
      </c>
    </row>
    <row r="229" spans="1:15" x14ac:dyDescent="0.3">
      <c r="A229">
        <v>508</v>
      </c>
      <c r="B229" t="s">
        <v>233</v>
      </c>
      <c r="D229" t="s">
        <v>393</v>
      </c>
      <c r="E229" t="s">
        <v>393</v>
      </c>
      <c r="J229" t="str">
        <f t="shared" si="34"/>
        <v>Sky Sports Arena HD</v>
      </c>
      <c r="K229">
        <f t="shared" si="35"/>
        <v>508</v>
      </c>
      <c r="L229" t="str">
        <f t="shared" si="30"/>
        <v/>
      </c>
      <c r="M229" t="str">
        <f t="shared" si="31"/>
        <v/>
      </c>
      <c r="O229" t="str">
        <f t="shared" si="32"/>
        <v xml:space="preserve">      508:
        name: Sky Sports Arena HD</v>
      </c>
    </row>
    <row r="230" spans="1:15" x14ac:dyDescent="0.3">
      <c r="A230">
        <v>509</v>
      </c>
      <c r="B230" t="s">
        <v>234</v>
      </c>
      <c r="D230" t="s">
        <v>393</v>
      </c>
      <c r="E230" t="s">
        <v>393</v>
      </c>
      <c r="J230" t="str">
        <f t="shared" si="34"/>
        <v>Sky Sports News HD</v>
      </c>
      <c r="K230">
        <f t="shared" si="35"/>
        <v>509</v>
      </c>
      <c r="L230" t="str">
        <f t="shared" si="30"/>
        <v/>
      </c>
      <c r="M230" t="str">
        <f t="shared" si="31"/>
        <v/>
      </c>
      <c r="O230" t="str">
        <f t="shared" si="32"/>
        <v xml:space="preserve">      509:
        name: Sky Sports News HD</v>
      </c>
    </row>
    <row r="231" spans="1:15" x14ac:dyDescent="0.3">
      <c r="A231">
        <v>510</v>
      </c>
      <c r="B231" t="s">
        <v>235</v>
      </c>
      <c r="D231" t="s">
        <v>393</v>
      </c>
      <c r="E231" t="s">
        <v>393</v>
      </c>
      <c r="J231" t="str">
        <f t="shared" si="34"/>
        <v>Sky Sports Mix HD</v>
      </c>
      <c r="K231">
        <f t="shared" si="35"/>
        <v>510</v>
      </c>
      <c r="L231" t="str">
        <f t="shared" si="30"/>
        <v/>
      </c>
      <c r="M231" t="str">
        <f t="shared" si="31"/>
        <v/>
      </c>
      <c r="O231" t="str">
        <f t="shared" si="32"/>
        <v xml:space="preserve">      510:
        name: Sky Sports Mix HD</v>
      </c>
    </row>
    <row r="232" spans="1:15" x14ac:dyDescent="0.3">
      <c r="A232">
        <v>511</v>
      </c>
      <c r="B232" t="s">
        <v>236</v>
      </c>
      <c r="D232">
        <v>501</v>
      </c>
      <c r="E232" t="s">
        <v>393</v>
      </c>
      <c r="J232" t="str">
        <f t="shared" si="34"/>
        <v>Sky Sports Main Event</v>
      </c>
      <c r="K232">
        <f t="shared" si="35"/>
        <v>511</v>
      </c>
      <c r="L232">
        <f t="shared" si="30"/>
        <v>501</v>
      </c>
      <c r="M232" t="str">
        <f t="shared" si="31"/>
        <v/>
      </c>
      <c r="O232" t="str">
        <f t="shared" si="32"/>
        <v xml:space="preserve">      511:
        name: Sky Sports Main Event
        hd_channel: 501</v>
      </c>
    </row>
    <row r="233" spans="1:15" x14ac:dyDescent="0.3">
      <c r="A233">
        <v>512</v>
      </c>
      <c r="B233" t="s">
        <v>237</v>
      </c>
      <c r="D233">
        <v>502</v>
      </c>
      <c r="E233" t="s">
        <v>393</v>
      </c>
      <c r="J233" t="str">
        <f t="shared" si="34"/>
        <v>Sky Sports Premier League</v>
      </c>
      <c r="K233">
        <f t="shared" si="35"/>
        <v>512</v>
      </c>
      <c r="L233">
        <f t="shared" si="30"/>
        <v>502</v>
      </c>
      <c r="M233" t="str">
        <f t="shared" si="31"/>
        <v/>
      </c>
      <c r="O233" t="str">
        <f t="shared" si="32"/>
        <v xml:space="preserve">      512:
        name: Sky Sports Premier League
        hd_channel: 502</v>
      </c>
    </row>
    <row r="234" spans="1:15" x14ac:dyDescent="0.3">
      <c r="A234">
        <v>513</v>
      </c>
      <c r="B234" t="s">
        <v>238</v>
      </c>
      <c r="D234">
        <v>503</v>
      </c>
      <c r="E234" t="s">
        <v>393</v>
      </c>
      <c r="J234" t="str">
        <f t="shared" si="34"/>
        <v>Sky Sports Football</v>
      </c>
      <c r="K234">
        <f t="shared" si="35"/>
        <v>513</v>
      </c>
      <c r="L234">
        <f t="shared" si="30"/>
        <v>503</v>
      </c>
      <c r="M234" t="str">
        <f t="shared" si="31"/>
        <v/>
      </c>
      <c r="O234" t="str">
        <f t="shared" si="32"/>
        <v xml:space="preserve">      513:
        name: Sky Sports Football
        hd_channel: 503</v>
      </c>
    </row>
    <row r="235" spans="1:15" x14ac:dyDescent="0.3">
      <c r="A235">
        <v>514</v>
      </c>
      <c r="B235" t="s">
        <v>239</v>
      </c>
      <c r="D235">
        <v>504</v>
      </c>
      <c r="E235" t="s">
        <v>393</v>
      </c>
      <c r="J235" t="str">
        <f t="shared" si="34"/>
        <v>Sky Sports Cricket</v>
      </c>
      <c r="K235">
        <f t="shared" si="35"/>
        <v>514</v>
      </c>
      <c r="L235">
        <f t="shared" si="30"/>
        <v>504</v>
      </c>
      <c r="M235" t="str">
        <f t="shared" si="31"/>
        <v/>
      </c>
      <c r="O235" t="str">
        <f t="shared" si="32"/>
        <v xml:space="preserve">      514:
        name: Sky Sports Cricket
        hd_channel: 504</v>
      </c>
    </row>
    <row r="236" spans="1:15" x14ac:dyDescent="0.3">
      <c r="A236">
        <v>515</v>
      </c>
      <c r="B236" t="s">
        <v>240</v>
      </c>
      <c r="D236">
        <v>505</v>
      </c>
      <c r="E236" t="s">
        <v>393</v>
      </c>
      <c r="J236" t="str">
        <f t="shared" si="34"/>
        <v>Sky Sports Golf</v>
      </c>
      <c r="K236">
        <f t="shared" si="35"/>
        <v>515</v>
      </c>
      <c r="L236">
        <f t="shared" si="30"/>
        <v>505</v>
      </c>
      <c r="M236" t="str">
        <f t="shared" si="31"/>
        <v/>
      </c>
      <c r="O236" t="str">
        <f t="shared" si="32"/>
        <v xml:space="preserve">      515:
        name: Sky Sports Golf
        hd_channel: 505</v>
      </c>
    </row>
    <row r="237" spans="1:15" x14ac:dyDescent="0.3">
      <c r="A237">
        <v>516</v>
      </c>
      <c r="B237" t="s">
        <v>241</v>
      </c>
      <c r="D237">
        <v>506</v>
      </c>
      <c r="E237" t="s">
        <v>393</v>
      </c>
      <c r="J237" t="str">
        <f t="shared" si="34"/>
        <v>Sky Sports F1</v>
      </c>
      <c r="K237">
        <f t="shared" si="35"/>
        <v>516</v>
      </c>
      <c r="L237">
        <f t="shared" si="30"/>
        <v>506</v>
      </c>
      <c r="M237" t="str">
        <f t="shared" si="31"/>
        <v/>
      </c>
      <c r="O237" t="str">
        <f t="shared" si="32"/>
        <v xml:space="preserve">      516:
        name: Sky Sports F1
        hd_channel: 506</v>
      </c>
    </row>
    <row r="238" spans="1:15" x14ac:dyDescent="0.3">
      <c r="A238">
        <v>517</v>
      </c>
      <c r="B238" t="s">
        <v>242</v>
      </c>
      <c r="D238">
        <v>507</v>
      </c>
      <c r="E238" t="s">
        <v>393</v>
      </c>
      <c r="J238" t="str">
        <f t="shared" si="34"/>
        <v>Sky Sports Action</v>
      </c>
      <c r="K238">
        <f t="shared" si="35"/>
        <v>517</v>
      </c>
      <c r="L238">
        <f t="shared" si="30"/>
        <v>507</v>
      </c>
      <c r="M238" t="str">
        <f t="shared" si="31"/>
        <v/>
      </c>
      <c r="O238" t="str">
        <f t="shared" si="32"/>
        <v xml:space="preserve">      517:
        name: Sky Sports Action
        hd_channel: 507</v>
      </c>
    </row>
    <row r="239" spans="1:15" x14ac:dyDescent="0.3">
      <c r="A239">
        <v>518</v>
      </c>
      <c r="B239" t="s">
        <v>243</v>
      </c>
      <c r="D239">
        <v>508</v>
      </c>
      <c r="E239" t="s">
        <v>393</v>
      </c>
      <c r="J239" t="str">
        <f t="shared" si="34"/>
        <v>Sky Sports Arena</v>
      </c>
      <c r="K239">
        <f t="shared" si="35"/>
        <v>518</v>
      </c>
      <c r="L239">
        <f t="shared" si="30"/>
        <v>508</v>
      </c>
      <c r="M239" t="str">
        <f t="shared" si="31"/>
        <v/>
      </c>
      <c r="O239" t="str">
        <f t="shared" si="32"/>
        <v xml:space="preserve">      518:
        name: Sky Sports Arena
        hd_channel: 508</v>
      </c>
    </row>
    <row r="240" spans="1:15" x14ac:dyDescent="0.3">
      <c r="A240">
        <v>519</v>
      </c>
      <c r="B240" t="s">
        <v>244</v>
      </c>
      <c r="D240">
        <v>509</v>
      </c>
      <c r="E240" t="s">
        <v>393</v>
      </c>
      <c r="J240" t="str">
        <f t="shared" si="34"/>
        <v>Sky Sports News</v>
      </c>
      <c r="K240">
        <f t="shared" si="35"/>
        <v>519</v>
      </c>
      <c r="L240">
        <f t="shared" si="30"/>
        <v>509</v>
      </c>
      <c r="M240" t="str">
        <f t="shared" si="31"/>
        <v/>
      </c>
      <c r="O240" t="str">
        <f t="shared" si="32"/>
        <v xml:space="preserve">      519:
        name: Sky Sports News
        hd_channel: 509</v>
      </c>
    </row>
    <row r="241" spans="1:15" x14ac:dyDescent="0.3">
      <c r="A241">
        <v>520</v>
      </c>
      <c r="B241" t="s">
        <v>245</v>
      </c>
      <c r="D241">
        <v>510</v>
      </c>
      <c r="E241" t="s">
        <v>393</v>
      </c>
      <c r="J241" t="str">
        <f t="shared" si="34"/>
        <v>Sky Sports Mix</v>
      </c>
      <c r="K241">
        <f t="shared" si="35"/>
        <v>520</v>
      </c>
      <c r="L241">
        <f t="shared" si="30"/>
        <v>510</v>
      </c>
      <c r="M241" t="str">
        <f t="shared" si="31"/>
        <v/>
      </c>
      <c r="O241" t="str">
        <f t="shared" si="32"/>
        <v xml:space="preserve">      520:
        name: Sky Sports Mix
        hd_channel: 510</v>
      </c>
    </row>
    <row r="242" spans="1:15" x14ac:dyDescent="0.3">
      <c r="A242">
        <v>521</v>
      </c>
      <c r="B242" t="s">
        <v>246</v>
      </c>
      <c r="D242" t="s">
        <v>393</v>
      </c>
      <c r="E242" t="s">
        <v>393</v>
      </c>
      <c r="J242" t="str">
        <f t="shared" si="34"/>
        <v>Eurosport 1 HD</v>
      </c>
      <c r="K242">
        <f t="shared" si="35"/>
        <v>521</v>
      </c>
      <c r="L242" t="str">
        <f t="shared" si="30"/>
        <v/>
      </c>
      <c r="M242" t="str">
        <f t="shared" si="31"/>
        <v/>
      </c>
      <c r="O242" t="str">
        <f t="shared" si="32"/>
        <v xml:space="preserve">      521:
        name: Eurosport 1 HD</v>
      </c>
    </row>
    <row r="243" spans="1:15" x14ac:dyDescent="0.3">
      <c r="A243">
        <v>522</v>
      </c>
      <c r="B243" t="s">
        <v>247</v>
      </c>
      <c r="D243" t="s">
        <v>393</v>
      </c>
      <c r="E243" t="s">
        <v>393</v>
      </c>
      <c r="J243" t="str">
        <f t="shared" si="34"/>
        <v>Eurosport 2 HD</v>
      </c>
      <c r="K243">
        <f t="shared" si="35"/>
        <v>522</v>
      </c>
      <c r="L243" t="str">
        <f t="shared" si="30"/>
        <v/>
      </c>
      <c r="M243" t="str">
        <f t="shared" si="31"/>
        <v/>
      </c>
      <c r="O243" t="str">
        <f t="shared" si="32"/>
        <v xml:space="preserve">      522:
        name: Eurosport 2 HD</v>
      </c>
    </row>
    <row r="244" spans="1:15" x14ac:dyDescent="0.3">
      <c r="A244">
        <v>523</v>
      </c>
      <c r="B244" t="s">
        <v>248</v>
      </c>
      <c r="D244">
        <v>521</v>
      </c>
      <c r="E244" t="s">
        <v>393</v>
      </c>
      <c r="J244" t="str">
        <f t="shared" si="34"/>
        <v>Eurosport 1</v>
      </c>
      <c r="K244">
        <f t="shared" si="35"/>
        <v>523</v>
      </c>
      <c r="L244">
        <f t="shared" si="30"/>
        <v>521</v>
      </c>
      <c r="M244" t="str">
        <f t="shared" si="31"/>
        <v/>
      </c>
      <c r="O244" t="str">
        <f t="shared" si="32"/>
        <v xml:space="preserve">      523:
        name: Eurosport 1
        hd_channel: 521</v>
      </c>
    </row>
    <row r="245" spans="1:15" x14ac:dyDescent="0.3">
      <c r="A245">
        <v>524</v>
      </c>
      <c r="B245" t="s">
        <v>249</v>
      </c>
      <c r="D245">
        <v>522</v>
      </c>
      <c r="E245" t="s">
        <v>393</v>
      </c>
      <c r="J245" t="str">
        <f t="shared" si="34"/>
        <v>Eurosport 2</v>
      </c>
      <c r="K245">
        <f t="shared" si="35"/>
        <v>524</v>
      </c>
      <c r="L245">
        <f t="shared" si="30"/>
        <v>522</v>
      </c>
      <c r="M245" t="str">
        <f t="shared" si="31"/>
        <v/>
      </c>
      <c r="O245" t="str">
        <f t="shared" si="32"/>
        <v xml:space="preserve">      524:
        name: Eurosport 2
        hd_channel: 522</v>
      </c>
    </row>
    <row r="246" spans="1:15" x14ac:dyDescent="0.3">
      <c r="A246">
        <v>526</v>
      </c>
      <c r="B246" t="s">
        <v>250</v>
      </c>
      <c r="D246" t="s">
        <v>393</v>
      </c>
      <c r="E246" t="s">
        <v>393</v>
      </c>
      <c r="J246" t="str">
        <f t="shared" si="34"/>
        <v>MUTV</v>
      </c>
      <c r="K246">
        <f t="shared" si="35"/>
        <v>526</v>
      </c>
      <c r="L246" t="str">
        <f t="shared" si="30"/>
        <v/>
      </c>
      <c r="M246" t="str">
        <f t="shared" si="31"/>
        <v/>
      </c>
      <c r="O246" t="str">
        <f t="shared" si="32"/>
        <v xml:space="preserve">      526:
        name: MUTV</v>
      </c>
    </row>
    <row r="247" spans="1:15" x14ac:dyDescent="0.3">
      <c r="A247">
        <v>527</v>
      </c>
      <c r="B247" t="s">
        <v>251</v>
      </c>
      <c r="D247" t="s">
        <v>393</v>
      </c>
      <c r="E247" t="s">
        <v>393</v>
      </c>
      <c r="J247" t="str">
        <f t="shared" si="34"/>
        <v>BT Sport 1 HD</v>
      </c>
      <c r="K247">
        <f t="shared" si="35"/>
        <v>527</v>
      </c>
      <c r="L247" t="str">
        <f t="shared" si="30"/>
        <v/>
      </c>
      <c r="M247" t="str">
        <f t="shared" si="31"/>
        <v/>
      </c>
      <c r="O247" t="str">
        <f t="shared" si="32"/>
        <v xml:space="preserve">      527:
        name: BT Sport 1 HD</v>
      </c>
    </row>
    <row r="248" spans="1:15" x14ac:dyDescent="0.3">
      <c r="A248">
        <v>528</v>
      </c>
      <c r="B248" t="s">
        <v>252</v>
      </c>
      <c r="D248" t="s">
        <v>393</v>
      </c>
      <c r="E248" t="s">
        <v>393</v>
      </c>
      <c r="J248" t="str">
        <f t="shared" si="34"/>
        <v>BT Sport 2 HD</v>
      </c>
      <c r="K248">
        <f t="shared" si="35"/>
        <v>528</v>
      </c>
      <c r="L248" t="str">
        <f t="shared" si="30"/>
        <v/>
      </c>
      <c r="M248" t="str">
        <f t="shared" si="31"/>
        <v/>
      </c>
      <c r="O248" t="str">
        <f t="shared" si="32"/>
        <v xml:space="preserve">      528:
        name: BT Sport 2 HD</v>
      </c>
    </row>
    <row r="249" spans="1:15" x14ac:dyDescent="0.3">
      <c r="A249">
        <v>529</v>
      </c>
      <c r="B249" t="s">
        <v>253</v>
      </c>
      <c r="D249" t="s">
        <v>393</v>
      </c>
      <c r="E249" t="s">
        <v>393</v>
      </c>
      <c r="J249" t="str">
        <f t="shared" si="34"/>
        <v>BT Sport 3 HD</v>
      </c>
      <c r="K249">
        <f t="shared" si="35"/>
        <v>529</v>
      </c>
      <c r="L249" t="str">
        <f t="shared" si="30"/>
        <v/>
      </c>
      <c r="M249" t="str">
        <f t="shared" si="31"/>
        <v/>
      </c>
      <c r="O249" t="str">
        <f t="shared" si="32"/>
        <v xml:space="preserve">      529:
        name: BT Sport 3 HD</v>
      </c>
    </row>
    <row r="250" spans="1:15" x14ac:dyDescent="0.3">
      <c r="A250">
        <v>530</v>
      </c>
      <c r="B250" t="s">
        <v>254</v>
      </c>
      <c r="D250" t="s">
        <v>393</v>
      </c>
      <c r="E250" t="s">
        <v>393</v>
      </c>
      <c r="J250" t="str">
        <f t="shared" si="34"/>
        <v>BT Sport ESPN HD</v>
      </c>
      <c r="K250">
        <f t="shared" si="35"/>
        <v>530</v>
      </c>
      <c r="L250" t="str">
        <f t="shared" si="30"/>
        <v/>
      </c>
      <c r="M250" t="str">
        <f t="shared" si="31"/>
        <v/>
      </c>
      <c r="O250" t="str">
        <f t="shared" si="32"/>
        <v xml:space="preserve">      530:
        name: BT Sport ESPN HD</v>
      </c>
    </row>
    <row r="251" spans="1:15" x14ac:dyDescent="0.3">
      <c r="A251">
        <v>531</v>
      </c>
      <c r="B251" t="s">
        <v>255</v>
      </c>
      <c r="D251">
        <v>527</v>
      </c>
      <c r="E251" t="s">
        <v>393</v>
      </c>
      <c r="J251" t="str">
        <f t="shared" si="34"/>
        <v>BT Sport 1</v>
      </c>
      <c r="K251">
        <f t="shared" si="35"/>
        <v>531</v>
      </c>
      <c r="L251">
        <f t="shared" si="30"/>
        <v>527</v>
      </c>
      <c r="M251" t="str">
        <f t="shared" si="31"/>
        <v/>
      </c>
      <c r="O251" t="str">
        <f t="shared" si="32"/>
        <v xml:space="preserve">      531:
        name: BT Sport 1
        hd_channel: 527</v>
      </c>
    </row>
    <row r="252" spans="1:15" x14ac:dyDescent="0.3">
      <c r="A252">
        <v>532</v>
      </c>
      <c r="B252" t="s">
        <v>256</v>
      </c>
      <c r="D252">
        <v>528</v>
      </c>
      <c r="E252" t="s">
        <v>393</v>
      </c>
      <c r="J252" t="str">
        <f t="shared" si="34"/>
        <v>BT Sport 2</v>
      </c>
      <c r="K252">
        <f t="shared" si="35"/>
        <v>532</v>
      </c>
      <c r="L252">
        <f t="shared" si="30"/>
        <v>528</v>
      </c>
      <c r="M252" t="str">
        <f t="shared" si="31"/>
        <v/>
      </c>
      <c r="O252" t="str">
        <f t="shared" si="32"/>
        <v xml:space="preserve">      532:
        name: BT Sport 2
        hd_channel: 528</v>
      </c>
    </row>
    <row r="253" spans="1:15" x14ac:dyDescent="0.3">
      <c r="A253">
        <v>533</v>
      </c>
      <c r="B253" t="s">
        <v>257</v>
      </c>
      <c r="D253">
        <v>529</v>
      </c>
      <c r="E253" t="s">
        <v>393</v>
      </c>
      <c r="J253" t="str">
        <f t="shared" si="34"/>
        <v>BT Sport 3</v>
      </c>
      <c r="K253">
        <f t="shared" si="35"/>
        <v>533</v>
      </c>
      <c r="L253">
        <f t="shared" si="30"/>
        <v>529</v>
      </c>
      <c r="M253" t="str">
        <f t="shared" si="31"/>
        <v/>
      </c>
      <c r="O253" t="str">
        <f t="shared" si="32"/>
        <v xml:space="preserve">      533:
        name: BT Sport 3
        hd_channel: 529</v>
      </c>
    </row>
    <row r="254" spans="1:15" x14ac:dyDescent="0.3">
      <c r="A254">
        <v>534</v>
      </c>
      <c r="B254" t="s">
        <v>258</v>
      </c>
      <c r="D254">
        <v>530</v>
      </c>
      <c r="E254" t="s">
        <v>393</v>
      </c>
      <c r="J254" t="str">
        <f t="shared" si="34"/>
        <v>BT Sport ESPN</v>
      </c>
      <c r="K254">
        <f t="shared" si="35"/>
        <v>534</v>
      </c>
      <c r="L254">
        <f t="shared" si="30"/>
        <v>530</v>
      </c>
      <c r="M254" t="str">
        <f t="shared" si="31"/>
        <v/>
      </c>
      <c r="O254" t="str">
        <f t="shared" si="32"/>
        <v xml:space="preserve">      534:
        name: BT Sport ESPN
        hd_channel: 530</v>
      </c>
    </row>
    <row r="255" spans="1:15" x14ac:dyDescent="0.3">
      <c r="A255">
        <v>535</v>
      </c>
      <c r="B255" t="s">
        <v>259</v>
      </c>
      <c r="D255" t="s">
        <v>393</v>
      </c>
      <c r="E255" t="s">
        <v>393</v>
      </c>
      <c r="J255" t="str">
        <f t="shared" si="34"/>
        <v>At The Races</v>
      </c>
      <c r="K255">
        <f t="shared" si="35"/>
        <v>535</v>
      </c>
      <c r="L255" t="str">
        <f t="shared" si="30"/>
        <v/>
      </c>
      <c r="M255" t="str">
        <f t="shared" si="31"/>
        <v/>
      </c>
      <c r="O255" t="str">
        <f t="shared" si="32"/>
        <v xml:space="preserve">      535:
        name: At The Races</v>
      </c>
    </row>
    <row r="256" spans="1:15" x14ac:dyDescent="0.3">
      <c r="A256">
        <v>536</v>
      </c>
      <c r="B256" t="s">
        <v>260</v>
      </c>
      <c r="D256" t="s">
        <v>393</v>
      </c>
      <c r="E256" t="s">
        <v>393</v>
      </c>
      <c r="J256" t="str">
        <f t="shared" si="34"/>
        <v>Racing UK</v>
      </c>
      <c r="K256">
        <f t="shared" si="35"/>
        <v>536</v>
      </c>
      <c r="L256" t="str">
        <f t="shared" si="30"/>
        <v/>
      </c>
      <c r="M256" t="str">
        <f t="shared" si="31"/>
        <v/>
      </c>
      <c r="O256" t="str">
        <f t="shared" si="32"/>
        <v xml:space="preserve">      536:
        name: Racing UK</v>
      </c>
    </row>
    <row r="257" spans="1:15" x14ac:dyDescent="0.3">
      <c r="A257">
        <v>544</v>
      </c>
      <c r="B257" t="s">
        <v>261</v>
      </c>
      <c r="D257" t="s">
        <v>393</v>
      </c>
      <c r="E257" t="s">
        <v>393</v>
      </c>
      <c r="J257" t="str">
        <f t="shared" si="34"/>
        <v>Liverpool FC TV</v>
      </c>
      <c r="K257">
        <f t="shared" si="35"/>
        <v>544</v>
      </c>
      <c r="L257" t="str">
        <f t="shared" si="30"/>
        <v/>
      </c>
      <c r="M257" t="str">
        <f t="shared" si="31"/>
        <v/>
      </c>
      <c r="O257" t="str">
        <f t="shared" si="32"/>
        <v xml:space="preserve">      544:
        name: Liverpool FC TV</v>
      </c>
    </row>
    <row r="258" spans="1:15" x14ac:dyDescent="0.3">
      <c r="A258">
        <v>545</v>
      </c>
      <c r="B258" t="s">
        <v>262</v>
      </c>
      <c r="D258" t="s">
        <v>393</v>
      </c>
      <c r="E258" t="s">
        <v>393</v>
      </c>
      <c r="J258" t="str">
        <f t="shared" si="34"/>
        <v>Motorsport.tv</v>
      </c>
      <c r="K258">
        <f t="shared" si="35"/>
        <v>545</v>
      </c>
      <c r="L258" t="str">
        <f t="shared" ref="L258:L321" si="36">IF(NOT(ISERROR(VLOOKUP(B258&amp;" HD",B:B,1,FALSE))),VLOOKUP(B258&amp;" HD",J:K,2,FALSE),"")</f>
        <v/>
      </c>
      <c r="M258" t="str">
        <f t="shared" ref="M258:M321" si="37">IF(NOT(ISERROR(VLOOKUP(B258&amp;" +1",B:B,1,FALSE))),VLOOKUP(B258&amp;" +1",J:K,2,FALSE),"")</f>
        <v/>
      </c>
      <c r="O258" t="str">
        <f t="shared" si="32"/>
        <v xml:space="preserve">      545:
        name: Motorsport.tv</v>
      </c>
    </row>
    <row r="259" spans="1:15" x14ac:dyDescent="0.3">
      <c r="A259">
        <v>546</v>
      </c>
      <c r="B259" t="s">
        <v>263</v>
      </c>
      <c r="D259" t="s">
        <v>393</v>
      </c>
      <c r="E259" t="s">
        <v>393</v>
      </c>
      <c r="J259" t="str">
        <f t="shared" si="34"/>
        <v>Box Nation</v>
      </c>
      <c r="K259">
        <f t="shared" si="35"/>
        <v>546</v>
      </c>
      <c r="L259" t="str">
        <f t="shared" si="36"/>
        <v/>
      </c>
      <c r="M259" t="str">
        <f t="shared" si="37"/>
        <v/>
      </c>
      <c r="O259" t="str">
        <f t="shared" ref="O259:O322" si="38">SUBSTITUTE(CONCATENATE("      ",A259,":","\nname: ",IF(ISERROR(FIND("&amp;",B259)),"","'"),B259,IF(ISERROR(FIND("&amp;",B259)),"","'"),IF(C259&lt;&gt;"","\nshow: "&amp;C259,""),IF(D259&lt;&gt;"","\nhd_channel: "&amp;D259,""),IF(E259&lt;&gt;"","\nplus_one: "&amp;E259,""),IF(F259&lt;&gt;"","\nlogo: "&amp;F259,""),IF(G259&lt;&gt;"","\ntarget: "&amp;G259,""),IF(H259&lt;&gt;"","\nsource: "&amp;H259,"")),"\n",CHAR(10)&amp;"        ")</f>
        <v xml:space="preserve">      546:
        name: Box Nation</v>
      </c>
    </row>
    <row r="260" spans="1:15" x14ac:dyDescent="0.3">
      <c r="A260">
        <v>548</v>
      </c>
      <c r="B260" t="s">
        <v>264</v>
      </c>
      <c r="D260" t="s">
        <v>393</v>
      </c>
      <c r="E260" t="s">
        <v>393</v>
      </c>
      <c r="J260" t="str">
        <f t="shared" si="34"/>
        <v>BT Sport Freeview</v>
      </c>
      <c r="K260">
        <f t="shared" si="35"/>
        <v>548</v>
      </c>
      <c r="L260" t="str">
        <f t="shared" si="36"/>
        <v/>
      </c>
      <c r="M260" t="str">
        <f t="shared" si="37"/>
        <v/>
      </c>
      <c r="O260" t="str">
        <f t="shared" si="38"/>
        <v xml:space="preserve">      548:
        name: BT Sport Freeview</v>
      </c>
    </row>
    <row r="261" spans="1:15" x14ac:dyDescent="0.3">
      <c r="A261">
        <v>551</v>
      </c>
      <c r="B261" t="s">
        <v>406</v>
      </c>
      <c r="D261" t="s">
        <v>393</v>
      </c>
      <c r="E261" t="s">
        <v>393</v>
      </c>
      <c r="J261" t="str">
        <f t="shared" si="34"/>
        <v>Premier Sports HD</v>
      </c>
      <c r="K261">
        <f t="shared" si="35"/>
        <v>551</v>
      </c>
      <c r="L261" t="str">
        <f t="shared" si="36"/>
        <v/>
      </c>
      <c r="M261" t="str">
        <f t="shared" si="37"/>
        <v/>
      </c>
      <c r="O261" t="str">
        <f t="shared" si="38"/>
        <v xml:space="preserve">      551:
        name: Premier Sports HD</v>
      </c>
    </row>
    <row r="262" spans="1:15" x14ac:dyDescent="0.3">
      <c r="A262">
        <v>553</v>
      </c>
      <c r="B262" t="s">
        <v>408</v>
      </c>
      <c r="J262" t="str">
        <f t="shared" si="34"/>
        <v>Freesports</v>
      </c>
      <c r="K262">
        <f t="shared" si="35"/>
        <v>553</v>
      </c>
      <c r="L262" t="str">
        <f t="shared" si="36"/>
        <v/>
      </c>
      <c r="M262" t="str">
        <f t="shared" si="37"/>
        <v/>
      </c>
      <c r="O262" t="str">
        <f t="shared" si="38"/>
        <v xml:space="preserve">      553:
        name: Freesports</v>
      </c>
    </row>
    <row r="263" spans="1:15" x14ac:dyDescent="0.3">
      <c r="A263">
        <v>601</v>
      </c>
      <c r="B263" t="s">
        <v>265</v>
      </c>
      <c r="D263">
        <v>604</v>
      </c>
      <c r="E263" t="s">
        <v>393</v>
      </c>
      <c r="J263" t="str">
        <f t="shared" si="34"/>
        <v>BBC News</v>
      </c>
      <c r="K263">
        <f t="shared" si="35"/>
        <v>601</v>
      </c>
      <c r="L263">
        <f t="shared" si="36"/>
        <v>604</v>
      </c>
      <c r="M263" t="str">
        <f t="shared" si="37"/>
        <v/>
      </c>
      <c r="O263" t="str">
        <f t="shared" si="38"/>
        <v xml:space="preserve">      601:
        name: BBC News
        hd_channel: 604</v>
      </c>
    </row>
    <row r="264" spans="1:15" x14ac:dyDescent="0.3">
      <c r="A264">
        <v>602</v>
      </c>
      <c r="B264" t="s">
        <v>266</v>
      </c>
      <c r="D264">
        <v>603</v>
      </c>
      <c r="E264" t="s">
        <v>393</v>
      </c>
      <c r="J264" t="str">
        <f t="shared" si="34"/>
        <v>Sky News</v>
      </c>
      <c r="K264">
        <f t="shared" si="35"/>
        <v>602</v>
      </c>
      <c r="L264">
        <f t="shared" si="36"/>
        <v>603</v>
      </c>
      <c r="M264" t="str">
        <f t="shared" si="37"/>
        <v/>
      </c>
      <c r="O264" t="str">
        <f t="shared" si="38"/>
        <v xml:space="preserve">      602:
        name: Sky News
        hd_channel: 603</v>
      </c>
    </row>
    <row r="265" spans="1:15" x14ac:dyDescent="0.3">
      <c r="A265">
        <v>603</v>
      </c>
      <c r="B265" t="s">
        <v>267</v>
      </c>
      <c r="D265" t="s">
        <v>393</v>
      </c>
      <c r="E265" t="s">
        <v>393</v>
      </c>
      <c r="J265" t="str">
        <f t="shared" si="34"/>
        <v>Sky News HD</v>
      </c>
      <c r="K265">
        <f t="shared" si="35"/>
        <v>603</v>
      </c>
      <c r="L265" t="str">
        <f t="shared" si="36"/>
        <v/>
      </c>
      <c r="M265" t="str">
        <f t="shared" si="37"/>
        <v/>
      </c>
      <c r="O265" t="str">
        <f t="shared" si="38"/>
        <v xml:space="preserve">      603:
        name: Sky News HD</v>
      </c>
    </row>
    <row r="266" spans="1:15" x14ac:dyDescent="0.3">
      <c r="A266">
        <v>604</v>
      </c>
      <c r="B266" t="s">
        <v>268</v>
      </c>
      <c r="D266" t="s">
        <v>393</v>
      </c>
      <c r="E266" t="s">
        <v>393</v>
      </c>
      <c r="J266" t="str">
        <f t="shared" si="34"/>
        <v>BBC News HD</v>
      </c>
      <c r="K266">
        <f t="shared" si="35"/>
        <v>604</v>
      </c>
      <c r="L266" t="str">
        <f t="shared" si="36"/>
        <v/>
      </c>
      <c r="M266" t="str">
        <f t="shared" si="37"/>
        <v/>
      </c>
      <c r="O266" t="str">
        <f t="shared" si="38"/>
        <v xml:space="preserve">      604:
        name: BBC News HD</v>
      </c>
    </row>
    <row r="267" spans="1:15" x14ac:dyDescent="0.3">
      <c r="A267">
        <v>605</v>
      </c>
      <c r="B267" t="s">
        <v>269</v>
      </c>
      <c r="D267" t="s">
        <v>393</v>
      </c>
      <c r="E267" t="s">
        <v>393</v>
      </c>
      <c r="J267" t="str">
        <f t="shared" si="34"/>
        <v>BBC Parliament</v>
      </c>
      <c r="K267">
        <f t="shared" si="35"/>
        <v>605</v>
      </c>
      <c r="L267" t="str">
        <f t="shared" si="36"/>
        <v/>
      </c>
      <c r="M267" t="str">
        <f t="shared" si="37"/>
        <v/>
      </c>
      <c r="O267" t="str">
        <f t="shared" si="38"/>
        <v xml:space="preserve">      605:
        name: BBC Parliament</v>
      </c>
    </row>
    <row r="268" spans="1:15" x14ac:dyDescent="0.3">
      <c r="A268">
        <v>607</v>
      </c>
      <c r="B268" t="s">
        <v>270</v>
      </c>
      <c r="D268" t="s">
        <v>393</v>
      </c>
      <c r="E268" t="s">
        <v>393</v>
      </c>
      <c r="J268" t="str">
        <f t="shared" si="34"/>
        <v>CNN International</v>
      </c>
      <c r="K268">
        <f t="shared" si="35"/>
        <v>607</v>
      </c>
      <c r="L268" t="str">
        <f t="shared" si="36"/>
        <v/>
      </c>
      <c r="M268" t="str">
        <f t="shared" si="37"/>
        <v/>
      </c>
      <c r="O268" t="str">
        <f t="shared" si="38"/>
        <v xml:space="preserve">      607:
        name: CNN International</v>
      </c>
    </row>
    <row r="269" spans="1:15" x14ac:dyDescent="0.3">
      <c r="A269">
        <v>609</v>
      </c>
      <c r="B269" t="s">
        <v>271</v>
      </c>
      <c r="D269" t="s">
        <v>393</v>
      </c>
      <c r="E269" t="s">
        <v>393</v>
      </c>
      <c r="J269" t="str">
        <f t="shared" si="34"/>
        <v>Bloomberg</v>
      </c>
      <c r="K269">
        <f t="shared" si="35"/>
        <v>609</v>
      </c>
      <c r="L269" t="str">
        <f t="shared" si="36"/>
        <v/>
      </c>
      <c r="M269" t="str">
        <f t="shared" si="37"/>
        <v/>
      </c>
      <c r="O269" t="str">
        <f t="shared" si="38"/>
        <v xml:space="preserve">      609:
        name: Bloomberg</v>
      </c>
    </row>
    <row r="270" spans="1:15" x14ac:dyDescent="0.3">
      <c r="A270">
        <v>613</v>
      </c>
      <c r="B270" t="s">
        <v>272</v>
      </c>
      <c r="D270" t="s">
        <v>393</v>
      </c>
      <c r="E270" t="s">
        <v>393</v>
      </c>
      <c r="J270" t="str">
        <f t="shared" si="34"/>
        <v>CNBC Europe</v>
      </c>
      <c r="K270">
        <f t="shared" si="35"/>
        <v>613</v>
      </c>
      <c r="L270" t="str">
        <f t="shared" si="36"/>
        <v/>
      </c>
      <c r="M270" t="str">
        <f t="shared" si="37"/>
        <v/>
      </c>
      <c r="O270" t="str">
        <f t="shared" si="38"/>
        <v xml:space="preserve">      613:
        name: CNBC Europe</v>
      </c>
    </row>
    <row r="271" spans="1:15" x14ac:dyDescent="0.3">
      <c r="A271">
        <v>620</v>
      </c>
      <c r="B271" t="s">
        <v>273</v>
      </c>
      <c r="D271" t="s">
        <v>393</v>
      </c>
      <c r="E271" t="s">
        <v>393</v>
      </c>
      <c r="J271" t="str">
        <f t="shared" si="34"/>
        <v>Euronews</v>
      </c>
      <c r="K271">
        <f t="shared" si="35"/>
        <v>620</v>
      </c>
      <c r="L271" t="str">
        <f t="shared" si="36"/>
        <v/>
      </c>
      <c r="M271" t="str">
        <f t="shared" si="37"/>
        <v/>
      </c>
      <c r="O271" t="str">
        <f t="shared" si="38"/>
        <v xml:space="preserve">      620:
        name: Euronews</v>
      </c>
    </row>
    <row r="272" spans="1:15" x14ac:dyDescent="0.3">
      <c r="A272">
        <v>621</v>
      </c>
      <c r="B272" t="s">
        <v>274</v>
      </c>
      <c r="D272" t="s">
        <v>393</v>
      </c>
      <c r="E272" t="s">
        <v>393</v>
      </c>
      <c r="J272" t="str">
        <f t="shared" ref="J272:J336" si="39">B272</f>
        <v>NDTV 24x7</v>
      </c>
      <c r="K272">
        <f t="shared" ref="K272:K336" si="40">A272</f>
        <v>621</v>
      </c>
      <c r="L272" t="str">
        <f t="shared" si="36"/>
        <v/>
      </c>
      <c r="M272" t="str">
        <f t="shared" si="37"/>
        <v/>
      </c>
      <c r="O272" t="str">
        <f t="shared" si="38"/>
        <v xml:space="preserve">      621:
        name: NDTV 24x7</v>
      </c>
    </row>
    <row r="273" spans="1:15" x14ac:dyDescent="0.3">
      <c r="A273">
        <v>622</v>
      </c>
      <c r="B273" t="s">
        <v>275</v>
      </c>
      <c r="D273" t="s">
        <v>393</v>
      </c>
      <c r="E273" t="s">
        <v>393</v>
      </c>
      <c r="J273" t="str">
        <f t="shared" si="39"/>
        <v>Al Jazeera English</v>
      </c>
      <c r="K273">
        <f t="shared" si="40"/>
        <v>622</v>
      </c>
      <c r="L273" t="str">
        <f t="shared" si="36"/>
        <v/>
      </c>
      <c r="M273" t="str">
        <f t="shared" si="37"/>
        <v/>
      </c>
      <c r="O273" t="str">
        <f t="shared" si="38"/>
        <v xml:space="preserve">      622:
        name: Al Jazeera English</v>
      </c>
    </row>
    <row r="274" spans="1:15" x14ac:dyDescent="0.3">
      <c r="A274">
        <v>624</v>
      </c>
      <c r="B274" t="s">
        <v>276</v>
      </c>
      <c r="D274" t="s">
        <v>393</v>
      </c>
      <c r="E274" t="s">
        <v>393</v>
      </c>
      <c r="J274" t="str">
        <f t="shared" si="39"/>
        <v>France 24</v>
      </c>
      <c r="K274">
        <f t="shared" si="40"/>
        <v>624</v>
      </c>
      <c r="L274" t="str">
        <f t="shared" si="36"/>
        <v/>
      </c>
      <c r="M274" t="str">
        <f t="shared" si="37"/>
        <v/>
      </c>
      <c r="O274" t="str">
        <f t="shared" si="38"/>
        <v xml:space="preserve">      624:
        name: France 24</v>
      </c>
    </row>
    <row r="275" spans="1:15" x14ac:dyDescent="0.3">
      <c r="A275">
        <v>625</v>
      </c>
      <c r="B275" t="s">
        <v>277</v>
      </c>
      <c r="D275" t="s">
        <v>393</v>
      </c>
      <c r="E275" t="s">
        <v>393</v>
      </c>
      <c r="J275" t="str">
        <f t="shared" si="39"/>
        <v>NHK World HD</v>
      </c>
      <c r="K275">
        <f t="shared" si="40"/>
        <v>625</v>
      </c>
      <c r="L275" t="str">
        <f t="shared" si="36"/>
        <v/>
      </c>
      <c r="M275" t="str">
        <f t="shared" si="37"/>
        <v/>
      </c>
      <c r="O275" t="str">
        <f t="shared" si="38"/>
        <v xml:space="preserve">      625:
        name: NHK World HD</v>
      </c>
    </row>
    <row r="276" spans="1:15" x14ac:dyDescent="0.3">
      <c r="A276">
        <v>700</v>
      </c>
      <c r="B276" t="s">
        <v>14</v>
      </c>
      <c r="D276" t="s">
        <v>393</v>
      </c>
      <c r="E276" t="s">
        <v>393</v>
      </c>
      <c r="J276" t="str">
        <f t="shared" si="39"/>
        <v>Virgin Media Kids</v>
      </c>
      <c r="K276">
        <f t="shared" si="40"/>
        <v>700</v>
      </c>
      <c r="L276" t="str">
        <f t="shared" si="36"/>
        <v/>
      </c>
      <c r="M276" t="str">
        <f t="shared" si="37"/>
        <v/>
      </c>
      <c r="O276" t="str">
        <f t="shared" si="38"/>
        <v xml:space="preserve">      700:
        name: Virgin Media Kids</v>
      </c>
    </row>
    <row r="277" spans="1:15" x14ac:dyDescent="0.3">
      <c r="A277">
        <v>701</v>
      </c>
      <c r="B277" t="s">
        <v>278</v>
      </c>
      <c r="D277">
        <v>710</v>
      </c>
      <c r="E277" t="s">
        <v>393</v>
      </c>
      <c r="J277" t="str">
        <f t="shared" si="39"/>
        <v>CBBC</v>
      </c>
      <c r="K277">
        <f t="shared" si="40"/>
        <v>701</v>
      </c>
      <c r="L277">
        <f t="shared" si="36"/>
        <v>710</v>
      </c>
      <c r="M277" t="str">
        <f t="shared" si="37"/>
        <v/>
      </c>
      <c r="O277" t="str">
        <f t="shared" si="38"/>
        <v xml:space="preserve">      701:
        name: CBBC
        hd_channel: 710</v>
      </c>
    </row>
    <row r="278" spans="1:15" x14ac:dyDescent="0.3">
      <c r="A278">
        <v>702</v>
      </c>
      <c r="B278" t="s">
        <v>279</v>
      </c>
      <c r="D278">
        <v>711</v>
      </c>
      <c r="E278" t="s">
        <v>393</v>
      </c>
      <c r="J278" t="str">
        <f t="shared" si="39"/>
        <v>CBeebies</v>
      </c>
      <c r="K278">
        <f t="shared" si="40"/>
        <v>702</v>
      </c>
      <c r="L278">
        <f t="shared" si="36"/>
        <v>711</v>
      </c>
      <c r="M278" t="str">
        <f t="shared" si="37"/>
        <v/>
      </c>
      <c r="O278" t="str">
        <f t="shared" si="38"/>
        <v xml:space="preserve">      702:
        name: CBeebies
        hd_channel: 711</v>
      </c>
    </row>
    <row r="279" spans="1:15" x14ac:dyDescent="0.3">
      <c r="A279">
        <v>703</v>
      </c>
      <c r="B279" t="s">
        <v>280</v>
      </c>
      <c r="D279" t="s">
        <v>393</v>
      </c>
      <c r="E279" t="s">
        <v>393</v>
      </c>
      <c r="J279" t="str">
        <f t="shared" si="39"/>
        <v>BabyTV</v>
      </c>
      <c r="K279">
        <f t="shared" si="40"/>
        <v>703</v>
      </c>
      <c r="L279" t="str">
        <f t="shared" si="36"/>
        <v/>
      </c>
      <c r="M279" t="str">
        <f t="shared" si="37"/>
        <v/>
      </c>
      <c r="O279" t="str">
        <f t="shared" si="38"/>
        <v xml:space="preserve">      703:
        name: BabyTV</v>
      </c>
    </row>
    <row r="280" spans="1:15" x14ac:dyDescent="0.3">
      <c r="A280">
        <v>704</v>
      </c>
      <c r="B280" t="s">
        <v>281</v>
      </c>
      <c r="D280">
        <v>732</v>
      </c>
      <c r="E280">
        <v>705</v>
      </c>
      <c r="J280" t="str">
        <f t="shared" si="39"/>
        <v>Cartoon Network</v>
      </c>
      <c r="K280">
        <f t="shared" si="40"/>
        <v>704</v>
      </c>
      <c r="L280">
        <f t="shared" si="36"/>
        <v>732</v>
      </c>
      <c r="M280">
        <f t="shared" si="37"/>
        <v>705</v>
      </c>
      <c r="O280" t="str">
        <f t="shared" si="38"/>
        <v xml:space="preserve">      704:
        name: Cartoon Network
        hd_channel: 732
        plus_one: 705</v>
      </c>
    </row>
    <row r="281" spans="1:15" x14ac:dyDescent="0.3">
      <c r="A281">
        <v>705</v>
      </c>
      <c r="B281" t="s">
        <v>282</v>
      </c>
      <c r="D281" t="s">
        <v>393</v>
      </c>
      <c r="E281" t="s">
        <v>393</v>
      </c>
      <c r="J281" t="str">
        <f t="shared" si="39"/>
        <v>Cartoon Network +1</v>
      </c>
      <c r="K281">
        <f t="shared" si="40"/>
        <v>705</v>
      </c>
      <c r="L281" t="str">
        <f t="shared" si="36"/>
        <v/>
      </c>
      <c r="M281" t="str">
        <f t="shared" si="37"/>
        <v/>
      </c>
      <c r="O281" t="str">
        <f t="shared" si="38"/>
        <v xml:space="preserve">      705:
        name: Cartoon Network +1</v>
      </c>
    </row>
    <row r="282" spans="1:15" x14ac:dyDescent="0.3">
      <c r="A282">
        <v>706</v>
      </c>
      <c r="B282" t="s">
        <v>283</v>
      </c>
      <c r="D282" t="s">
        <v>393</v>
      </c>
      <c r="E282" t="s">
        <v>393</v>
      </c>
      <c r="J282" t="str">
        <f t="shared" si="39"/>
        <v>Cartoonito</v>
      </c>
      <c r="K282">
        <f t="shared" si="40"/>
        <v>706</v>
      </c>
      <c r="L282" t="str">
        <f t="shared" si="36"/>
        <v/>
      </c>
      <c r="M282" t="str">
        <f t="shared" si="37"/>
        <v/>
      </c>
      <c r="O282" t="str">
        <f t="shared" si="38"/>
        <v xml:space="preserve">      706:
        name: Cartoonito</v>
      </c>
    </row>
    <row r="283" spans="1:15" x14ac:dyDescent="0.3">
      <c r="A283">
        <v>707</v>
      </c>
      <c r="B283" t="s">
        <v>284</v>
      </c>
      <c r="D283" t="s">
        <v>393</v>
      </c>
      <c r="E283">
        <v>708</v>
      </c>
      <c r="J283" t="str">
        <f t="shared" si="39"/>
        <v>Disney XD</v>
      </c>
      <c r="K283">
        <f t="shared" si="40"/>
        <v>707</v>
      </c>
      <c r="L283" t="str">
        <f t="shared" si="36"/>
        <v/>
      </c>
      <c r="M283">
        <f t="shared" si="37"/>
        <v>708</v>
      </c>
      <c r="O283" t="str">
        <f t="shared" si="38"/>
        <v xml:space="preserve">      707:
        name: Disney XD
        plus_one: 708</v>
      </c>
    </row>
    <row r="284" spans="1:15" x14ac:dyDescent="0.3">
      <c r="A284">
        <v>708</v>
      </c>
      <c r="B284" t="s">
        <v>285</v>
      </c>
      <c r="D284" t="s">
        <v>393</v>
      </c>
      <c r="E284" t="s">
        <v>393</v>
      </c>
      <c r="J284" t="str">
        <f t="shared" si="39"/>
        <v>Disney XD +1</v>
      </c>
      <c r="K284">
        <f t="shared" si="40"/>
        <v>708</v>
      </c>
      <c r="L284" t="str">
        <f t="shared" si="36"/>
        <v/>
      </c>
      <c r="M284" t="str">
        <f t="shared" si="37"/>
        <v/>
      </c>
      <c r="O284" t="str">
        <f t="shared" si="38"/>
        <v xml:space="preserve">      708:
        name: Disney XD +1</v>
      </c>
    </row>
    <row r="285" spans="1:15" x14ac:dyDescent="0.3">
      <c r="A285">
        <v>710</v>
      </c>
      <c r="B285" t="s">
        <v>286</v>
      </c>
      <c r="D285" t="s">
        <v>393</v>
      </c>
      <c r="E285" t="s">
        <v>393</v>
      </c>
      <c r="J285" t="str">
        <f t="shared" si="39"/>
        <v>CBBC HD</v>
      </c>
      <c r="K285">
        <f t="shared" si="40"/>
        <v>710</v>
      </c>
      <c r="L285" t="str">
        <f t="shared" si="36"/>
        <v/>
      </c>
      <c r="M285" t="str">
        <f t="shared" si="37"/>
        <v/>
      </c>
      <c r="O285" t="str">
        <f t="shared" si="38"/>
        <v xml:space="preserve">      710:
        name: CBBC HD</v>
      </c>
    </row>
    <row r="286" spans="1:15" x14ac:dyDescent="0.3">
      <c r="A286">
        <v>711</v>
      </c>
      <c r="B286" t="s">
        <v>287</v>
      </c>
      <c r="D286" t="s">
        <v>393</v>
      </c>
      <c r="E286" t="s">
        <v>393</v>
      </c>
      <c r="J286" t="str">
        <f t="shared" si="39"/>
        <v>CBeebies HD</v>
      </c>
      <c r="K286">
        <f t="shared" si="40"/>
        <v>711</v>
      </c>
      <c r="L286" t="str">
        <f t="shared" si="36"/>
        <v/>
      </c>
      <c r="M286" t="str">
        <f t="shared" si="37"/>
        <v/>
      </c>
      <c r="O286" t="str">
        <f t="shared" si="38"/>
        <v xml:space="preserve">      711:
        name: CBeebies HD</v>
      </c>
    </row>
    <row r="287" spans="1:15" x14ac:dyDescent="0.3">
      <c r="A287">
        <v>712</v>
      </c>
      <c r="B287" t="s">
        <v>288</v>
      </c>
      <c r="D287" t="s">
        <v>393</v>
      </c>
      <c r="E287" t="s">
        <v>393</v>
      </c>
      <c r="J287" t="str">
        <f t="shared" si="39"/>
        <v>Nickelodeon</v>
      </c>
      <c r="K287">
        <f t="shared" si="40"/>
        <v>712</v>
      </c>
      <c r="L287" t="str">
        <f t="shared" si="36"/>
        <v/>
      </c>
      <c r="M287" t="str">
        <f t="shared" si="37"/>
        <v/>
      </c>
      <c r="O287" t="str">
        <f t="shared" si="38"/>
        <v xml:space="preserve">      712:
        name: Nickelodeon</v>
      </c>
    </row>
    <row r="288" spans="1:15" x14ac:dyDescent="0.3">
      <c r="A288">
        <v>713</v>
      </c>
      <c r="B288" t="s">
        <v>289</v>
      </c>
      <c r="D288" t="s">
        <v>393</v>
      </c>
      <c r="E288" t="s">
        <v>393</v>
      </c>
      <c r="J288" t="str">
        <f t="shared" si="39"/>
        <v>Nick +1</v>
      </c>
      <c r="K288">
        <f t="shared" si="40"/>
        <v>713</v>
      </c>
      <c r="L288" t="str">
        <f t="shared" si="36"/>
        <v/>
      </c>
      <c r="M288" t="str">
        <f t="shared" si="37"/>
        <v/>
      </c>
      <c r="O288" t="str">
        <f t="shared" si="38"/>
        <v xml:space="preserve">      713:
        name: Nick +1</v>
      </c>
    </row>
    <row r="289" spans="1:15" x14ac:dyDescent="0.3">
      <c r="A289">
        <v>714</v>
      </c>
      <c r="B289" t="s">
        <v>290</v>
      </c>
      <c r="D289" t="s">
        <v>393</v>
      </c>
      <c r="E289" t="s">
        <v>393</v>
      </c>
      <c r="J289" t="str">
        <f t="shared" si="39"/>
        <v>Nick HD</v>
      </c>
      <c r="K289">
        <f t="shared" si="40"/>
        <v>714</v>
      </c>
      <c r="L289" t="str">
        <f t="shared" si="36"/>
        <v/>
      </c>
      <c r="M289" t="str">
        <f t="shared" si="37"/>
        <v/>
      </c>
      <c r="O289" t="str">
        <f t="shared" si="38"/>
        <v xml:space="preserve">      714:
        name: Nick HD</v>
      </c>
    </row>
    <row r="290" spans="1:15" x14ac:dyDescent="0.3">
      <c r="A290">
        <v>715</v>
      </c>
      <c r="B290" t="s">
        <v>291</v>
      </c>
      <c r="D290" t="s">
        <v>393</v>
      </c>
      <c r="E290" t="s">
        <v>393</v>
      </c>
      <c r="J290" t="str">
        <f t="shared" si="39"/>
        <v>Nick Jr.</v>
      </c>
      <c r="K290">
        <f t="shared" si="40"/>
        <v>715</v>
      </c>
      <c r="L290" t="str">
        <f t="shared" si="36"/>
        <v/>
      </c>
      <c r="M290" t="str">
        <f t="shared" si="37"/>
        <v/>
      </c>
      <c r="O290" t="str">
        <f t="shared" si="38"/>
        <v xml:space="preserve">      715:
        name: Nick Jr.</v>
      </c>
    </row>
    <row r="291" spans="1:15" x14ac:dyDescent="0.3">
      <c r="A291">
        <v>716</v>
      </c>
      <c r="B291" t="s">
        <v>292</v>
      </c>
      <c r="D291" t="s">
        <v>393</v>
      </c>
      <c r="E291" t="s">
        <v>393</v>
      </c>
      <c r="J291" t="str">
        <f t="shared" si="39"/>
        <v>Nick Jr. Too</v>
      </c>
      <c r="K291">
        <f t="shared" si="40"/>
        <v>716</v>
      </c>
      <c r="L291" t="str">
        <f t="shared" si="36"/>
        <v/>
      </c>
      <c r="M291" t="str">
        <f t="shared" si="37"/>
        <v/>
      </c>
      <c r="O291" t="str">
        <f t="shared" si="38"/>
        <v xml:space="preserve">      716:
        name: Nick Jr. Too</v>
      </c>
    </row>
    <row r="292" spans="1:15" x14ac:dyDescent="0.3">
      <c r="A292">
        <v>717</v>
      </c>
      <c r="B292" t="s">
        <v>293</v>
      </c>
      <c r="D292" t="s">
        <v>393</v>
      </c>
      <c r="E292" t="s">
        <v>393</v>
      </c>
      <c r="J292" t="str">
        <f t="shared" si="39"/>
        <v>Nicktoons</v>
      </c>
      <c r="K292">
        <f t="shared" si="40"/>
        <v>717</v>
      </c>
      <c r="L292" t="str">
        <f t="shared" si="36"/>
        <v/>
      </c>
      <c r="M292" t="str">
        <f t="shared" si="37"/>
        <v/>
      </c>
      <c r="O292" t="str">
        <f t="shared" si="38"/>
        <v xml:space="preserve">      717:
        name: Nicktoons</v>
      </c>
    </row>
    <row r="293" spans="1:15" x14ac:dyDescent="0.3">
      <c r="A293">
        <v>724</v>
      </c>
      <c r="B293" t="s">
        <v>294</v>
      </c>
      <c r="D293" t="s">
        <v>393</v>
      </c>
      <c r="E293">
        <v>725</v>
      </c>
      <c r="J293" t="str">
        <f t="shared" si="39"/>
        <v>Disney Channel</v>
      </c>
      <c r="K293">
        <f t="shared" si="40"/>
        <v>724</v>
      </c>
      <c r="L293" t="str">
        <f t="shared" si="36"/>
        <v/>
      </c>
      <c r="M293">
        <f t="shared" si="37"/>
        <v>725</v>
      </c>
      <c r="O293" t="str">
        <f t="shared" si="38"/>
        <v xml:space="preserve">      724:
        name: Disney Channel
        plus_one: 725</v>
      </c>
    </row>
    <row r="294" spans="1:15" x14ac:dyDescent="0.3">
      <c r="A294">
        <v>725</v>
      </c>
      <c r="B294" t="s">
        <v>295</v>
      </c>
      <c r="D294" t="s">
        <v>393</v>
      </c>
      <c r="E294" t="s">
        <v>393</v>
      </c>
      <c r="J294" t="str">
        <f t="shared" si="39"/>
        <v>Disney Channel +1</v>
      </c>
      <c r="K294">
        <f t="shared" si="40"/>
        <v>725</v>
      </c>
      <c r="L294" t="str">
        <f t="shared" si="36"/>
        <v/>
      </c>
      <c r="M294" t="str">
        <f t="shared" si="37"/>
        <v/>
      </c>
      <c r="O294" t="str">
        <f t="shared" si="38"/>
        <v xml:space="preserve">      725:
        name: Disney Channel +1</v>
      </c>
    </row>
    <row r="295" spans="1:15" x14ac:dyDescent="0.3">
      <c r="A295">
        <v>727</v>
      </c>
      <c r="B295" t="s">
        <v>296</v>
      </c>
      <c r="D295" t="s">
        <v>393</v>
      </c>
      <c r="E295" t="s">
        <v>393</v>
      </c>
      <c r="J295" t="str">
        <f t="shared" si="39"/>
        <v>Disney Junior</v>
      </c>
      <c r="K295">
        <f t="shared" si="40"/>
        <v>727</v>
      </c>
      <c r="L295" t="str">
        <f t="shared" si="36"/>
        <v/>
      </c>
      <c r="M295" t="str">
        <f t="shared" si="37"/>
        <v/>
      </c>
      <c r="O295" t="str">
        <f t="shared" si="38"/>
        <v xml:space="preserve">      727:
        name: Disney Junior</v>
      </c>
    </row>
    <row r="296" spans="1:15" x14ac:dyDescent="0.3">
      <c r="A296">
        <v>730</v>
      </c>
      <c r="B296" t="s">
        <v>297</v>
      </c>
      <c r="D296" t="s">
        <v>393</v>
      </c>
      <c r="E296">
        <v>731</v>
      </c>
      <c r="J296" t="str">
        <f t="shared" si="39"/>
        <v>Boomerang</v>
      </c>
      <c r="K296">
        <f t="shared" si="40"/>
        <v>730</v>
      </c>
      <c r="L296" t="str">
        <f t="shared" si="36"/>
        <v/>
      </c>
      <c r="M296">
        <f t="shared" si="37"/>
        <v>731</v>
      </c>
      <c r="O296" t="str">
        <f t="shared" si="38"/>
        <v xml:space="preserve">      730:
        name: Boomerang
        plus_one: 731</v>
      </c>
    </row>
    <row r="297" spans="1:15" x14ac:dyDescent="0.3">
      <c r="A297">
        <v>731</v>
      </c>
      <c r="B297" t="s">
        <v>298</v>
      </c>
      <c r="D297" t="s">
        <v>393</v>
      </c>
      <c r="E297" t="s">
        <v>393</v>
      </c>
      <c r="J297" t="str">
        <f t="shared" si="39"/>
        <v>Boomerang +1</v>
      </c>
      <c r="K297">
        <f t="shared" si="40"/>
        <v>731</v>
      </c>
      <c r="L297" t="str">
        <f t="shared" si="36"/>
        <v/>
      </c>
      <c r="M297" t="str">
        <f t="shared" si="37"/>
        <v/>
      </c>
      <c r="O297" t="str">
        <f t="shared" si="38"/>
        <v xml:space="preserve">      731:
        name: Boomerang +1</v>
      </c>
    </row>
    <row r="298" spans="1:15" x14ac:dyDescent="0.3">
      <c r="A298">
        <v>732</v>
      </c>
      <c r="B298" t="s">
        <v>299</v>
      </c>
      <c r="D298" t="s">
        <v>393</v>
      </c>
      <c r="E298" t="s">
        <v>393</v>
      </c>
      <c r="J298" t="str">
        <f t="shared" si="39"/>
        <v>Cartoon Network HD</v>
      </c>
      <c r="K298">
        <f t="shared" si="40"/>
        <v>732</v>
      </c>
      <c r="L298" t="str">
        <f t="shared" si="36"/>
        <v/>
      </c>
      <c r="M298" t="str">
        <f t="shared" si="37"/>
        <v/>
      </c>
      <c r="O298" t="str">
        <f t="shared" si="38"/>
        <v xml:space="preserve">      732:
        name: Cartoon Network HD</v>
      </c>
    </row>
    <row r="299" spans="1:15" x14ac:dyDescent="0.3">
      <c r="A299">
        <v>734</v>
      </c>
      <c r="B299" t="s">
        <v>300</v>
      </c>
      <c r="D299" t="s">
        <v>393</v>
      </c>
      <c r="E299" t="s">
        <v>393</v>
      </c>
      <c r="J299" t="str">
        <f t="shared" si="39"/>
        <v>CITV</v>
      </c>
      <c r="K299">
        <f t="shared" si="40"/>
        <v>734</v>
      </c>
      <c r="L299" t="str">
        <f t="shared" si="36"/>
        <v/>
      </c>
      <c r="M299" t="str">
        <f t="shared" si="37"/>
        <v/>
      </c>
      <c r="O299" t="str">
        <f t="shared" si="38"/>
        <v xml:space="preserve">      734:
        name: CITV</v>
      </c>
    </row>
    <row r="300" spans="1:15" x14ac:dyDescent="0.3">
      <c r="A300">
        <v>735</v>
      </c>
      <c r="B300" t="s">
        <v>301</v>
      </c>
      <c r="D300" t="s">
        <v>393</v>
      </c>
      <c r="E300" t="s">
        <v>393</v>
      </c>
      <c r="J300" t="str">
        <f t="shared" si="39"/>
        <v>BabyFirst</v>
      </c>
      <c r="K300">
        <f t="shared" si="40"/>
        <v>735</v>
      </c>
      <c r="L300" t="str">
        <f t="shared" si="36"/>
        <v/>
      </c>
      <c r="M300" t="str">
        <f t="shared" si="37"/>
        <v/>
      </c>
      <c r="O300" t="str">
        <f t="shared" si="38"/>
        <v xml:space="preserve">      735:
        name: BabyFirst</v>
      </c>
    </row>
    <row r="301" spans="1:15" x14ac:dyDescent="0.3">
      <c r="A301">
        <v>736</v>
      </c>
      <c r="B301" t="s">
        <v>302</v>
      </c>
      <c r="D301" t="s">
        <v>393</v>
      </c>
      <c r="E301" t="s">
        <v>393</v>
      </c>
      <c r="J301" t="str">
        <f t="shared" si="39"/>
        <v>POP</v>
      </c>
      <c r="K301">
        <f t="shared" si="40"/>
        <v>736</v>
      </c>
      <c r="L301" t="str">
        <f t="shared" si="36"/>
        <v/>
      </c>
      <c r="M301" t="str">
        <f t="shared" si="37"/>
        <v/>
      </c>
      <c r="O301" t="str">
        <f t="shared" si="38"/>
        <v xml:space="preserve">      736:
        name: POP</v>
      </c>
    </row>
    <row r="302" spans="1:15" x14ac:dyDescent="0.3">
      <c r="A302">
        <v>737</v>
      </c>
      <c r="B302" t="s">
        <v>303</v>
      </c>
      <c r="D302" t="s">
        <v>393</v>
      </c>
      <c r="E302" t="s">
        <v>393</v>
      </c>
      <c r="J302" t="str">
        <f t="shared" si="39"/>
        <v>Tiny Pop</v>
      </c>
      <c r="K302">
        <f t="shared" si="40"/>
        <v>737</v>
      </c>
      <c r="L302" t="str">
        <f t="shared" si="36"/>
        <v/>
      </c>
      <c r="M302" t="str">
        <f t="shared" si="37"/>
        <v/>
      </c>
      <c r="O302" t="str">
        <f t="shared" si="38"/>
        <v xml:space="preserve">      737:
        name: Tiny Pop</v>
      </c>
    </row>
    <row r="303" spans="1:15" x14ac:dyDescent="0.3">
      <c r="A303">
        <v>740</v>
      </c>
      <c r="B303" t="s">
        <v>304</v>
      </c>
      <c r="D303" t="s">
        <v>393</v>
      </c>
      <c r="E303" t="s">
        <v>393</v>
      </c>
      <c r="J303" t="str">
        <f t="shared" si="39"/>
        <v>QVC</v>
      </c>
      <c r="K303">
        <f t="shared" si="40"/>
        <v>740</v>
      </c>
      <c r="L303" t="str">
        <f t="shared" si="36"/>
        <v/>
      </c>
      <c r="M303" t="str">
        <f t="shared" si="37"/>
        <v/>
      </c>
      <c r="O303" t="str">
        <f t="shared" si="38"/>
        <v xml:space="preserve">      740:
        name: QVC</v>
      </c>
    </row>
    <row r="304" spans="1:15" x14ac:dyDescent="0.3">
      <c r="A304">
        <v>741</v>
      </c>
      <c r="B304" t="s">
        <v>305</v>
      </c>
      <c r="D304" t="s">
        <v>393</v>
      </c>
      <c r="E304" t="s">
        <v>393</v>
      </c>
      <c r="J304" t="str">
        <f t="shared" si="39"/>
        <v>QVC Beauty</v>
      </c>
      <c r="K304">
        <f t="shared" si="40"/>
        <v>741</v>
      </c>
      <c r="L304" t="str">
        <f t="shared" si="36"/>
        <v/>
      </c>
      <c r="M304" t="str">
        <f t="shared" si="37"/>
        <v/>
      </c>
      <c r="O304" t="str">
        <f t="shared" si="38"/>
        <v xml:space="preserve">      741:
        name: QVC Beauty</v>
      </c>
    </row>
    <row r="305" spans="1:15" x14ac:dyDescent="0.3">
      <c r="A305">
        <v>742</v>
      </c>
      <c r="B305" t="s">
        <v>306</v>
      </c>
      <c r="D305" t="s">
        <v>393</v>
      </c>
      <c r="E305" t="s">
        <v>393</v>
      </c>
      <c r="J305" t="str">
        <f t="shared" si="39"/>
        <v>QVC Style</v>
      </c>
      <c r="K305">
        <f t="shared" si="40"/>
        <v>742</v>
      </c>
      <c r="L305" t="str">
        <f t="shared" si="36"/>
        <v/>
      </c>
      <c r="M305" t="str">
        <f t="shared" si="37"/>
        <v/>
      </c>
      <c r="O305" t="str">
        <f t="shared" si="38"/>
        <v xml:space="preserve">      742:
        name: QVC Style</v>
      </c>
    </row>
    <row r="306" spans="1:15" x14ac:dyDescent="0.3">
      <c r="A306">
        <v>747</v>
      </c>
      <c r="B306" t="s">
        <v>307</v>
      </c>
      <c r="D306" t="s">
        <v>393</v>
      </c>
      <c r="E306" t="s">
        <v>393</v>
      </c>
      <c r="J306" t="str">
        <f t="shared" si="39"/>
        <v>Ideal World</v>
      </c>
      <c r="K306">
        <f t="shared" si="40"/>
        <v>747</v>
      </c>
      <c r="L306" t="str">
        <f t="shared" si="36"/>
        <v/>
      </c>
      <c r="M306" t="str">
        <f t="shared" si="37"/>
        <v/>
      </c>
      <c r="O306" t="str">
        <f t="shared" si="38"/>
        <v xml:space="preserve">      747:
        name: Ideal World</v>
      </c>
    </row>
    <row r="307" spans="1:15" x14ac:dyDescent="0.3">
      <c r="A307">
        <v>748</v>
      </c>
      <c r="B307" t="s">
        <v>308</v>
      </c>
      <c r="D307" t="s">
        <v>393</v>
      </c>
      <c r="E307" t="s">
        <v>393</v>
      </c>
      <c r="J307" t="str">
        <f t="shared" si="39"/>
        <v>Create and Craft</v>
      </c>
      <c r="K307">
        <f t="shared" si="40"/>
        <v>748</v>
      </c>
      <c r="L307" t="str">
        <f t="shared" si="36"/>
        <v/>
      </c>
      <c r="M307" t="str">
        <f t="shared" si="37"/>
        <v/>
      </c>
      <c r="O307" t="str">
        <f t="shared" si="38"/>
        <v xml:space="preserve">      748:
        name: Create and Craft</v>
      </c>
    </row>
    <row r="308" spans="1:15" x14ac:dyDescent="0.3">
      <c r="A308">
        <v>755</v>
      </c>
      <c r="B308" t="s">
        <v>309</v>
      </c>
      <c r="D308" t="s">
        <v>393</v>
      </c>
      <c r="E308" t="s">
        <v>393</v>
      </c>
      <c r="J308" t="str">
        <f t="shared" si="39"/>
        <v>Gems TV</v>
      </c>
      <c r="K308">
        <f t="shared" si="40"/>
        <v>755</v>
      </c>
      <c r="L308" t="str">
        <f t="shared" si="36"/>
        <v/>
      </c>
      <c r="M308" t="str">
        <f t="shared" si="37"/>
        <v/>
      </c>
      <c r="O308" t="str">
        <f t="shared" si="38"/>
        <v xml:space="preserve">      755:
        name: Gems TV</v>
      </c>
    </row>
    <row r="309" spans="1:15" x14ac:dyDescent="0.3">
      <c r="A309">
        <v>756</v>
      </c>
      <c r="B309" t="s">
        <v>310</v>
      </c>
      <c r="D309" t="s">
        <v>393</v>
      </c>
      <c r="E309" t="s">
        <v>393</v>
      </c>
      <c r="J309" t="str">
        <f t="shared" si="39"/>
        <v>Jewellery Maker</v>
      </c>
      <c r="K309">
        <f t="shared" si="40"/>
        <v>756</v>
      </c>
      <c r="L309" t="str">
        <f t="shared" si="36"/>
        <v/>
      </c>
      <c r="M309" t="str">
        <f t="shared" si="37"/>
        <v/>
      </c>
      <c r="O309" t="str">
        <f t="shared" si="38"/>
        <v xml:space="preserve">      756:
        name: Jewellery Maker</v>
      </c>
    </row>
    <row r="310" spans="1:15" x14ac:dyDescent="0.3">
      <c r="A310">
        <v>757</v>
      </c>
      <c r="B310" t="s">
        <v>311</v>
      </c>
      <c r="D310" t="s">
        <v>393</v>
      </c>
      <c r="E310" t="s">
        <v>393</v>
      </c>
      <c r="J310" t="str">
        <f t="shared" si="39"/>
        <v>TJC</v>
      </c>
      <c r="K310">
        <f t="shared" si="40"/>
        <v>757</v>
      </c>
      <c r="L310" t="str">
        <f t="shared" si="36"/>
        <v/>
      </c>
      <c r="M310" t="str">
        <f t="shared" si="37"/>
        <v/>
      </c>
      <c r="O310" t="str">
        <f t="shared" si="38"/>
        <v xml:space="preserve">      757:
        name: TJC</v>
      </c>
    </row>
    <row r="311" spans="1:15" x14ac:dyDescent="0.3">
      <c r="A311">
        <v>793</v>
      </c>
      <c r="B311" t="s">
        <v>416</v>
      </c>
      <c r="J311" t="str">
        <f t="shared" si="39"/>
        <v>ZooMoo</v>
      </c>
      <c r="K311">
        <f t="shared" si="40"/>
        <v>793</v>
      </c>
      <c r="L311" t="str">
        <f t="shared" si="36"/>
        <v/>
      </c>
      <c r="M311" t="str">
        <f t="shared" si="37"/>
        <v/>
      </c>
      <c r="O311" t="str">
        <f t="shared" si="38"/>
        <v xml:space="preserve">      793:
        name: ZooMoo</v>
      </c>
    </row>
    <row r="312" spans="1:15" x14ac:dyDescent="0.3">
      <c r="A312">
        <v>801</v>
      </c>
      <c r="B312" t="s">
        <v>312</v>
      </c>
      <c r="D312" t="s">
        <v>393</v>
      </c>
      <c r="E312" t="s">
        <v>393</v>
      </c>
      <c r="J312" t="str">
        <f t="shared" si="39"/>
        <v>Star Gold</v>
      </c>
      <c r="K312">
        <f t="shared" si="40"/>
        <v>801</v>
      </c>
      <c r="L312" t="str">
        <f t="shared" si="36"/>
        <v/>
      </c>
      <c r="M312" t="str">
        <f t="shared" si="37"/>
        <v/>
      </c>
      <c r="O312" t="str">
        <f t="shared" si="38"/>
        <v xml:space="preserve">      801:
        name: Star Gold</v>
      </c>
    </row>
    <row r="313" spans="1:15" x14ac:dyDescent="0.3">
      <c r="A313">
        <v>802</v>
      </c>
      <c r="B313" t="s">
        <v>313</v>
      </c>
      <c r="D313" t="s">
        <v>393</v>
      </c>
      <c r="E313" t="s">
        <v>393</v>
      </c>
      <c r="J313" t="str">
        <f t="shared" si="39"/>
        <v>Star Utsav</v>
      </c>
      <c r="K313">
        <f t="shared" si="40"/>
        <v>802</v>
      </c>
      <c r="L313" t="str">
        <f t="shared" si="36"/>
        <v/>
      </c>
      <c r="M313" t="str">
        <f t="shared" si="37"/>
        <v/>
      </c>
      <c r="O313" t="str">
        <f t="shared" si="38"/>
        <v xml:space="preserve">      802:
        name: Star Utsav</v>
      </c>
    </row>
    <row r="314" spans="1:15" x14ac:dyDescent="0.3">
      <c r="A314">
        <v>803</v>
      </c>
      <c r="B314" t="s">
        <v>314</v>
      </c>
      <c r="D314" t="s">
        <v>393</v>
      </c>
      <c r="E314" t="s">
        <v>393</v>
      </c>
      <c r="J314" t="str">
        <f t="shared" si="39"/>
        <v>Star Plus</v>
      </c>
      <c r="K314">
        <f t="shared" si="40"/>
        <v>803</v>
      </c>
      <c r="L314" t="str">
        <f t="shared" si="36"/>
        <v/>
      </c>
      <c r="M314" t="str">
        <f t="shared" si="37"/>
        <v/>
      </c>
      <c r="O314" t="str">
        <f t="shared" si="38"/>
        <v xml:space="preserve">      803:
        name: Star Plus</v>
      </c>
    </row>
    <row r="315" spans="1:15" x14ac:dyDescent="0.3">
      <c r="A315">
        <v>804</v>
      </c>
      <c r="B315" t="s">
        <v>315</v>
      </c>
      <c r="D315" t="s">
        <v>393</v>
      </c>
      <c r="E315" t="s">
        <v>393</v>
      </c>
      <c r="J315" t="str">
        <f t="shared" si="39"/>
        <v>Star Bharat</v>
      </c>
      <c r="K315">
        <f t="shared" si="40"/>
        <v>804</v>
      </c>
      <c r="L315" t="str">
        <f t="shared" si="36"/>
        <v/>
      </c>
      <c r="M315" t="str">
        <f t="shared" si="37"/>
        <v/>
      </c>
      <c r="O315" t="str">
        <f t="shared" si="38"/>
        <v xml:space="preserve">      804:
        name: Star Bharat</v>
      </c>
    </row>
    <row r="316" spans="1:15" x14ac:dyDescent="0.3">
      <c r="A316">
        <v>805</v>
      </c>
      <c r="B316" t="s">
        <v>316</v>
      </c>
      <c r="D316" t="s">
        <v>393</v>
      </c>
      <c r="E316" t="s">
        <v>393</v>
      </c>
      <c r="J316" t="str">
        <f t="shared" si="39"/>
        <v>SET</v>
      </c>
      <c r="K316">
        <f t="shared" si="40"/>
        <v>805</v>
      </c>
      <c r="L316" t="str">
        <f t="shared" si="36"/>
        <v/>
      </c>
      <c r="M316" t="str">
        <f t="shared" si="37"/>
        <v/>
      </c>
      <c r="O316" t="str">
        <f t="shared" si="38"/>
        <v xml:space="preserve">      805:
        name: SET</v>
      </c>
    </row>
    <row r="317" spans="1:15" x14ac:dyDescent="0.3">
      <c r="A317">
        <v>806</v>
      </c>
      <c r="B317" t="s">
        <v>317</v>
      </c>
      <c r="D317" t="s">
        <v>393</v>
      </c>
      <c r="E317" t="s">
        <v>393</v>
      </c>
      <c r="J317" t="str">
        <f t="shared" si="39"/>
        <v>MAX</v>
      </c>
      <c r="K317">
        <f t="shared" si="40"/>
        <v>806</v>
      </c>
      <c r="L317" t="str">
        <f t="shared" si="36"/>
        <v/>
      </c>
      <c r="M317" t="str">
        <f t="shared" si="37"/>
        <v/>
      </c>
      <c r="O317" t="str">
        <f t="shared" si="38"/>
        <v xml:space="preserve">      806:
        name: MAX</v>
      </c>
    </row>
    <row r="318" spans="1:15" x14ac:dyDescent="0.3">
      <c r="A318">
        <v>807</v>
      </c>
      <c r="B318" t="s">
        <v>318</v>
      </c>
      <c r="D318" t="s">
        <v>393</v>
      </c>
      <c r="E318" t="s">
        <v>393</v>
      </c>
      <c r="J318" t="str">
        <f t="shared" si="39"/>
        <v>SAB</v>
      </c>
      <c r="K318">
        <f t="shared" si="40"/>
        <v>807</v>
      </c>
      <c r="L318" t="str">
        <f t="shared" si="36"/>
        <v/>
      </c>
      <c r="M318" t="str">
        <f t="shared" si="37"/>
        <v/>
      </c>
      <c r="O318" t="str">
        <f t="shared" si="38"/>
        <v xml:space="preserve">      807:
        name: SAB</v>
      </c>
    </row>
    <row r="319" spans="1:15" x14ac:dyDescent="0.3">
      <c r="A319">
        <v>809</v>
      </c>
      <c r="B319" t="s">
        <v>319</v>
      </c>
      <c r="D319" t="s">
        <v>393</v>
      </c>
      <c r="E319" t="s">
        <v>393</v>
      </c>
      <c r="J319" t="str">
        <f t="shared" si="39"/>
        <v>Zee TV</v>
      </c>
      <c r="K319">
        <f t="shared" si="40"/>
        <v>809</v>
      </c>
      <c r="L319" t="str">
        <f t="shared" si="36"/>
        <v/>
      </c>
      <c r="M319" t="str">
        <f t="shared" si="37"/>
        <v/>
      </c>
      <c r="O319" t="str">
        <f t="shared" si="38"/>
        <v xml:space="preserve">      809:
        name: Zee TV</v>
      </c>
    </row>
    <row r="320" spans="1:15" x14ac:dyDescent="0.3">
      <c r="A320">
        <v>810</v>
      </c>
      <c r="B320" t="s">
        <v>320</v>
      </c>
      <c r="D320" t="s">
        <v>393</v>
      </c>
      <c r="E320" t="s">
        <v>393</v>
      </c>
      <c r="J320" t="str">
        <f t="shared" si="39"/>
        <v>Zee Cinema</v>
      </c>
      <c r="K320">
        <f t="shared" si="40"/>
        <v>810</v>
      </c>
      <c r="L320" t="str">
        <f t="shared" si="36"/>
        <v/>
      </c>
      <c r="M320" t="str">
        <f t="shared" si="37"/>
        <v/>
      </c>
      <c r="O320" t="str">
        <f t="shared" si="38"/>
        <v xml:space="preserve">      810:
        name: Zee Cinema</v>
      </c>
    </row>
    <row r="321" spans="1:15" x14ac:dyDescent="0.3">
      <c r="A321">
        <v>811</v>
      </c>
      <c r="B321" s="2" t="str">
        <f>"&amp;TV"</f>
        <v>&amp;TV</v>
      </c>
      <c r="D321" t="s">
        <v>393</v>
      </c>
      <c r="E321" t="s">
        <v>393</v>
      </c>
      <c r="J321" t="str">
        <f t="shared" si="39"/>
        <v>&amp;TV</v>
      </c>
      <c r="K321">
        <f t="shared" si="40"/>
        <v>811</v>
      </c>
      <c r="L321" t="str">
        <f t="shared" si="36"/>
        <v/>
      </c>
      <c r="M321" t="str">
        <f t="shared" si="37"/>
        <v/>
      </c>
      <c r="O321" t="str">
        <f t="shared" si="38"/>
        <v xml:space="preserve">      811:
        name: '&amp;TV'</v>
      </c>
    </row>
    <row r="322" spans="1:15" x14ac:dyDescent="0.3">
      <c r="A322">
        <v>812</v>
      </c>
      <c r="B322" t="s">
        <v>321</v>
      </c>
      <c r="D322" t="s">
        <v>393</v>
      </c>
      <c r="E322" t="s">
        <v>393</v>
      </c>
      <c r="J322" t="str">
        <f t="shared" si="39"/>
        <v>Zee Punjabi</v>
      </c>
      <c r="K322">
        <f t="shared" si="40"/>
        <v>812</v>
      </c>
      <c r="L322" t="str">
        <f t="shared" ref="L322:L385" si="41">IF(NOT(ISERROR(VLOOKUP(B322&amp;" HD",B:B,1,FALSE))),VLOOKUP(B322&amp;" HD",J:K,2,FALSE),"")</f>
        <v/>
      </c>
      <c r="M322" t="str">
        <f t="shared" ref="M322:M378" si="42">IF(NOT(ISERROR(VLOOKUP(B322&amp;" +1",B:B,1,FALSE))),VLOOKUP(B322&amp;" +1",J:K,2,FALSE),"")</f>
        <v/>
      </c>
      <c r="O322" t="str">
        <f t="shared" si="38"/>
        <v xml:space="preserve">      812:
        name: Zee Punjabi</v>
      </c>
    </row>
    <row r="323" spans="1:15" x14ac:dyDescent="0.3">
      <c r="A323">
        <v>813</v>
      </c>
      <c r="B323" t="s">
        <v>322</v>
      </c>
      <c r="D323" t="s">
        <v>393</v>
      </c>
      <c r="E323" t="s">
        <v>393</v>
      </c>
      <c r="J323" t="str">
        <f t="shared" si="39"/>
        <v>Zing</v>
      </c>
      <c r="K323">
        <f t="shared" si="40"/>
        <v>813</v>
      </c>
      <c r="L323" t="str">
        <f t="shared" si="41"/>
        <v/>
      </c>
      <c r="M323" t="str">
        <f t="shared" si="42"/>
        <v/>
      </c>
      <c r="O323" t="str">
        <f t="shared" ref="O323:O386" si="43">SUBSTITUTE(CONCATENATE("      ",A323,":","\nname: ",IF(ISERROR(FIND("&amp;",B323)),"","'"),B323,IF(ISERROR(FIND("&amp;",B323)),"","'"),IF(C323&lt;&gt;"","\nshow: "&amp;C323,""),IF(D323&lt;&gt;"","\nhd_channel: "&amp;D323,""),IF(E323&lt;&gt;"","\nplus_one: "&amp;E323,""),IF(F323&lt;&gt;"","\nlogo: "&amp;F323,""),IF(G323&lt;&gt;"","\ntarget: "&amp;G323,""),IF(H323&lt;&gt;"","\nsource: "&amp;H323,"")),"\n",CHAR(10)&amp;"        ")</f>
        <v xml:space="preserve">      813:
        name: Zing</v>
      </c>
    </row>
    <row r="324" spans="1:15" x14ac:dyDescent="0.3">
      <c r="A324">
        <v>815</v>
      </c>
      <c r="B324" t="s">
        <v>323</v>
      </c>
      <c r="D324" t="s">
        <v>393</v>
      </c>
      <c r="E324" t="s">
        <v>393</v>
      </c>
      <c r="J324" t="str">
        <f t="shared" si="39"/>
        <v>B4U Movies</v>
      </c>
      <c r="K324">
        <f t="shared" si="40"/>
        <v>815</v>
      </c>
      <c r="L324" t="str">
        <f t="shared" si="41"/>
        <v/>
      </c>
      <c r="M324" t="str">
        <f t="shared" si="42"/>
        <v/>
      </c>
      <c r="O324" t="str">
        <f t="shared" si="43"/>
        <v xml:space="preserve">      815:
        name: B4U Movies</v>
      </c>
    </row>
    <row r="325" spans="1:15" x14ac:dyDescent="0.3">
      <c r="A325">
        <v>816</v>
      </c>
      <c r="B325" t="s">
        <v>324</v>
      </c>
      <c r="D325" t="s">
        <v>393</v>
      </c>
      <c r="E325" t="s">
        <v>393</v>
      </c>
      <c r="J325" t="str">
        <f t="shared" si="39"/>
        <v>B4U Music</v>
      </c>
      <c r="K325">
        <f t="shared" si="40"/>
        <v>816</v>
      </c>
      <c r="L325" t="str">
        <f t="shared" si="41"/>
        <v/>
      </c>
      <c r="M325" t="str">
        <f t="shared" si="42"/>
        <v/>
      </c>
      <c r="O325" t="str">
        <f t="shared" si="43"/>
        <v xml:space="preserve">      816:
        name: B4U Music</v>
      </c>
    </row>
    <row r="326" spans="1:15" x14ac:dyDescent="0.3">
      <c r="A326">
        <v>825</v>
      </c>
      <c r="B326" t="s">
        <v>325</v>
      </c>
      <c r="D326" t="s">
        <v>393</v>
      </c>
      <c r="E326" t="s">
        <v>393</v>
      </c>
      <c r="J326" t="str">
        <f t="shared" si="39"/>
        <v>TV5 MONDE</v>
      </c>
      <c r="K326">
        <f t="shared" si="40"/>
        <v>825</v>
      </c>
      <c r="L326" t="str">
        <f t="shared" si="41"/>
        <v/>
      </c>
      <c r="M326" t="str">
        <f t="shared" si="42"/>
        <v/>
      </c>
      <c r="O326" t="str">
        <f t="shared" si="43"/>
        <v xml:space="preserve">      825:
        name: TV5 MONDE</v>
      </c>
    </row>
    <row r="327" spans="1:15" x14ac:dyDescent="0.3">
      <c r="A327">
        <v>826</v>
      </c>
      <c r="B327" t="s">
        <v>326</v>
      </c>
      <c r="D327" t="s">
        <v>393</v>
      </c>
      <c r="E327" t="s">
        <v>393</v>
      </c>
      <c r="J327" t="str">
        <f t="shared" si="39"/>
        <v>Colors TV</v>
      </c>
      <c r="K327">
        <f t="shared" si="40"/>
        <v>826</v>
      </c>
      <c r="L327" t="str">
        <f t="shared" si="41"/>
        <v/>
      </c>
      <c r="M327" t="str">
        <f t="shared" si="42"/>
        <v/>
      </c>
      <c r="O327" t="str">
        <f t="shared" si="43"/>
        <v xml:space="preserve">      826:
        name: Colors TV</v>
      </c>
    </row>
    <row r="328" spans="1:15" x14ac:dyDescent="0.3">
      <c r="A328">
        <v>827</v>
      </c>
      <c r="B328" t="s">
        <v>327</v>
      </c>
      <c r="D328" t="s">
        <v>393</v>
      </c>
      <c r="E328" t="s">
        <v>393</v>
      </c>
      <c r="J328" t="str">
        <f t="shared" si="39"/>
        <v>Rishtey</v>
      </c>
      <c r="K328">
        <f t="shared" si="40"/>
        <v>827</v>
      </c>
      <c r="L328" t="str">
        <f t="shared" si="41"/>
        <v/>
      </c>
      <c r="M328" t="str">
        <f t="shared" si="42"/>
        <v/>
      </c>
      <c r="O328" t="str">
        <f t="shared" si="43"/>
        <v xml:space="preserve">      827:
        name: Rishtey</v>
      </c>
    </row>
    <row r="329" spans="1:15" x14ac:dyDescent="0.3">
      <c r="A329">
        <v>828</v>
      </c>
      <c r="B329" t="s">
        <v>328</v>
      </c>
      <c r="D329" t="s">
        <v>393</v>
      </c>
      <c r="E329" t="s">
        <v>393</v>
      </c>
      <c r="J329" t="str">
        <f t="shared" si="39"/>
        <v>Rishtey Cineplex</v>
      </c>
      <c r="K329">
        <f t="shared" si="40"/>
        <v>828</v>
      </c>
      <c r="L329" t="str">
        <f t="shared" si="41"/>
        <v/>
      </c>
      <c r="M329" t="str">
        <f t="shared" si="42"/>
        <v/>
      </c>
      <c r="O329" t="str">
        <f t="shared" si="43"/>
        <v xml:space="preserve">      828:
        name: Rishtey Cineplex</v>
      </c>
    </row>
    <row r="330" spans="1:15" x14ac:dyDescent="0.3">
      <c r="A330">
        <v>829</v>
      </c>
      <c r="B330" t="s">
        <v>329</v>
      </c>
      <c r="D330" t="s">
        <v>393</v>
      </c>
      <c r="E330" t="s">
        <v>393</v>
      </c>
      <c r="J330" t="str">
        <f t="shared" si="39"/>
        <v>NDTV Good Times</v>
      </c>
      <c r="K330">
        <f t="shared" si="40"/>
        <v>829</v>
      </c>
      <c r="L330" t="str">
        <f t="shared" si="41"/>
        <v/>
      </c>
      <c r="M330" t="str">
        <f t="shared" si="42"/>
        <v/>
      </c>
      <c r="O330" t="str">
        <f t="shared" si="43"/>
        <v xml:space="preserve">      829:
        name: NDTV Good Times</v>
      </c>
    </row>
    <row r="331" spans="1:15" x14ac:dyDescent="0.3">
      <c r="A331">
        <v>830</v>
      </c>
      <c r="B331" t="s">
        <v>330</v>
      </c>
      <c r="D331" t="s">
        <v>393</v>
      </c>
      <c r="E331" t="s">
        <v>393</v>
      </c>
      <c r="J331" t="str">
        <f t="shared" si="39"/>
        <v>UTV Movies</v>
      </c>
      <c r="K331">
        <f t="shared" si="40"/>
        <v>830</v>
      </c>
      <c r="L331" t="str">
        <f t="shared" si="41"/>
        <v/>
      </c>
      <c r="M331" t="str">
        <f t="shared" si="42"/>
        <v/>
      </c>
      <c r="O331" t="str">
        <f t="shared" si="43"/>
        <v xml:space="preserve">      830:
        name: UTV Movies</v>
      </c>
    </row>
    <row r="332" spans="1:15" x14ac:dyDescent="0.3">
      <c r="A332">
        <v>831</v>
      </c>
      <c r="B332" t="s">
        <v>331</v>
      </c>
      <c r="D332" t="s">
        <v>393</v>
      </c>
      <c r="E332" t="s">
        <v>393</v>
      </c>
      <c r="J332" t="str">
        <f t="shared" si="39"/>
        <v>Al Jazeera Arabic</v>
      </c>
      <c r="K332">
        <f t="shared" si="40"/>
        <v>831</v>
      </c>
      <c r="L332" t="str">
        <f t="shared" si="41"/>
        <v/>
      </c>
      <c r="M332" t="str">
        <f t="shared" si="42"/>
        <v/>
      </c>
      <c r="O332" t="str">
        <f t="shared" si="43"/>
        <v xml:space="preserve">      831:
        name: Al Jazeera Arabic</v>
      </c>
    </row>
    <row r="333" spans="1:15" x14ac:dyDescent="0.3">
      <c r="A333">
        <v>832</v>
      </c>
      <c r="B333" t="s">
        <v>332</v>
      </c>
      <c r="D333" t="s">
        <v>393</v>
      </c>
      <c r="E333" t="s">
        <v>393</v>
      </c>
      <c r="J333" t="str">
        <f t="shared" si="39"/>
        <v>France 24 French</v>
      </c>
      <c r="K333">
        <f t="shared" si="40"/>
        <v>832</v>
      </c>
      <c r="L333" t="str">
        <f t="shared" si="41"/>
        <v/>
      </c>
      <c r="M333" t="str">
        <f t="shared" si="42"/>
        <v/>
      </c>
      <c r="O333" t="str">
        <f t="shared" si="43"/>
        <v xml:space="preserve">      832:
        name: France 24 French</v>
      </c>
    </row>
    <row r="334" spans="1:15" x14ac:dyDescent="0.3">
      <c r="A334">
        <v>833</v>
      </c>
      <c r="B334" t="s">
        <v>333</v>
      </c>
      <c r="D334" t="s">
        <v>393</v>
      </c>
      <c r="E334" t="s">
        <v>393</v>
      </c>
      <c r="J334" t="str">
        <f t="shared" si="39"/>
        <v>Hum Europe</v>
      </c>
      <c r="K334">
        <f t="shared" si="40"/>
        <v>833</v>
      </c>
      <c r="L334" t="str">
        <f t="shared" si="41"/>
        <v/>
      </c>
      <c r="M334" t="str">
        <f t="shared" si="42"/>
        <v/>
      </c>
      <c r="O334" t="str">
        <f t="shared" si="43"/>
        <v xml:space="preserve">      833:
        name: Hum Europe</v>
      </c>
    </row>
    <row r="335" spans="1:15" x14ac:dyDescent="0.3">
      <c r="A335">
        <v>834</v>
      </c>
      <c r="B335" t="s">
        <v>15</v>
      </c>
      <c r="D335" t="s">
        <v>393</v>
      </c>
      <c r="E335" t="s">
        <v>393</v>
      </c>
      <c r="J335" t="str">
        <f t="shared" si="39"/>
        <v>Worldbox</v>
      </c>
      <c r="K335">
        <f t="shared" si="40"/>
        <v>834</v>
      </c>
      <c r="L335" t="str">
        <f t="shared" si="41"/>
        <v/>
      </c>
      <c r="M335" t="str">
        <f t="shared" si="42"/>
        <v/>
      </c>
      <c r="O335" t="str">
        <f t="shared" si="43"/>
        <v xml:space="preserve">      834:
        name: Worldbox</v>
      </c>
    </row>
    <row r="336" spans="1:15" x14ac:dyDescent="0.3">
      <c r="A336">
        <v>835</v>
      </c>
      <c r="B336" t="s">
        <v>334</v>
      </c>
      <c r="D336" t="s">
        <v>393</v>
      </c>
      <c r="E336" t="s">
        <v>393</v>
      </c>
      <c r="J336" t="str">
        <f t="shared" si="39"/>
        <v>Nigeria</v>
      </c>
      <c r="K336">
        <f t="shared" si="40"/>
        <v>835</v>
      </c>
      <c r="L336" t="str">
        <f t="shared" si="41"/>
        <v/>
      </c>
      <c r="M336" t="str">
        <f t="shared" si="42"/>
        <v/>
      </c>
      <c r="O336" t="str">
        <f t="shared" si="43"/>
        <v xml:space="preserve">      835:
        name: Nigeria</v>
      </c>
    </row>
    <row r="337" spans="1:15" x14ac:dyDescent="0.3">
      <c r="A337">
        <v>836</v>
      </c>
      <c r="B337" t="s">
        <v>335</v>
      </c>
      <c r="D337" t="s">
        <v>393</v>
      </c>
      <c r="E337" t="s">
        <v>393</v>
      </c>
      <c r="J337" t="str">
        <f t="shared" ref="J337:J400" si="44">B337</f>
        <v>NDTV India</v>
      </c>
      <c r="K337">
        <f t="shared" ref="K337:K400" si="45">A337</f>
        <v>836</v>
      </c>
      <c r="L337" t="str">
        <f t="shared" si="41"/>
        <v/>
      </c>
      <c r="M337" t="str">
        <f t="shared" si="42"/>
        <v/>
      </c>
      <c r="O337" t="str">
        <f t="shared" si="43"/>
        <v xml:space="preserve">      836:
        name: NDTV India</v>
      </c>
    </row>
    <row r="338" spans="1:15" x14ac:dyDescent="0.3">
      <c r="A338">
        <v>837</v>
      </c>
      <c r="B338" t="s">
        <v>336</v>
      </c>
      <c r="D338" t="s">
        <v>393</v>
      </c>
      <c r="E338" t="s">
        <v>393</v>
      </c>
      <c r="J338" t="str">
        <f t="shared" si="44"/>
        <v>NDTV Spice</v>
      </c>
      <c r="K338">
        <f t="shared" si="45"/>
        <v>837</v>
      </c>
      <c r="L338" t="str">
        <f t="shared" si="41"/>
        <v/>
      </c>
      <c r="M338" t="str">
        <f t="shared" si="42"/>
        <v/>
      </c>
      <c r="O338" t="str">
        <f t="shared" si="43"/>
        <v xml:space="preserve">      837:
        name: NDTV Spice</v>
      </c>
    </row>
    <row r="339" spans="1:15" x14ac:dyDescent="0.3">
      <c r="A339">
        <v>838</v>
      </c>
      <c r="B339" t="s">
        <v>337</v>
      </c>
      <c r="D339" t="s">
        <v>393</v>
      </c>
      <c r="E339" t="s">
        <v>393</v>
      </c>
      <c r="J339" t="str">
        <f t="shared" si="44"/>
        <v>Islam Channel UK</v>
      </c>
      <c r="K339">
        <f t="shared" si="45"/>
        <v>838</v>
      </c>
      <c r="L339" t="str">
        <f t="shared" si="41"/>
        <v/>
      </c>
      <c r="M339" t="str">
        <f t="shared" si="42"/>
        <v/>
      </c>
      <c r="O339" t="str">
        <f t="shared" si="43"/>
        <v xml:space="preserve">      838:
        name: Islam Channel UK</v>
      </c>
    </row>
    <row r="340" spans="1:15" x14ac:dyDescent="0.3">
      <c r="A340">
        <v>839</v>
      </c>
      <c r="B340" t="s">
        <v>338</v>
      </c>
      <c r="D340" t="s">
        <v>393</v>
      </c>
      <c r="E340" t="s">
        <v>393</v>
      </c>
      <c r="J340" t="str">
        <f t="shared" si="44"/>
        <v>Islam Channel Urdu</v>
      </c>
      <c r="K340">
        <f t="shared" si="45"/>
        <v>839</v>
      </c>
      <c r="L340" t="str">
        <f t="shared" si="41"/>
        <v/>
      </c>
      <c r="M340" t="str">
        <f t="shared" si="42"/>
        <v/>
      </c>
      <c r="O340" t="str">
        <f t="shared" si="43"/>
        <v xml:space="preserve">      839:
        name: Islam Channel Urdu</v>
      </c>
    </row>
    <row r="341" spans="1:15" x14ac:dyDescent="0.3">
      <c r="A341">
        <v>840</v>
      </c>
      <c r="B341" t="s">
        <v>339</v>
      </c>
      <c r="D341" t="s">
        <v>393</v>
      </c>
      <c r="E341" t="s">
        <v>393</v>
      </c>
      <c r="J341" t="str">
        <f t="shared" si="44"/>
        <v>Brit Asia TV</v>
      </c>
      <c r="K341">
        <f t="shared" si="45"/>
        <v>840</v>
      </c>
      <c r="L341" t="str">
        <f t="shared" si="41"/>
        <v/>
      </c>
      <c r="M341" t="str">
        <f t="shared" si="42"/>
        <v/>
      </c>
      <c r="O341" t="str">
        <f t="shared" si="43"/>
        <v xml:space="preserve">      840:
        name: Brit Asia TV</v>
      </c>
    </row>
    <row r="342" spans="1:15" x14ac:dyDescent="0.3">
      <c r="A342">
        <v>841</v>
      </c>
      <c r="B342" t="s">
        <v>340</v>
      </c>
      <c r="D342" t="s">
        <v>393</v>
      </c>
      <c r="E342" t="s">
        <v>393</v>
      </c>
      <c r="J342" t="str">
        <f t="shared" si="44"/>
        <v>MTV Beats</v>
      </c>
      <c r="K342">
        <f t="shared" si="45"/>
        <v>841</v>
      </c>
      <c r="L342" t="str">
        <f t="shared" si="41"/>
        <v/>
      </c>
      <c r="M342" t="str">
        <f t="shared" si="42"/>
        <v/>
      </c>
      <c r="O342" t="str">
        <f t="shared" si="43"/>
        <v xml:space="preserve">      841:
        name: MTV Beats</v>
      </c>
    </row>
    <row r="343" spans="1:15" x14ac:dyDescent="0.3">
      <c r="A343">
        <v>842</v>
      </c>
      <c r="B343" t="s">
        <v>341</v>
      </c>
      <c r="D343" t="s">
        <v>393</v>
      </c>
      <c r="E343" t="s">
        <v>393</v>
      </c>
      <c r="J343" t="str">
        <f t="shared" si="44"/>
        <v>ABN TV</v>
      </c>
      <c r="K343">
        <f t="shared" si="45"/>
        <v>842</v>
      </c>
      <c r="L343" t="str">
        <f t="shared" si="41"/>
        <v/>
      </c>
      <c r="M343" t="str">
        <f t="shared" si="42"/>
        <v/>
      </c>
      <c r="O343" t="str">
        <f t="shared" si="43"/>
        <v xml:space="preserve">      842:
        name: ABN TV</v>
      </c>
    </row>
    <row r="344" spans="1:15" x14ac:dyDescent="0.3">
      <c r="A344">
        <v>851</v>
      </c>
      <c r="B344" t="s">
        <v>342</v>
      </c>
      <c r="D344" t="s">
        <v>393</v>
      </c>
      <c r="E344" t="s">
        <v>393</v>
      </c>
      <c r="J344" t="str">
        <f t="shared" si="44"/>
        <v>BBC OneAudio Description</v>
      </c>
      <c r="K344">
        <f t="shared" si="45"/>
        <v>851</v>
      </c>
      <c r="L344" t="str">
        <f t="shared" si="41"/>
        <v/>
      </c>
      <c r="M344" t="str">
        <f t="shared" si="42"/>
        <v/>
      </c>
      <c r="O344" t="str">
        <f t="shared" si="43"/>
        <v xml:space="preserve">      851:
        name: BBC OneAudio Description</v>
      </c>
    </row>
    <row r="345" spans="1:15" x14ac:dyDescent="0.3">
      <c r="A345">
        <v>852</v>
      </c>
      <c r="B345" t="s">
        <v>343</v>
      </c>
      <c r="D345" t="s">
        <v>393</v>
      </c>
      <c r="E345" t="s">
        <v>393</v>
      </c>
      <c r="J345" t="str">
        <f t="shared" si="44"/>
        <v>BBC TwoAudio Description</v>
      </c>
      <c r="K345">
        <f t="shared" si="45"/>
        <v>852</v>
      </c>
      <c r="L345" t="str">
        <f t="shared" si="41"/>
        <v/>
      </c>
      <c r="M345" t="str">
        <f t="shared" si="42"/>
        <v/>
      </c>
      <c r="O345" t="str">
        <f t="shared" si="43"/>
        <v xml:space="preserve">      852:
        name: BBC TwoAudio Description</v>
      </c>
    </row>
    <row r="346" spans="1:15" x14ac:dyDescent="0.3">
      <c r="A346">
        <v>853</v>
      </c>
      <c r="B346" t="s">
        <v>344</v>
      </c>
      <c r="D346" t="s">
        <v>393</v>
      </c>
      <c r="E346" t="s">
        <v>393</v>
      </c>
      <c r="J346" t="str">
        <f t="shared" si="44"/>
        <v>ITVAudio Description</v>
      </c>
      <c r="K346">
        <f t="shared" si="45"/>
        <v>853</v>
      </c>
      <c r="L346" t="str">
        <f t="shared" si="41"/>
        <v/>
      </c>
      <c r="M346" t="str">
        <f t="shared" si="42"/>
        <v/>
      </c>
      <c r="O346" t="str">
        <f t="shared" si="43"/>
        <v xml:space="preserve">      853:
        name: ITVAudio Description</v>
      </c>
    </row>
    <row r="347" spans="1:15" x14ac:dyDescent="0.3">
      <c r="A347">
        <v>854</v>
      </c>
      <c r="B347" t="s">
        <v>345</v>
      </c>
      <c r="D347" t="s">
        <v>393</v>
      </c>
      <c r="E347" t="s">
        <v>393</v>
      </c>
      <c r="J347" t="str">
        <f t="shared" si="44"/>
        <v>Channel 4Audio Description</v>
      </c>
      <c r="K347">
        <f t="shared" si="45"/>
        <v>854</v>
      </c>
      <c r="L347" t="str">
        <f t="shared" si="41"/>
        <v/>
      </c>
      <c r="M347" t="str">
        <f t="shared" si="42"/>
        <v/>
      </c>
      <c r="O347" t="str">
        <f t="shared" si="43"/>
        <v xml:space="preserve">      854:
        name: Channel 4Audio Description</v>
      </c>
    </row>
    <row r="348" spans="1:15" x14ac:dyDescent="0.3">
      <c r="A348">
        <v>855</v>
      </c>
      <c r="B348" t="s">
        <v>346</v>
      </c>
      <c r="D348" t="s">
        <v>393</v>
      </c>
      <c r="E348" t="s">
        <v>393</v>
      </c>
      <c r="J348" t="str">
        <f t="shared" si="44"/>
        <v>Channel 5Audio Description</v>
      </c>
      <c r="K348">
        <f t="shared" si="45"/>
        <v>855</v>
      </c>
      <c r="L348" t="str">
        <f t="shared" si="41"/>
        <v/>
      </c>
      <c r="M348" t="str">
        <f t="shared" si="42"/>
        <v/>
      </c>
      <c r="O348" t="str">
        <f t="shared" si="43"/>
        <v xml:space="preserve">      855:
        name: Channel 5Audio Description</v>
      </c>
    </row>
    <row r="349" spans="1:15" x14ac:dyDescent="0.3">
      <c r="A349">
        <v>856</v>
      </c>
      <c r="B349" t="s">
        <v>347</v>
      </c>
      <c r="D349" t="s">
        <v>393</v>
      </c>
      <c r="E349" t="s">
        <v>393</v>
      </c>
      <c r="J349" t="str">
        <f t="shared" si="44"/>
        <v>S4CAudio Description</v>
      </c>
      <c r="K349">
        <f t="shared" si="45"/>
        <v>856</v>
      </c>
      <c r="L349" t="str">
        <f t="shared" si="41"/>
        <v/>
      </c>
      <c r="M349" t="str">
        <f t="shared" si="42"/>
        <v/>
      </c>
      <c r="O349" t="str">
        <f t="shared" si="43"/>
        <v xml:space="preserve">      856:
        name: S4CAudio Description</v>
      </c>
    </row>
    <row r="350" spans="1:15" x14ac:dyDescent="0.3">
      <c r="A350">
        <v>861</v>
      </c>
      <c r="B350" t="s">
        <v>348</v>
      </c>
      <c r="D350" t="s">
        <v>393</v>
      </c>
      <c r="E350" t="s">
        <v>393</v>
      </c>
      <c r="J350" t="str">
        <f t="shared" si="44"/>
        <v>BBC One England</v>
      </c>
      <c r="K350">
        <f t="shared" si="45"/>
        <v>861</v>
      </c>
      <c r="L350" t="str">
        <f t="shared" si="41"/>
        <v/>
      </c>
      <c r="M350" t="str">
        <f t="shared" si="42"/>
        <v/>
      </c>
      <c r="O350" t="str">
        <f t="shared" si="43"/>
        <v xml:space="preserve">      861:
        name: BBC One England</v>
      </c>
    </row>
    <row r="351" spans="1:15" x14ac:dyDescent="0.3">
      <c r="A351">
        <v>862</v>
      </c>
      <c r="B351" t="s">
        <v>349</v>
      </c>
      <c r="D351" t="s">
        <v>393</v>
      </c>
      <c r="E351" t="s">
        <v>393</v>
      </c>
      <c r="J351" t="str">
        <f t="shared" si="44"/>
        <v>BBC One Scotland</v>
      </c>
      <c r="K351">
        <f t="shared" si="45"/>
        <v>862</v>
      </c>
      <c r="L351" t="str">
        <f t="shared" si="41"/>
        <v/>
      </c>
      <c r="M351" t="str">
        <f t="shared" si="42"/>
        <v/>
      </c>
      <c r="O351" t="str">
        <f t="shared" si="43"/>
        <v xml:space="preserve">      862:
        name: BBC One Scotland</v>
      </c>
    </row>
    <row r="352" spans="1:15" x14ac:dyDescent="0.3">
      <c r="A352">
        <v>863</v>
      </c>
      <c r="B352" t="s">
        <v>350</v>
      </c>
      <c r="D352" t="s">
        <v>393</v>
      </c>
      <c r="E352" t="s">
        <v>393</v>
      </c>
      <c r="J352" t="str">
        <f t="shared" si="44"/>
        <v>BBC One Northern Ireland</v>
      </c>
      <c r="K352">
        <f t="shared" si="45"/>
        <v>863</v>
      </c>
      <c r="L352" t="str">
        <f t="shared" si="41"/>
        <v/>
      </c>
      <c r="M352" t="str">
        <f t="shared" si="42"/>
        <v/>
      </c>
      <c r="O352" t="str">
        <f t="shared" si="43"/>
        <v xml:space="preserve">      863:
        name: BBC One Northern Ireland</v>
      </c>
    </row>
    <row r="353" spans="1:15" x14ac:dyDescent="0.3">
      <c r="A353">
        <v>864</v>
      </c>
      <c r="B353" t="s">
        <v>351</v>
      </c>
      <c r="D353" t="s">
        <v>393</v>
      </c>
      <c r="E353" t="s">
        <v>393</v>
      </c>
      <c r="J353" t="str">
        <f t="shared" si="44"/>
        <v>BBC One Wales</v>
      </c>
      <c r="K353">
        <f t="shared" si="45"/>
        <v>864</v>
      </c>
      <c r="L353" t="str">
        <f t="shared" si="41"/>
        <v/>
      </c>
      <c r="M353" t="str">
        <f t="shared" si="42"/>
        <v/>
      </c>
      <c r="O353" t="str">
        <f t="shared" si="43"/>
        <v xml:space="preserve">      864:
        name: BBC One Wales</v>
      </c>
    </row>
    <row r="354" spans="1:15" x14ac:dyDescent="0.3">
      <c r="A354">
        <v>865</v>
      </c>
      <c r="B354" t="s">
        <v>352</v>
      </c>
      <c r="D354" t="s">
        <v>393</v>
      </c>
      <c r="E354" t="s">
        <v>393</v>
      </c>
      <c r="J354" t="str">
        <f t="shared" si="44"/>
        <v>BBC Two England</v>
      </c>
      <c r="K354">
        <f t="shared" si="45"/>
        <v>865</v>
      </c>
      <c r="L354" t="str">
        <f t="shared" si="41"/>
        <v/>
      </c>
      <c r="M354" t="str">
        <f t="shared" si="42"/>
        <v/>
      </c>
      <c r="O354" t="str">
        <f t="shared" si="43"/>
        <v xml:space="preserve">      865:
        name: BBC Two England</v>
      </c>
    </row>
    <row r="355" spans="1:15" x14ac:dyDescent="0.3">
      <c r="A355">
        <v>875</v>
      </c>
      <c r="B355" t="s">
        <v>396</v>
      </c>
      <c r="C355" t="str">
        <f t="shared" ref="C355:C356" si="46">"true"</f>
        <v>true</v>
      </c>
      <c r="D355" t="s">
        <v>393</v>
      </c>
      <c r="E355" t="s">
        <v>393</v>
      </c>
      <c r="F355" s="3" t="s">
        <v>403</v>
      </c>
      <c r="J355" t="str">
        <f t="shared" si="44"/>
        <v>RTÉ One</v>
      </c>
      <c r="K355">
        <f t="shared" si="45"/>
        <v>875</v>
      </c>
      <c r="L355" t="str">
        <f t="shared" si="41"/>
        <v/>
      </c>
      <c r="M355" t="str">
        <f t="shared" si="42"/>
        <v/>
      </c>
      <c r="O355" t="str">
        <f t="shared" si="43"/>
        <v xml:space="preserve">      875:
        name: RTÉ One
        show: true
        logo: https://www.freeview.co.uk/app/themes/freeview/assets/images/channels/entertainment/rteone.png</v>
      </c>
    </row>
    <row r="356" spans="1:15" x14ac:dyDescent="0.3">
      <c r="A356">
        <v>876</v>
      </c>
      <c r="B356" t="s">
        <v>397</v>
      </c>
      <c r="C356" t="str">
        <f t="shared" si="46"/>
        <v>true</v>
      </c>
      <c r="D356" t="s">
        <v>393</v>
      </c>
      <c r="E356" t="s">
        <v>393</v>
      </c>
      <c r="F356" s="3" t="s">
        <v>420</v>
      </c>
      <c r="J356" t="str">
        <f t="shared" si="44"/>
        <v>RTÉ2</v>
      </c>
      <c r="K356">
        <f t="shared" si="45"/>
        <v>876</v>
      </c>
      <c r="L356" t="str">
        <f t="shared" si="41"/>
        <v/>
      </c>
      <c r="M356" t="str">
        <f t="shared" si="42"/>
        <v/>
      </c>
      <c r="O356" t="str">
        <f t="shared" si="43"/>
        <v xml:space="preserve">      876:
        name: RTÉ2
        show: true
        logo: https://www.freeview.co.uk/app/themes/freeview/assets/images/channels/entertainment/rtetwo.png</v>
      </c>
    </row>
    <row r="357" spans="1:15" x14ac:dyDescent="0.3">
      <c r="A357">
        <v>877</v>
      </c>
      <c r="B357" t="s">
        <v>398</v>
      </c>
      <c r="D357" t="s">
        <v>393</v>
      </c>
      <c r="E357" t="s">
        <v>393</v>
      </c>
      <c r="J357" t="str">
        <f t="shared" si="44"/>
        <v>TG4</v>
      </c>
      <c r="K357">
        <f t="shared" si="45"/>
        <v>877</v>
      </c>
      <c r="L357" t="str">
        <f t="shared" si="41"/>
        <v/>
      </c>
      <c r="M357" t="str">
        <f t="shared" si="42"/>
        <v/>
      </c>
      <c r="O357" t="str">
        <f t="shared" si="43"/>
        <v xml:space="preserve">      877:
        name: TG4</v>
      </c>
    </row>
    <row r="358" spans="1:15" x14ac:dyDescent="0.3">
      <c r="A358">
        <v>901</v>
      </c>
      <c r="B358" t="s">
        <v>353</v>
      </c>
      <c r="D358" t="s">
        <v>393</v>
      </c>
      <c r="E358" t="s">
        <v>393</v>
      </c>
      <c r="G358" t="s">
        <v>399</v>
      </c>
      <c r="H358" t="s">
        <v>400</v>
      </c>
      <c r="J358" t="str">
        <f t="shared" si="44"/>
        <v>BBC Radio 1</v>
      </c>
      <c r="K358">
        <f t="shared" si="45"/>
        <v>901</v>
      </c>
      <c r="L358" t="str">
        <f t="shared" si="41"/>
        <v/>
      </c>
      <c r="M358" t="str">
        <f t="shared" si="42"/>
        <v/>
      </c>
      <c r="O358" t="str">
        <f t="shared" si="43"/>
        <v xml:space="preserve">      901:
        name: BBC Radio 1
        target: media_player.family_room
        source: Virgin V6</v>
      </c>
    </row>
    <row r="359" spans="1:15" x14ac:dyDescent="0.3">
      <c r="A359">
        <v>902</v>
      </c>
      <c r="B359" t="s">
        <v>354</v>
      </c>
      <c r="D359" t="s">
        <v>393</v>
      </c>
      <c r="E359" t="s">
        <v>393</v>
      </c>
      <c r="G359" t="s">
        <v>399</v>
      </c>
      <c r="H359" t="s">
        <v>401</v>
      </c>
      <c r="J359" t="str">
        <f t="shared" si="44"/>
        <v>BBC Radio 2</v>
      </c>
      <c r="K359">
        <f t="shared" si="45"/>
        <v>902</v>
      </c>
      <c r="L359" t="str">
        <f t="shared" si="41"/>
        <v/>
      </c>
      <c r="M359" t="str">
        <f t="shared" si="42"/>
        <v/>
      </c>
      <c r="O359" t="str">
        <f t="shared" si="43"/>
        <v xml:space="preserve">      902:
        name: BBC Radio 2
        target: media_player.family_room
        source: Virgin Tivo</v>
      </c>
    </row>
    <row r="360" spans="1:15" x14ac:dyDescent="0.3">
      <c r="A360">
        <v>903</v>
      </c>
      <c r="B360" t="s">
        <v>355</v>
      </c>
      <c r="D360" t="s">
        <v>393</v>
      </c>
      <c r="E360" t="s">
        <v>393</v>
      </c>
      <c r="G360" t="s">
        <v>399</v>
      </c>
      <c r="H360" t="s">
        <v>402</v>
      </c>
      <c r="J360" t="str">
        <f t="shared" si="44"/>
        <v>BBC Radio 3</v>
      </c>
      <c r="K360">
        <f t="shared" si="45"/>
        <v>903</v>
      </c>
      <c r="L360" t="str">
        <f t="shared" si="41"/>
        <v/>
      </c>
      <c r="M360" t="str">
        <f t="shared" si="42"/>
        <v/>
      </c>
      <c r="O360" t="str">
        <f t="shared" si="43"/>
        <v xml:space="preserve">      903:
        name: BBC Radio 3
        target: media_player.family_room
        source: CCTV</v>
      </c>
    </row>
    <row r="361" spans="1:15" x14ac:dyDescent="0.3">
      <c r="A361">
        <v>904</v>
      </c>
      <c r="B361" t="s">
        <v>356</v>
      </c>
      <c r="D361" t="s">
        <v>393</v>
      </c>
      <c r="E361" t="s">
        <v>393</v>
      </c>
      <c r="J361" t="str">
        <f t="shared" si="44"/>
        <v>BBC Radio 4 FM</v>
      </c>
      <c r="K361">
        <f t="shared" si="45"/>
        <v>904</v>
      </c>
      <c r="L361" t="str">
        <f t="shared" si="41"/>
        <v/>
      </c>
      <c r="M361" t="str">
        <f t="shared" si="42"/>
        <v/>
      </c>
      <c r="O361" t="str">
        <f t="shared" si="43"/>
        <v xml:space="preserve">      904:
        name: BBC Radio 4 FM</v>
      </c>
    </row>
    <row r="362" spans="1:15" x14ac:dyDescent="0.3">
      <c r="A362">
        <v>905</v>
      </c>
      <c r="B362" t="s">
        <v>357</v>
      </c>
      <c r="D362" t="s">
        <v>393</v>
      </c>
      <c r="E362" t="s">
        <v>393</v>
      </c>
      <c r="J362" t="str">
        <f t="shared" si="44"/>
        <v>BBC Radio 5 Live</v>
      </c>
      <c r="K362">
        <f t="shared" si="45"/>
        <v>905</v>
      </c>
      <c r="L362" t="str">
        <f t="shared" si="41"/>
        <v/>
      </c>
      <c r="M362" t="str">
        <f t="shared" si="42"/>
        <v/>
      </c>
      <c r="O362" t="str">
        <f t="shared" si="43"/>
        <v xml:space="preserve">      905:
        name: BBC Radio 5 Live</v>
      </c>
    </row>
    <row r="363" spans="1:15" x14ac:dyDescent="0.3">
      <c r="A363">
        <v>906</v>
      </c>
      <c r="B363" t="s">
        <v>358</v>
      </c>
      <c r="D363" t="s">
        <v>393</v>
      </c>
      <c r="E363" t="s">
        <v>393</v>
      </c>
      <c r="J363" t="str">
        <f t="shared" si="44"/>
        <v>BBC World Service</v>
      </c>
      <c r="K363">
        <f t="shared" si="45"/>
        <v>906</v>
      </c>
      <c r="L363" t="str">
        <f t="shared" si="41"/>
        <v/>
      </c>
      <c r="M363" t="str">
        <f t="shared" si="42"/>
        <v/>
      </c>
      <c r="O363" t="str">
        <f t="shared" si="43"/>
        <v xml:space="preserve">      906:
        name: BBC World Service</v>
      </c>
    </row>
    <row r="364" spans="1:15" x14ac:dyDescent="0.3">
      <c r="A364">
        <v>907</v>
      </c>
      <c r="B364" t="s">
        <v>359</v>
      </c>
      <c r="D364" t="s">
        <v>393</v>
      </c>
      <c r="E364" t="s">
        <v>393</v>
      </c>
      <c r="J364" t="str">
        <f t="shared" si="44"/>
        <v>BBC Radio 1Xtra</v>
      </c>
      <c r="K364">
        <f t="shared" si="45"/>
        <v>907</v>
      </c>
      <c r="L364" t="str">
        <f t="shared" si="41"/>
        <v/>
      </c>
      <c r="M364" t="str">
        <f t="shared" si="42"/>
        <v/>
      </c>
      <c r="O364" t="str">
        <f t="shared" si="43"/>
        <v xml:space="preserve">      907:
        name: BBC Radio 1Xtra</v>
      </c>
    </row>
    <row r="365" spans="1:15" x14ac:dyDescent="0.3">
      <c r="A365">
        <v>908</v>
      </c>
      <c r="B365" t="s">
        <v>360</v>
      </c>
      <c r="D365" t="s">
        <v>393</v>
      </c>
      <c r="E365" t="s">
        <v>393</v>
      </c>
      <c r="J365" t="str">
        <f t="shared" si="44"/>
        <v>BBC Radio 5 Live Sports Extra</v>
      </c>
      <c r="K365">
        <f t="shared" si="45"/>
        <v>908</v>
      </c>
      <c r="L365" t="str">
        <f t="shared" si="41"/>
        <v/>
      </c>
      <c r="M365" t="str">
        <f t="shared" si="42"/>
        <v/>
      </c>
      <c r="O365" t="str">
        <f t="shared" si="43"/>
        <v xml:space="preserve">      908:
        name: BBC Radio 5 Live Sports Extra</v>
      </c>
    </row>
    <row r="366" spans="1:15" x14ac:dyDescent="0.3">
      <c r="A366">
        <v>909</v>
      </c>
      <c r="B366" t="s">
        <v>361</v>
      </c>
      <c r="D366" t="s">
        <v>393</v>
      </c>
      <c r="E366" t="s">
        <v>393</v>
      </c>
      <c r="J366" t="str">
        <f t="shared" si="44"/>
        <v>BBC Radio 6 Music</v>
      </c>
      <c r="K366">
        <f t="shared" si="45"/>
        <v>909</v>
      </c>
      <c r="L366" t="str">
        <f t="shared" si="41"/>
        <v/>
      </c>
      <c r="M366" t="str">
        <f t="shared" si="42"/>
        <v/>
      </c>
      <c r="O366" t="str">
        <f t="shared" si="43"/>
        <v xml:space="preserve">      909:
        name: BBC Radio 6 Music</v>
      </c>
    </row>
    <row r="367" spans="1:15" x14ac:dyDescent="0.3">
      <c r="A367">
        <v>910</v>
      </c>
      <c r="B367" t="s">
        <v>362</v>
      </c>
      <c r="D367" t="s">
        <v>393</v>
      </c>
      <c r="E367" t="s">
        <v>393</v>
      </c>
      <c r="J367" t="str">
        <f t="shared" si="44"/>
        <v>BBC Radio 4 Extra</v>
      </c>
      <c r="K367">
        <f t="shared" si="45"/>
        <v>910</v>
      </c>
      <c r="L367" t="str">
        <f t="shared" si="41"/>
        <v/>
      </c>
      <c r="M367" t="str">
        <f t="shared" si="42"/>
        <v/>
      </c>
      <c r="O367" t="str">
        <f t="shared" si="43"/>
        <v xml:space="preserve">      910:
        name: BBC Radio 4 Extra</v>
      </c>
    </row>
    <row r="368" spans="1:15" x14ac:dyDescent="0.3">
      <c r="A368">
        <v>911</v>
      </c>
      <c r="B368" t="s">
        <v>363</v>
      </c>
      <c r="D368" t="s">
        <v>393</v>
      </c>
      <c r="E368" t="s">
        <v>393</v>
      </c>
      <c r="J368" t="str">
        <f t="shared" si="44"/>
        <v>BBC Radio 4 Long Wave</v>
      </c>
      <c r="K368">
        <f t="shared" si="45"/>
        <v>911</v>
      </c>
      <c r="L368" t="str">
        <f t="shared" si="41"/>
        <v/>
      </c>
      <c r="M368" t="str">
        <f t="shared" si="42"/>
        <v/>
      </c>
      <c r="O368" t="str">
        <f t="shared" si="43"/>
        <v xml:space="preserve">      911:
        name: BBC Radio 4 Long Wave</v>
      </c>
    </row>
    <row r="369" spans="1:15" x14ac:dyDescent="0.3">
      <c r="A369">
        <v>912</v>
      </c>
      <c r="B369" t="s">
        <v>364</v>
      </c>
      <c r="D369" t="s">
        <v>393</v>
      </c>
      <c r="E369" t="s">
        <v>393</v>
      </c>
      <c r="J369" t="str">
        <f t="shared" si="44"/>
        <v>BBC Asian Network</v>
      </c>
      <c r="K369">
        <f t="shared" si="45"/>
        <v>912</v>
      </c>
      <c r="L369" t="str">
        <f t="shared" si="41"/>
        <v/>
      </c>
      <c r="M369" t="str">
        <f t="shared" si="42"/>
        <v/>
      </c>
      <c r="O369" t="str">
        <f t="shared" si="43"/>
        <v xml:space="preserve">      912:
        name: BBC Asian Network</v>
      </c>
    </row>
    <row r="370" spans="1:15" x14ac:dyDescent="0.3">
      <c r="A370">
        <v>913</v>
      </c>
      <c r="B370" t="s">
        <v>365</v>
      </c>
      <c r="D370" t="s">
        <v>393</v>
      </c>
      <c r="E370" t="s">
        <v>393</v>
      </c>
      <c r="J370" t="str">
        <f t="shared" si="44"/>
        <v>BBC Local Radio</v>
      </c>
      <c r="K370">
        <f t="shared" si="45"/>
        <v>913</v>
      </c>
      <c r="L370" t="str">
        <f t="shared" si="41"/>
        <v/>
      </c>
      <c r="M370" t="str">
        <f t="shared" si="42"/>
        <v/>
      </c>
      <c r="O370" t="str">
        <f t="shared" si="43"/>
        <v xml:space="preserve">      913:
        name: BBC Local Radio</v>
      </c>
    </row>
    <row r="371" spans="1:15" x14ac:dyDescent="0.3">
      <c r="A371">
        <v>915</v>
      </c>
      <c r="B371" t="s">
        <v>366</v>
      </c>
      <c r="D371" t="s">
        <v>393</v>
      </c>
      <c r="E371" t="s">
        <v>393</v>
      </c>
      <c r="J371" t="str">
        <f t="shared" si="44"/>
        <v>Absolute Radio</v>
      </c>
      <c r="K371">
        <f t="shared" si="45"/>
        <v>915</v>
      </c>
      <c r="L371" t="str">
        <f t="shared" si="41"/>
        <v/>
      </c>
      <c r="M371" t="str">
        <f t="shared" si="42"/>
        <v/>
      </c>
      <c r="O371" t="str">
        <f t="shared" si="43"/>
        <v xml:space="preserve">      915:
        name: Absolute Radio</v>
      </c>
    </row>
    <row r="372" spans="1:15" x14ac:dyDescent="0.3">
      <c r="A372">
        <v>916</v>
      </c>
      <c r="B372" t="s">
        <v>367</v>
      </c>
      <c r="D372" t="s">
        <v>393</v>
      </c>
      <c r="E372" t="s">
        <v>393</v>
      </c>
      <c r="J372" t="str">
        <f t="shared" si="44"/>
        <v>Smooth Radio</v>
      </c>
      <c r="K372">
        <f t="shared" si="45"/>
        <v>916</v>
      </c>
      <c r="L372" t="str">
        <f t="shared" si="41"/>
        <v/>
      </c>
      <c r="M372" t="str">
        <f t="shared" si="42"/>
        <v/>
      </c>
      <c r="O372" t="str">
        <f t="shared" si="43"/>
        <v xml:space="preserve">      916:
        name: Smooth Radio</v>
      </c>
    </row>
    <row r="373" spans="1:15" x14ac:dyDescent="0.3">
      <c r="A373">
        <v>917</v>
      </c>
      <c r="B373" t="s">
        <v>368</v>
      </c>
      <c r="D373" t="s">
        <v>393</v>
      </c>
      <c r="E373" t="s">
        <v>393</v>
      </c>
      <c r="J373" t="str">
        <f t="shared" si="44"/>
        <v>RTÉ Radio</v>
      </c>
      <c r="K373">
        <f t="shared" si="45"/>
        <v>917</v>
      </c>
      <c r="L373" t="str">
        <f t="shared" si="41"/>
        <v/>
      </c>
      <c r="M373" t="str">
        <f t="shared" si="42"/>
        <v/>
      </c>
      <c r="O373" t="str">
        <f t="shared" si="43"/>
        <v xml:space="preserve">      917:
        name: RTÉ Radio</v>
      </c>
    </row>
    <row r="374" spans="1:15" x14ac:dyDescent="0.3">
      <c r="A374">
        <v>918</v>
      </c>
      <c r="B374" t="s">
        <v>369</v>
      </c>
      <c r="D374" t="s">
        <v>393</v>
      </c>
      <c r="E374" t="s">
        <v>393</v>
      </c>
      <c r="J374" t="str">
        <f t="shared" si="44"/>
        <v>Heart FM</v>
      </c>
      <c r="K374">
        <f t="shared" si="45"/>
        <v>918</v>
      </c>
      <c r="L374" t="str">
        <f t="shared" si="41"/>
        <v/>
      </c>
      <c r="M374" t="str">
        <f t="shared" si="42"/>
        <v/>
      </c>
      <c r="O374" t="str">
        <f t="shared" si="43"/>
        <v xml:space="preserve">      918:
        name: Heart FM</v>
      </c>
    </row>
    <row r="375" spans="1:15" x14ac:dyDescent="0.3">
      <c r="A375">
        <v>919</v>
      </c>
      <c r="B375" t="s">
        <v>370</v>
      </c>
      <c r="D375" t="s">
        <v>393</v>
      </c>
      <c r="E375" t="s">
        <v>393</v>
      </c>
      <c r="J375" t="str">
        <f t="shared" si="44"/>
        <v>LBC News</v>
      </c>
      <c r="K375">
        <f t="shared" si="45"/>
        <v>919</v>
      </c>
      <c r="L375" t="str">
        <f t="shared" si="41"/>
        <v/>
      </c>
      <c r="M375" t="str">
        <f t="shared" si="42"/>
        <v/>
      </c>
      <c r="O375" t="str">
        <f t="shared" si="43"/>
        <v xml:space="preserve">      919:
        name: LBC News</v>
      </c>
    </row>
    <row r="376" spans="1:15" x14ac:dyDescent="0.3">
      <c r="A376">
        <v>920</v>
      </c>
      <c r="B376" t="s">
        <v>371</v>
      </c>
      <c r="D376" t="s">
        <v>393</v>
      </c>
      <c r="E376" t="s">
        <v>393</v>
      </c>
      <c r="J376" t="str">
        <f t="shared" si="44"/>
        <v>World Radio Network</v>
      </c>
      <c r="K376">
        <f t="shared" si="45"/>
        <v>920</v>
      </c>
      <c r="L376" t="str">
        <f t="shared" si="41"/>
        <v/>
      </c>
      <c r="M376" t="str">
        <f t="shared" si="42"/>
        <v/>
      </c>
      <c r="O376" t="str">
        <f t="shared" si="43"/>
        <v xml:space="preserve">      920:
        name: World Radio Network</v>
      </c>
    </row>
    <row r="377" spans="1:15" x14ac:dyDescent="0.3">
      <c r="A377">
        <v>921</v>
      </c>
      <c r="B377" t="s">
        <v>372</v>
      </c>
      <c r="D377" t="s">
        <v>393</v>
      </c>
      <c r="E377" t="s">
        <v>393</v>
      </c>
      <c r="J377" t="str">
        <f t="shared" si="44"/>
        <v>Heart 80s</v>
      </c>
      <c r="K377">
        <f t="shared" si="45"/>
        <v>921</v>
      </c>
      <c r="L377" t="str">
        <f t="shared" si="41"/>
        <v/>
      </c>
      <c r="M377" t="str">
        <f t="shared" si="42"/>
        <v/>
      </c>
      <c r="O377" t="str">
        <f t="shared" si="43"/>
        <v xml:space="preserve">      921:
        name: Heart 80s</v>
      </c>
    </row>
    <row r="378" spans="1:15" x14ac:dyDescent="0.3">
      <c r="A378">
        <v>922</v>
      </c>
      <c r="B378" t="s">
        <v>373</v>
      </c>
      <c r="D378" t="s">
        <v>393</v>
      </c>
      <c r="E378" t="s">
        <v>393</v>
      </c>
      <c r="J378" t="str">
        <f t="shared" si="44"/>
        <v>Classic FM</v>
      </c>
      <c r="K378">
        <f t="shared" si="45"/>
        <v>922</v>
      </c>
      <c r="L378" t="str">
        <f t="shared" si="41"/>
        <v/>
      </c>
      <c r="M378" t="str">
        <f t="shared" si="42"/>
        <v/>
      </c>
      <c r="O378" t="str">
        <f t="shared" si="43"/>
        <v xml:space="preserve">      922:
        name: Classic FM</v>
      </c>
    </row>
    <row r="379" spans="1:15" x14ac:dyDescent="0.3">
      <c r="A379">
        <v>923</v>
      </c>
      <c r="B379" t="s">
        <v>47</v>
      </c>
      <c r="D379" t="s">
        <v>393</v>
      </c>
      <c r="J379" t="str">
        <f t="shared" si="44"/>
        <v>Gold</v>
      </c>
      <c r="K379">
        <f t="shared" si="45"/>
        <v>923</v>
      </c>
      <c r="L379" t="str">
        <f t="shared" si="41"/>
        <v/>
      </c>
      <c r="O379" t="str">
        <f t="shared" si="43"/>
        <v xml:space="preserve">      923:
        name: Gold</v>
      </c>
    </row>
    <row r="380" spans="1:15" x14ac:dyDescent="0.3">
      <c r="A380">
        <v>924</v>
      </c>
      <c r="B380" t="s">
        <v>374</v>
      </c>
      <c r="D380" t="s">
        <v>393</v>
      </c>
      <c r="E380" t="s">
        <v>393</v>
      </c>
      <c r="J380" t="str">
        <f t="shared" si="44"/>
        <v>Planet Rock</v>
      </c>
      <c r="K380">
        <f t="shared" si="45"/>
        <v>924</v>
      </c>
      <c r="L380" t="str">
        <f t="shared" si="41"/>
        <v/>
      </c>
      <c r="M380" t="str">
        <f t="shared" ref="M380:M417" si="47">IF(NOT(ISERROR(VLOOKUP(B380&amp;" +1",B:B,1,FALSE))),VLOOKUP(B380&amp;" +1",J:K,2,FALSE),"")</f>
        <v/>
      </c>
      <c r="O380" t="str">
        <f t="shared" si="43"/>
        <v xml:space="preserve">      924:
        name: Planet Rock</v>
      </c>
    </row>
    <row r="381" spans="1:15" x14ac:dyDescent="0.3">
      <c r="A381">
        <v>927</v>
      </c>
      <c r="B381" t="s">
        <v>375</v>
      </c>
      <c r="D381" t="s">
        <v>393</v>
      </c>
      <c r="E381" t="s">
        <v>393</v>
      </c>
      <c r="J381" t="str">
        <f t="shared" si="44"/>
        <v>Talksport</v>
      </c>
      <c r="K381">
        <f t="shared" si="45"/>
        <v>927</v>
      </c>
      <c r="L381" t="str">
        <f t="shared" si="41"/>
        <v/>
      </c>
      <c r="M381" t="str">
        <f t="shared" si="47"/>
        <v/>
      </c>
      <c r="O381" t="str">
        <f t="shared" si="43"/>
        <v xml:space="preserve">      927:
        name: Talksport</v>
      </c>
    </row>
    <row r="382" spans="1:15" x14ac:dyDescent="0.3">
      <c r="A382">
        <v>928</v>
      </c>
      <c r="B382" t="s">
        <v>376</v>
      </c>
      <c r="D382" t="s">
        <v>393</v>
      </c>
      <c r="E382" t="s">
        <v>393</v>
      </c>
      <c r="J382" t="str">
        <f t="shared" si="44"/>
        <v>Magic Radio</v>
      </c>
      <c r="K382">
        <f t="shared" si="45"/>
        <v>928</v>
      </c>
      <c r="L382" t="str">
        <f t="shared" si="41"/>
        <v/>
      </c>
      <c r="M382" t="str">
        <f t="shared" si="47"/>
        <v/>
      </c>
      <c r="O382" t="str">
        <f t="shared" si="43"/>
        <v xml:space="preserve">      928:
        name: Magic Radio</v>
      </c>
    </row>
    <row r="383" spans="1:15" x14ac:dyDescent="0.3">
      <c r="A383">
        <v>930</v>
      </c>
      <c r="B383" t="s">
        <v>377</v>
      </c>
      <c r="D383" t="s">
        <v>393</v>
      </c>
      <c r="E383" t="s">
        <v>393</v>
      </c>
      <c r="J383" t="str">
        <f t="shared" si="44"/>
        <v>BBC Radio Scotland</v>
      </c>
      <c r="K383">
        <f t="shared" si="45"/>
        <v>930</v>
      </c>
      <c r="L383" t="str">
        <f t="shared" si="41"/>
        <v/>
      </c>
      <c r="M383" t="str">
        <f t="shared" si="47"/>
        <v/>
      </c>
      <c r="O383" t="str">
        <f t="shared" si="43"/>
        <v xml:space="preserve">      930:
        name: BBC Radio Scotland</v>
      </c>
    </row>
    <row r="384" spans="1:15" x14ac:dyDescent="0.3">
      <c r="A384">
        <v>931</v>
      </c>
      <c r="B384" t="s">
        <v>378</v>
      </c>
      <c r="D384" t="s">
        <v>393</v>
      </c>
      <c r="E384" t="s">
        <v>393</v>
      </c>
      <c r="J384" t="str">
        <f t="shared" si="44"/>
        <v>BBC Radio Wales</v>
      </c>
      <c r="K384">
        <f t="shared" si="45"/>
        <v>931</v>
      </c>
      <c r="L384" t="str">
        <f t="shared" si="41"/>
        <v/>
      </c>
      <c r="M384" t="str">
        <f t="shared" si="47"/>
        <v/>
      </c>
      <c r="O384" t="str">
        <f t="shared" si="43"/>
        <v xml:space="preserve">      931:
        name: BBC Radio Wales</v>
      </c>
    </row>
    <row r="385" spans="1:15" x14ac:dyDescent="0.3">
      <c r="A385">
        <v>932</v>
      </c>
      <c r="B385" t="s">
        <v>379</v>
      </c>
      <c r="D385" t="s">
        <v>393</v>
      </c>
      <c r="E385" t="s">
        <v>393</v>
      </c>
      <c r="J385" t="str">
        <f t="shared" si="44"/>
        <v>BBC Radio Ulster</v>
      </c>
      <c r="K385">
        <f t="shared" si="45"/>
        <v>932</v>
      </c>
      <c r="L385" t="str">
        <f t="shared" si="41"/>
        <v/>
      </c>
      <c r="M385" t="str">
        <f t="shared" si="47"/>
        <v/>
      </c>
      <c r="O385" t="str">
        <f t="shared" si="43"/>
        <v xml:space="preserve">      932:
        name: BBC Radio Ulster</v>
      </c>
    </row>
    <row r="386" spans="1:15" x14ac:dyDescent="0.3">
      <c r="A386">
        <v>934</v>
      </c>
      <c r="B386" t="s">
        <v>380</v>
      </c>
      <c r="D386" t="s">
        <v>393</v>
      </c>
      <c r="E386" t="s">
        <v>393</v>
      </c>
      <c r="J386" t="str">
        <f t="shared" si="44"/>
        <v>BBC Radio nan Gàidheal</v>
      </c>
      <c r="K386">
        <f t="shared" si="45"/>
        <v>934</v>
      </c>
      <c r="L386" t="str">
        <f t="shared" ref="L386:L449" si="48">IF(NOT(ISERROR(VLOOKUP(B386&amp;" HD",B:B,1,FALSE))),VLOOKUP(B386&amp;" HD",J:K,2,FALSE),"")</f>
        <v/>
      </c>
      <c r="M386" t="str">
        <f t="shared" si="47"/>
        <v/>
      </c>
      <c r="O386" t="str">
        <f t="shared" si="43"/>
        <v xml:space="preserve">      934:
        name: BBC Radio nan Gàidheal</v>
      </c>
    </row>
    <row r="387" spans="1:15" x14ac:dyDescent="0.3">
      <c r="A387">
        <v>936</v>
      </c>
      <c r="B387" t="s">
        <v>381</v>
      </c>
      <c r="D387" t="s">
        <v>393</v>
      </c>
      <c r="E387" t="s">
        <v>393</v>
      </c>
      <c r="J387" t="str">
        <f t="shared" si="44"/>
        <v>BBC Radio Cymru</v>
      </c>
      <c r="K387">
        <f t="shared" si="45"/>
        <v>936</v>
      </c>
      <c r="L387" t="str">
        <f t="shared" si="48"/>
        <v/>
      </c>
      <c r="M387" t="str">
        <f t="shared" si="47"/>
        <v/>
      </c>
      <c r="O387" t="str">
        <f t="shared" ref="O387:O417" si="49">SUBSTITUTE(CONCATENATE("      ",A387,":","\nname: ",IF(ISERROR(FIND("&amp;",B387)),"","'"),B387,IF(ISERROR(FIND("&amp;",B387)),"","'"),IF(C387&lt;&gt;"","\nshow: "&amp;C387,""),IF(D387&lt;&gt;"","\nhd_channel: "&amp;D387,""),IF(E387&lt;&gt;"","\nplus_one: "&amp;E387,""),IF(F387&lt;&gt;"","\nlogo: "&amp;F387,""),IF(G387&lt;&gt;"","\ntarget: "&amp;G387,""),IF(H387&lt;&gt;"","\nsource: "&amp;H387,"")),"\n",CHAR(10)&amp;"        ")</f>
        <v xml:space="preserve">      936:
        name: BBC Radio Cymru</v>
      </c>
    </row>
    <row r="388" spans="1:15" x14ac:dyDescent="0.3">
      <c r="A388">
        <v>937</v>
      </c>
      <c r="B388" t="s">
        <v>365</v>
      </c>
      <c r="D388" t="s">
        <v>393</v>
      </c>
      <c r="E388" t="s">
        <v>393</v>
      </c>
      <c r="J388" t="str">
        <f t="shared" si="44"/>
        <v>BBC Local Radio</v>
      </c>
      <c r="K388">
        <f t="shared" si="45"/>
        <v>937</v>
      </c>
      <c r="L388" t="str">
        <f t="shared" si="48"/>
        <v/>
      </c>
      <c r="M388" t="str">
        <f t="shared" si="47"/>
        <v/>
      </c>
      <c r="O388" t="str">
        <f t="shared" si="49"/>
        <v xml:space="preserve">      937:
        name: BBC Local Radio</v>
      </c>
    </row>
    <row r="389" spans="1:15" x14ac:dyDescent="0.3">
      <c r="A389">
        <v>951</v>
      </c>
      <c r="B389" t="s">
        <v>382</v>
      </c>
      <c r="D389" t="s">
        <v>393</v>
      </c>
      <c r="E389" t="s">
        <v>393</v>
      </c>
      <c r="J389" t="str">
        <f t="shared" si="44"/>
        <v>Absolute Radio 80s</v>
      </c>
      <c r="K389">
        <f t="shared" si="45"/>
        <v>951</v>
      </c>
      <c r="L389" t="str">
        <f t="shared" si="48"/>
        <v/>
      </c>
      <c r="M389" t="str">
        <f t="shared" si="47"/>
        <v/>
      </c>
      <c r="O389" t="str">
        <f t="shared" si="49"/>
        <v xml:space="preserve">      951:
        name: Absolute Radio 80s</v>
      </c>
    </row>
    <row r="390" spans="1:15" x14ac:dyDescent="0.3">
      <c r="A390">
        <v>952</v>
      </c>
      <c r="B390" t="s">
        <v>383</v>
      </c>
      <c r="D390" t="s">
        <v>393</v>
      </c>
      <c r="E390" t="s">
        <v>393</v>
      </c>
      <c r="J390" t="str">
        <f t="shared" si="44"/>
        <v>Absolute Classic Rock</v>
      </c>
      <c r="K390">
        <f t="shared" si="45"/>
        <v>952</v>
      </c>
      <c r="L390" t="str">
        <f t="shared" si="48"/>
        <v/>
      </c>
      <c r="M390" t="str">
        <f t="shared" si="47"/>
        <v/>
      </c>
      <c r="O390" t="str">
        <f t="shared" si="49"/>
        <v xml:space="preserve">      952:
        name: Absolute Classic Rock</v>
      </c>
    </row>
    <row r="391" spans="1:15" x14ac:dyDescent="0.3">
      <c r="A391">
        <v>958</v>
      </c>
      <c r="B391" t="s">
        <v>384</v>
      </c>
      <c r="D391" t="s">
        <v>393</v>
      </c>
      <c r="E391" t="s">
        <v>393</v>
      </c>
      <c r="J391" t="str">
        <f t="shared" si="44"/>
        <v>Capital FM</v>
      </c>
      <c r="K391">
        <f t="shared" si="45"/>
        <v>958</v>
      </c>
      <c r="L391" t="str">
        <f t="shared" si="48"/>
        <v/>
      </c>
      <c r="M391" t="str">
        <f t="shared" si="47"/>
        <v/>
      </c>
      <c r="O391" t="str">
        <f t="shared" si="49"/>
        <v xml:space="preserve">      958:
        name: Capital FM</v>
      </c>
    </row>
    <row r="392" spans="1:15" x14ac:dyDescent="0.3">
      <c r="A392">
        <v>959</v>
      </c>
      <c r="B392" t="s">
        <v>385</v>
      </c>
      <c r="D392" t="s">
        <v>393</v>
      </c>
      <c r="E392" t="s">
        <v>393</v>
      </c>
      <c r="J392" t="str">
        <f t="shared" si="44"/>
        <v>Capital XTRA</v>
      </c>
      <c r="K392">
        <f t="shared" si="45"/>
        <v>959</v>
      </c>
      <c r="L392" t="str">
        <f t="shared" si="48"/>
        <v/>
      </c>
      <c r="M392" t="str">
        <f t="shared" si="47"/>
        <v/>
      </c>
      <c r="O392" t="str">
        <f t="shared" si="49"/>
        <v xml:space="preserve">      959:
        name: Capital XTRA</v>
      </c>
    </row>
    <row r="393" spans="1:15" x14ac:dyDescent="0.3">
      <c r="A393">
        <v>960</v>
      </c>
      <c r="B393" t="s">
        <v>386</v>
      </c>
      <c r="D393" t="s">
        <v>393</v>
      </c>
      <c r="E393" t="s">
        <v>393</v>
      </c>
      <c r="J393" t="str">
        <f t="shared" si="44"/>
        <v>Radio X</v>
      </c>
      <c r="K393">
        <f t="shared" si="45"/>
        <v>960</v>
      </c>
      <c r="L393" t="str">
        <f t="shared" si="48"/>
        <v/>
      </c>
      <c r="M393" t="str">
        <f t="shared" si="47"/>
        <v/>
      </c>
      <c r="O393" t="str">
        <f t="shared" si="49"/>
        <v xml:space="preserve">      960:
        name: Radio X</v>
      </c>
    </row>
    <row r="394" spans="1:15" x14ac:dyDescent="0.3">
      <c r="A394">
        <v>963</v>
      </c>
      <c r="B394" t="s">
        <v>387</v>
      </c>
      <c r="D394" t="s">
        <v>393</v>
      </c>
      <c r="E394" t="s">
        <v>393</v>
      </c>
      <c r="J394" t="str">
        <f t="shared" si="44"/>
        <v>Kiss FM</v>
      </c>
      <c r="K394">
        <f t="shared" si="45"/>
        <v>963</v>
      </c>
      <c r="L394" t="str">
        <f t="shared" si="48"/>
        <v/>
      </c>
      <c r="M394" t="str">
        <f t="shared" si="47"/>
        <v/>
      </c>
      <c r="O394" t="str">
        <f t="shared" si="49"/>
        <v xml:space="preserve">      963:
        name: Kiss FM</v>
      </c>
    </row>
    <row r="395" spans="1:15" x14ac:dyDescent="0.3">
      <c r="A395">
        <v>969</v>
      </c>
      <c r="B395" t="s">
        <v>16</v>
      </c>
      <c r="D395" t="s">
        <v>393</v>
      </c>
      <c r="E395" t="s">
        <v>393</v>
      </c>
      <c r="J395" t="str">
        <f t="shared" si="44"/>
        <v>Adult Previews</v>
      </c>
      <c r="K395">
        <f t="shared" si="45"/>
        <v>969</v>
      </c>
      <c r="L395" t="str">
        <f t="shared" si="48"/>
        <v/>
      </c>
      <c r="M395" t="str">
        <f t="shared" si="47"/>
        <v/>
      </c>
      <c r="O395" t="str">
        <f t="shared" si="49"/>
        <v xml:space="preserve">      969:
        name: Adult Previews</v>
      </c>
    </row>
    <row r="396" spans="1:15" x14ac:dyDescent="0.3">
      <c r="A396">
        <v>970</v>
      </c>
      <c r="B396" t="s">
        <v>388</v>
      </c>
      <c r="D396" t="s">
        <v>393</v>
      </c>
      <c r="E396" t="s">
        <v>393</v>
      </c>
      <c r="J396" t="str">
        <f t="shared" si="44"/>
        <v>Television XNightly</v>
      </c>
      <c r="K396">
        <f t="shared" si="45"/>
        <v>970</v>
      </c>
      <c r="L396" t="str">
        <f t="shared" si="48"/>
        <v/>
      </c>
      <c r="M396" t="str">
        <f t="shared" si="47"/>
        <v/>
      </c>
      <c r="O396" t="str">
        <f t="shared" si="49"/>
        <v xml:space="preserve">      970:
        name: Television XNightly</v>
      </c>
    </row>
    <row r="397" spans="1:15" x14ac:dyDescent="0.3">
      <c r="A397">
        <v>971</v>
      </c>
      <c r="B397" t="s">
        <v>17</v>
      </c>
      <c r="D397" t="s">
        <v>393</v>
      </c>
      <c r="E397" t="s">
        <v>393</v>
      </c>
      <c r="J397" t="str">
        <f t="shared" si="44"/>
        <v>Playboy TV Nightly</v>
      </c>
      <c r="K397">
        <f t="shared" si="45"/>
        <v>971</v>
      </c>
      <c r="L397" t="str">
        <f t="shared" si="48"/>
        <v/>
      </c>
      <c r="M397" t="str">
        <f t="shared" si="47"/>
        <v/>
      </c>
      <c r="O397" t="str">
        <f t="shared" si="49"/>
        <v xml:space="preserve">      971:
        name: Playboy TV Nightly</v>
      </c>
    </row>
    <row r="398" spans="1:15" x14ac:dyDescent="0.3">
      <c r="A398">
        <v>972</v>
      </c>
      <c r="B398" t="s">
        <v>389</v>
      </c>
      <c r="D398" t="s">
        <v>393</v>
      </c>
      <c r="E398" t="s">
        <v>393</v>
      </c>
      <c r="J398" t="str">
        <f t="shared" si="44"/>
        <v>Adult Channel</v>
      </c>
      <c r="K398">
        <f t="shared" si="45"/>
        <v>972</v>
      </c>
      <c r="L398" t="str">
        <f t="shared" si="48"/>
        <v/>
      </c>
      <c r="M398" t="str">
        <f t="shared" si="47"/>
        <v/>
      </c>
      <c r="O398" t="str">
        <f t="shared" si="49"/>
        <v xml:space="preserve">      972:
        name: Adult Channel</v>
      </c>
    </row>
    <row r="399" spans="1:15" x14ac:dyDescent="0.3">
      <c r="A399">
        <v>973</v>
      </c>
      <c r="B399" t="s">
        <v>18</v>
      </c>
      <c r="D399" t="s">
        <v>393</v>
      </c>
      <c r="E399" t="s">
        <v>393</v>
      </c>
      <c r="J399" t="str">
        <f t="shared" si="44"/>
        <v>XXX Brits</v>
      </c>
      <c r="K399">
        <f t="shared" si="45"/>
        <v>973</v>
      </c>
      <c r="L399" t="str">
        <f t="shared" si="48"/>
        <v/>
      </c>
      <c r="M399" t="str">
        <f t="shared" si="47"/>
        <v/>
      </c>
      <c r="O399" t="str">
        <f t="shared" si="49"/>
        <v xml:space="preserve">      973:
        name: XXX Brits</v>
      </c>
    </row>
    <row r="400" spans="1:15" x14ac:dyDescent="0.3">
      <c r="A400">
        <v>974</v>
      </c>
      <c r="B400" t="s">
        <v>390</v>
      </c>
      <c r="D400" t="s">
        <v>393</v>
      </c>
      <c r="E400" t="s">
        <v>393</v>
      </c>
      <c r="J400" t="str">
        <f t="shared" si="44"/>
        <v>Xrated 40+</v>
      </c>
      <c r="K400">
        <f t="shared" si="45"/>
        <v>974</v>
      </c>
      <c r="L400" t="str">
        <f t="shared" si="48"/>
        <v/>
      </c>
      <c r="M400" t="str">
        <f t="shared" si="47"/>
        <v/>
      </c>
      <c r="O400" t="str">
        <f t="shared" si="49"/>
        <v xml:space="preserve">      974:
        name: Xrated 40+</v>
      </c>
    </row>
    <row r="401" spans="1:15" x14ac:dyDescent="0.3">
      <c r="A401">
        <v>975</v>
      </c>
      <c r="B401" t="s">
        <v>19</v>
      </c>
      <c r="D401" t="s">
        <v>393</v>
      </c>
      <c r="E401" t="s">
        <v>393</v>
      </c>
      <c r="J401" t="str">
        <f t="shared" ref="J401:J417" si="50">B401</f>
        <v>Xrated Couples</v>
      </c>
      <c r="K401">
        <f t="shared" ref="K401:K417" si="51">A401</f>
        <v>975</v>
      </c>
      <c r="L401" t="str">
        <f t="shared" si="48"/>
        <v/>
      </c>
      <c r="M401" t="str">
        <f t="shared" si="47"/>
        <v/>
      </c>
      <c r="O401" t="str">
        <f t="shared" si="49"/>
        <v xml:space="preserve">      975:
        name: Xrated Couples</v>
      </c>
    </row>
    <row r="402" spans="1:15" x14ac:dyDescent="0.3">
      <c r="A402">
        <v>976</v>
      </c>
      <c r="B402" t="s">
        <v>20</v>
      </c>
      <c r="D402" t="s">
        <v>393</v>
      </c>
      <c r="E402" t="s">
        <v>393</v>
      </c>
      <c r="J402" t="str">
        <f t="shared" si="50"/>
        <v>Xrated Hook-Ups</v>
      </c>
      <c r="K402">
        <f t="shared" si="51"/>
        <v>976</v>
      </c>
      <c r="L402" t="str">
        <f t="shared" si="48"/>
        <v/>
      </c>
      <c r="M402" t="str">
        <f t="shared" si="47"/>
        <v/>
      </c>
      <c r="O402" t="str">
        <f t="shared" si="49"/>
        <v xml:space="preserve">      976:
        name: Xrated Hook-Ups</v>
      </c>
    </row>
    <row r="403" spans="1:15" x14ac:dyDescent="0.3">
      <c r="A403">
        <v>978</v>
      </c>
      <c r="B403" t="s">
        <v>391</v>
      </c>
      <c r="D403" t="s">
        <v>393</v>
      </c>
      <c r="E403" t="s">
        <v>393</v>
      </c>
      <c r="J403" t="str">
        <f t="shared" si="50"/>
        <v>Television X</v>
      </c>
      <c r="K403">
        <f t="shared" si="51"/>
        <v>978</v>
      </c>
      <c r="L403" t="str">
        <f t="shared" si="48"/>
        <v/>
      </c>
      <c r="M403" t="str">
        <f t="shared" si="47"/>
        <v/>
      </c>
      <c r="O403" t="str">
        <f t="shared" si="49"/>
        <v xml:space="preserve">      978:
        name: Television X</v>
      </c>
    </row>
    <row r="404" spans="1:15" x14ac:dyDescent="0.3">
      <c r="A404">
        <v>979</v>
      </c>
      <c r="B404" t="s">
        <v>392</v>
      </c>
      <c r="D404" t="s">
        <v>393</v>
      </c>
      <c r="E404" t="s">
        <v>393</v>
      </c>
      <c r="J404" t="str">
        <f t="shared" si="50"/>
        <v>Playboy TV</v>
      </c>
      <c r="K404">
        <f t="shared" si="51"/>
        <v>979</v>
      </c>
      <c r="L404" t="str">
        <f t="shared" si="48"/>
        <v/>
      </c>
      <c r="M404" t="str">
        <f t="shared" si="47"/>
        <v/>
      </c>
      <c r="O404" t="str">
        <f t="shared" si="49"/>
        <v xml:space="preserve">      979:
        name: Playboy TV</v>
      </c>
    </row>
    <row r="405" spans="1:15" x14ac:dyDescent="0.3">
      <c r="A405">
        <v>980</v>
      </c>
      <c r="B405" t="s">
        <v>389</v>
      </c>
      <c r="D405" t="s">
        <v>393</v>
      </c>
      <c r="E405" t="s">
        <v>393</v>
      </c>
      <c r="J405" t="str">
        <f t="shared" si="50"/>
        <v>Adult Channel</v>
      </c>
      <c r="K405">
        <f t="shared" si="51"/>
        <v>980</v>
      </c>
      <c r="L405" t="str">
        <f t="shared" si="48"/>
        <v/>
      </c>
      <c r="M405" t="str">
        <f t="shared" si="47"/>
        <v/>
      </c>
      <c r="O405" t="str">
        <f t="shared" si="49"/>
        <v xml:space="preserve">      980:
        name: Adult Channel</v>
      </c>
    </row>
    <row r="406" spans="1:15" x14ac:dyDescent="0.3">
      <c r="A406">
        <v>981</v>
      </c>
      <c r="B406" t="s">
        <v>21</v>
      </c>
      <c r="D406" t="s">
        <v>393</v>
      </c>
      <c r="E406" t="s">
        <v>393</v>
      </c>
      <c r="J406" t="str">
        <f t="shared" si="50"/>
        <v>Babenation</v>
      </c>
      <c r="K406">
        <f t="shared" si="51"/>
        <v>981</v>
      </c>
      <c r="L406" t="str">
        <f t="shared" si="48"/>
        <v/>
      </c>
      <c r="M406" t="str">
        <f t="shared" si="47"/>
        <v/>
      </c>
      <c r="O406" t="str">
        <f t="shared" si="49"/>
        <v xml:space="preserve">      981:
        name: Babenation</v>
      </c>
    </row>
    <row r="407" spans="1:15" x14ac:dyDescent="0.3">
      <c r="A407">
        <v>985</v>
      </c>
      <c r="B407" t="s">
        <v>22</v>
      </c>
      <c r="D407" t="s">
        <v>393</v>
      </c>
      <c r="E407" t="s">
        <v>393</v>
      </c>
      <c r="J407" t="str">
        <f t="shared" si="50"/>
        <v>PIN Protection Help</v>
      </c>
      <c r="K407">
        <f t="shared" si="51"/>
        <v>985</v>
      </c>
      <c r="L407" t="str">
        <f t="shared" si="48"/>
        <v/>
      </c>
      <c r="M407" t="str">
        <f t="shared" si="47"/>
        <v/>
      </c>
      <c r="O407" t="str">
        <f t="shared" si="49"/>
        <v xml:space="preserve">      985:
        name: PIN Protection Help</v>
      </c>
    </row>
    <row r="408" spans="1:15" x14ac:dyDescent="0.3">
      <c r="A408">
        <v>997</v>
      </c>
      <c r="B408" t="s">
        <v>22</v>
      </c>
      <c r="D408" t="s">
        <v>393</v>
      </c>
      <c r="E408" t="s">
        <v>393</v>
      </c>
      <c r="J408" t="str">
        <f t="shared" si="50"/>
        <v>PIN Protection Help</v>
      </c>
      <c r="K408">
        <f t="shared" si="51"/>
        <v>997</v>
      </c>
      <c r="L408" t="str">
        <f t="shared" si="48"/>
        <v/>
      </c>
      <c r="M408" t="str">
        <f t="shared" si="47"/>
        <v/>
      </c>
      <c r="O408" t="str">
        <f t="shared" si="49"/>
        <v xml:space="preserve">      997:
        name: PIN Protection Help</v>
      </c>
    </row>
    <row r="409" spans="1:15" x14ac:dyDescent="0.3">
      <c r="A409">
        <v>998</v>
      </c>
      <c r="B409" t="s">
        <v>9</v>
      </c>
      <c r="D409" t="s">
        <v>393</v>
      </c>
      <c r="E409" t="s">
        <v>393</v>
      </c>
      <c r="J409" t="str">
        <f t="shared" si="50"/>
        <v>Virgin Media Previews</v>
      </c>
      <c r="K409">
        <f t="shared" si="51"/>
        <v>998</v>
      </c>
      <c r="L409" t="str">
        <f t="shared" si="48"/>
        <v/>
      </c>
      <c r="M409" t="str">
        <f t="shared" si="47"/>
        <v/>
      </c>
      <c r="O409" t="str">
        <f t="shared" si="49"/>
        <v xml:space="preserve">      998:
        name: Virgin Media Previews</v>
      </c>
    </row>
    <row r="410" spans="1:15" x14ac:dyDescent="0.3">
      <c r="A410">
        <v>999</v>
      </c>
      <c r="B410" t="s">
        <v>23</v>
      </c>
      <c r="D410" t="s">
        <v>393</v>
      </c>
      <c r="E410" t="s">
        <v>393</v>
      </c>
      <c r="J410" t="str">
        <f t="shared" si="50"/>
        <v>Virgin ID</v>
      </c>
      <c r="K410">
        <f t="shared" si="51"/>
        <v>999</v>
      </c>
      <c r="L410" t="str">
        <f t="shared" si="48"/>
        <v/>
      </c>
      <c r="M410" t="str">
        <f t="shared" si="47"/>
        <v/>
      </c>
      <c r="O410" t="str">
        <f t="shared" si="49"/>
        <v xml:space="preserve">      999:
        name: Virgin ID</v>
      </c>
    </row>
    <row r="411" spans="1:15" x14ac:dyDescent="0.3">
      <c r="A411">
        <v>990</v>
      </c>
      <c r="B411" t="s">
        <v>0</v>
      </c>
      <c r="C411" t="str">
        <f>"false"</f>
        <v>false</v>
      </c>
      <c r="E411" t="s">
        <v>393</v>
      </c>
      <c r="J411" t="str">
        <f t="shared" si="50"/>
        <v>BBC Red Button</v>
      </c>
      <c r="K411">
        <f t="shared" si="51"/>
        <v>990</v>
      </c>
      <c r="L411" t="str">
        <f t="shared" si="48"/>
        <v/>
      </c>
      <c r="M411" t="str">
        <f t="shared" si="47"/>
        <v/>
      </c>
      <c r="O411" t="str">
        <f t="shared" si="49"/>
        <v xml:space="preserve">      990:
        name: BBC Red Button
        show: false</v>
      </c>
    </row>
    <row r="412" spans="1:15" x14ac:dyDescent="0.3">
      <c r="A412">
        <v>991</v>
      </c>
      <c r="B412" t="s">
        <v>0</v>
      </c>
      <c r="C412" t="s">
        <v>393</v>
      </c>
      <c r="E412" t="s">
        <v>393</v>
      </c>
      <c r="J412" t="str">
        <f t="shared" si="50"/>
        <v>BBC Red Button</v>
      </c>
      <c r="K412">
        <f t="shared" si="51"/>
        <v>991</v>
      </c>
      <c r="L412" t="str">
        <f t="shared" si="48"/>
        <v/>
      </c>
      <c r="M412" t="str">
        <f t="shared" si="47"/>
        <v/>
      </c>
      <c r="O412" t="str">
        <f t="shared" si="49"/>
        <v xml:space="preserve">      991:
        name: BBC Red Button</v>
      </c>
    </row>
    <row r="413" spans="1:15" x14ac:dyDescent="0.3">
      <c r="A413">
        <v>992</v>
      </c>
      <c r="B413" t="s">
        <v>0</v>
      </c>
      <c r="C413" t="str">
        <f>"false"</f>
        <v>false</v>
      </c>
      <c r="E413" t="s">
        <v>393</v>
      </c>
      <c r="J413" t="str">
        <f t="shared" si="50"/>
        <v>BBC Red Button</v>
      </c>
      <c r="K413">
        <f t="shared" si="51"/>
        <v>992</v>
      </c>
      <c r="L413" t="str">
        <f t="shared" si="48"/>
        <v/>
      </c>
      <c r="M413" t="str">
        <f t="shared" si="47"/>
        <v/>
      </c>
      <c r="O413" t="str">
        <f t="shared" si="49"/>
        <v xml:space="preserve">      992:
        name: BBC Red Button
        show: false</v>
      </c>
    </row>
    <row r="414" spans="1:15" x14ac:dyDescent="0.3">
      <c r="A414">
        <v>993</v>
      </c>
      <c r="B414" t="s">
        <v>0</v>
      </c>
      <c r="C414" t="str">
        <f>"false"</f>
        <v>false</v>
      </c>
      <c r="E414" t="s">
        <v>393</v>
      </c>
      <c r="J414" t="str">
        <f t="shared" si="50"/>
        <v>BBC Red Button</v>
      </c>
      <c r="K414">
        <f t="shared" si="51"/>
        <v>993</v>
      </c>
      <c r="L414" t="str">
        <f t="shared" si="48"/>
        <v/>
      </c>
      <c r="M414" t="str">
        <f t="shared" si="47"/>
        <v/>
      </c>
      <c r="O414" t="str">
        <f t="shared" si="49"/>
        <v xml:space="preserve">      993:
        name: BBC Red Button
        show: false</v>
      </c>
    </row>
    <row r="415" spans="1:15" x14ac:dyDescent="0.3">
      <c r="A415">
        <v>994</v>
      </c>
      <c r="B415" t="s">
        <v>0</v>
      </c>
      <c r="C415" t="str">
        <f>"false"</f>
        <v>false</v>
      </c>
      <c r="E415" t="s">
        <v>393</v>
      </c>
      <c r="J415" t="str">
        <f t="shared" si="50"/>
        <v>BBC Red Button</v>
      </c>
      <c r="K415">
        <f t="shared" si="51"/>
        <v>994</v>
      </c>
      <c r="L415" t="str">
        <f t="shared" si="48"/>
        <v/>
      </c>
      <c r="M415" t="str">
        <f t="shared" si="47"/>
        <v/>
      </c>
      <c r="O415" t="str">
        <f t="shared" si="49"/>
        <v xml:space="preserve">      994:
        name: BBC Red Button
        show: false</v>
      </c>
    </row>
    <row r="416" spans="1:15" x14ac:dyDescent="0.3">
      <c r="A416">
        <v>995</v>
      </c>
      <c r="B416" t="s">
        <v>0</v>
      </c>
      <c r="C416" t="str">
        <f>"false"</f>
        <v>false</v>
      </c>
      <c r="E416" t="s">
        <v>393</v>
      </c>
      <c r="J416" t="str">
        <f t="shared" si="50"/>
        <v>BBC Red Button</v>
      </c>
      <c r="K416">
        <f t="shared" si="51"/>
        <v>995</v>
      </c>
      <c r="L416" t="str">
        <f t="shared" si="48"/>
        <v/>
      </c>
      <c r="M416" t="str">
        <f t="shared" si="47"/>
        <v/>
      </c>
      <c r="O416" t="str">
        <f t="shared" si="49"/>
        <v xml:space="preserve">      995:
        name: BBC Red Button
        show: false</v>
      </c>
    </row>
    <row r="417" spans="1:15" x14ac:dyDescent="0.3">
      <c r="A417">
        <v>996</v>
      </c>
      <c r="B417" t="s">
        <v>0</v>
      </c>
      <c r="C417" t="str">
        <f>"false"</f>
        <v>false</v>
      </c>
      <c r="E417" t="s">
        <v>393</v>
      </c>
      <c r="J417" t="str">
        <f t="shared" si="50"/>
        <v>BBC Red Button</v>
      </c>
      <c r="K417">
        <f t="shared" si="51"/>
        <v>996</v>
      </c>
      <c r="L417" t="str">
        <f t="shared" si="48"/>
        <v/>
      </c>
      <c r="M417" t="str">
        <f t="shared" si="47"/>
        <v/>
      </c>
      <c r="O417" t="str">
        <f t="shared" si="49"/>
        <v xml:space="preserve">      996:
        name: BBC Red Button
        show: false</v>
      </c>
    </row>
  </sheetData>
  <hyperlinks>
    <hyperlink ref="F355" r:id="rId1"/>
    <hyperlink ref="F356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opyAll">
                <anchor moveWithCells="1" sizeWithCells="1">
                  <from>
                    <xdr:col>15</xdr:col>
                    <xdr:colOff>60960</xdr:colOff>
                    <xdr:row>0</xdr:row>
                    <xdr:rowOff>30480</xdr:rowOff>
                  </from>
                  <to>
                    <xdr:col>15</xdr:col>
                    <xdr:colOff>579120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Bertbert72</dc:creator>
  <cp:lastModifiedBy>Dessie Clarke</cp:lastModifiedBy>
  <dcterms:created xsi:type="dcterms:W3CDTF">2018-06-30T08:06:15Z</dcterms:created>
  <dcterms:modified xsi:type="dcterms:W3CDTF">2018-08-16T11:43:28Z</dcterms:modified>
</cp:coreProperties>
</file>