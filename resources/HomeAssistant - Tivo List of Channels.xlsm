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720" yWindow="630" windowWidth="19635" windowHeight="6930"/>
  </bookViews>
  <sheets>
    <sheet name="Sheet1" sheetId="1" r:id="rId1"/>
    <sheet name="Sheet3" sheetId="3" r:id="rId2"/>
    <sheet name="Sheet4" sheetId="4" r:id="rId3"/>
    <sheet name="Sheet5" sheetId="5" r:id="rId4"/>
    <sheet name="Sheet6" sheetId="6" r:id="rId5"/>
  </sheets>
  <definedNames>
    <definedName name="_xlnm._FilterDatabase" localSheetId="0" hidden="1">Sheet1!$A$1:$I$416</definedName>
    <definedName name="_xlnm._FilterDatabase" localSheetId="3" hidden="1">Sheet5!$A$1:$I$429</definedName>
    <definedName name="CURRENT">Sheet1!$A$2:$E$503</definedName>
    <definedName name="NOV">Sheet3!$A$2:$B$499</definedName>
    <definedName name="PACKAGES">Sheet5!$A$2:$F$499</definedName>
  </definedNames>
  <calcPr calcId="144525"/>
</workbook>
</file>

<file path=xl/calcChain.xml><?xml version="1.0" encoding="utf-8"?>
<calcChain xmlns="http://schemas.openxmlformats.org/spreadsheetml/2006/main">
  <c r="P3" i="1" l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2" i="1"/>
  <c r="N414" i="1"/>
  <c r="M414" i="1"/>
  <c r="L414" i="1"/>
  <c r="K414" i="1"/>
  <c r="I414" i="1"/>
  <c r="I406" i="1"/>
  <c r="K406" i="1"/>
  <c r="L406" i="1"/>
  <c r="M406" i="1"/>
  <c r="N406" i="1"/>
  <c r="I403" i="1"/>
  <c r="K403" i="1"/>
  <c r="L403" i="1"/>
  <c r="M403" i="1"/>
  <c r="N403" i="1"/>
  <c r="I396" i="1"/>
  <c r="K396" i="1"/>
  <c r="L396" i="1"/>
  <c r="M396" i="1"/>
  <c r="N396" i="1"/>
  <c r="I351" i="1"/>
  <c r="K351" i="1"/>
  <c r="L351" i="1"/>
  <c r="I352" i="1"/>
  <c r="K352" i="1"/>
  <c r="L352" i="1"/>
  <c r="N345" i="1"/>
  <c r="L345" i="1"/>
  <c r="K345" i="1"/>
  <c r="I345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6" i="1"/>
  <c r="K347" i="1"/>
  <c r="K348" i="1"/>
  <c r="K349" i="1"/>
  <c r="K350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7" i="1"/>
  <c r="K398" i="1"/>
  <c r="K399" i="1"/>
  <c r="K400" i="1"/>
  <c r="K401" i="1"/>
  <c r="K402" i="1"/>
  <c r="K404" i="1"/>
  <c r="K405" i="1"/>
  <c r="K407" i="1"/>
  <c r="K408" i="1"/>
  <c r="K409" i="1"/>
  <c r="K410" i="1"/>
  <c r="K411" i="1"/>
  <c r="K412" i="1"/>
  <c r="K413" i="1"/>
  <c r="K415" i="1"/>
  <c r="K416" i="1"/>
  <c r="K2" i="1"/>
  <c r="I60" i="1"/>
  <c r="L152" i="1"/>
  <c r="I152" i="1"/>
  <c r="L149" i="1"/>
  <c r="I149" i="1"/>
  <c r="I125" i="1"/>
  <c r="L125" i="1"/>
  <c r="I126" i="1"/>
  <c r="L126" i="1"/>
  <c r="L121" i="1"/>
  <c r="I121" i="1"/>
  <c r="F429" i="3"/>
  <c r="H429" i="3" s="1"/>
  <c r="E429" i="3"/>
  <c r="G429" i="3" s="1"/>
  <c r="F428" i="3"/>
  <c r="H428" i="3" s="1"/>
  <c r="E428" i="3"/>
  <c r="G428" i="3" s="1"/>
  <c r="F427" i="3"/>
  <c r="H427" i="3" s="1"/>
  <c r="E427" i="3"/>
  <c r="G427" i="3" s="1"/>
  <c r="F426" i="3"/>
  <c r="H426" i="3" s="1"/>
  <c r="E426" i="3"/>
  <c r="G426" i="3" s="1"/>
  <c r="F425" i="3"/>
  <c r="H425" i="3" s="1"/>
  <c r="E425" i="3"/>
  <c r="G425" i="3" s="1"/>
  <c r="F424" i="3"/>
  <c r="H424" i="3" s="1"/>
  <c r="E424" i="3"/>
  <c r="G424" i="3" s="1"/>
  <c r="F423" i="3"/>
  <c r="H423" i="3" s="1"/>
  <c r="E423" i="3"/>
  <c r="G423" i="3" s="1"/>
  <c r="F422" i="3"/>
  <c r="H422" i="3" s="1"/>
  <c r="E422" i="3"/>
  <c r="G422" i="3" s="1"/>
  <c r="F421" i="3"/>
  <c r="H421" i="3" s="1"/>
  <c r="E421" i="3"/>
  <c r="G421" i="3" s="1"/>
  <c r="F420" i="3"/>
  <c r="H420" i="3" s="1"/>
  <c r="E420" i="3"/>
  <c r="G420" i="3" s="1"/>
  <c r="F419" i="3"/>
  <c r="H419" i="3" s="1"/>
  <c r="E419" i="3"/>
  <c r="G419" i="3" s="1"/>
  <c r="F418" i="3"/>
  <c r="H418" i="3" s="1"/>
  <c r="E418" i="3"/>
  <c r="G418" i="3" s="1"/>
  <c r="F417" i="3"/>
  <c r="H417" i="3" s="1"/>
  <c r="E417" i="3"/>
  <c r="G417" i="3" s="1"/>
  <c r="F416" i="3"/>
  <c r="H416" i="3" s="1"/>
  <c r="E416" i="3"/>
  <c r="G416" i="3" s="1"/>
  <c r="F415" i="3"/>
  <c r="H415" i="3" s="1"/>
  <c r="E415" i="3"/>
  <c r="G415" i="3" s="1"/>
  <c r="F414" i="3"/>
  <c r="H414" i="3" s="1"/>
  <c r="E414" i="3"/>
  <c r="G414" i="3" s="1"/>
  <c r="F413" i="3"/>
  <c r="H413" i="3" s="1"/>
  <c r="E413" i="3"/>
  <c r="G413" i="3" s="1"/>
  <c r="F412" i="3"/>
  <c r="H412" i="3" s="1"/>
  <c r="E412" i="3"/>
  <c r="G412" i="3" s="1"/>
  <c r="F411" i="3"/>
  <c r="H411" i="3" s="1"/>
  <c r="E411" i="3"/>
  <c r="G411" i="3" s="1"/>
  <c r="F410" i="3"/>
  <c r="H410" i="3" s="1"/>
  <c r="E410" i="3"/>
  <c r="G410" i="3" s="1"/>
  <c r="F409" i="3"/>
  <c r="H409" i="3" s="1"/>
  <c r="E409" i="3"/>
  <c r="G409" i="3" s="1"/>
  <c r="F408" i="3"/>
  <c r="H408" i="3" s="1"/>
  <c r="E408" i="3"/>
  <c r="G408" i="3" s="1"/>
  <c r="F407" i="3"/>
  <c r="H407" i="3" s="1"/>
  <c r="E407" i="3"/>
  <c r="G407" i="3" s="1"/>
  <c r="F406" i="3"/>
  <c r="H406" i="3" s="1"/>
  <c r="E406" i="3"/>
  <c r="G406" i="3" s="1"/>
  <c r="F405" i="3"/>
  <c r="H405" i="3" s="1"/>
  <c r="E405" i="3"/>
  <c r="G405" i="3" s="1"/>
  <c r="F404" i="3"/>
  <c r="H404" i="3" s="1"/>
  <c r="E404" i="3"/>
  <c r="G404" i="3" s="1"/>
  <c r="F403" i="3"/>
  <c r="H403" i="3" s="1"/>
  <c r="E403" i="3"/>
  <c r="G403" i="3" s="1"/>
  <c r="F402" i="3"/>
  <c r="H402" i="3" s="1"/>
  <c r="E402" i="3"/>
  <c r="G402" i="3" s="1"/>
  <c r="F401" i="3"/>
  <c r="H401" i="3" s="1"/>
  <c r="E401" i="3"/>
  <c r="G401" i="3" s="1"/>
  <c r="F400" i="3"/>
  <c r="H400" i="3" s="1"/>
  <c r="E400" i="3"/>
  <c r="G400" i="3" s="1"/>
  <c r="F399" i="3"/>
  <c r="H399" i="3" s="1"/>
  <c r="E399" i="3"/>
  <c r="G399" i="3" s="1"/>
  <c r="F398" i="3"/>
  <c r="H398" i="3" s="1"/>
  <c r="E398" i="3"/>
  <c r="G398" i="3" s="1"/>
  <c r="F397" i="3"/>
  <c r="H397" i="3" s="1"/>
  <c r="E397" i="3"/>
  <c r="G397" i="3" s="1"/>
  <c r="F396" i="3"/>
  <c r="H396" i="3" s="1"/>
  <c r="E396" i="3"/>
  <c r="G396" i="3" s="1"/>
  <c r="F395" i="3"/>
  <c r="H395" i="3" s="1"/>
  <c r="E395" i="3"/>
  <c r="G395" i="3" s="1"/>
  <c r="F394" i="3"/>
  <c r="H394" i="3" s="1"/>
  <c r="E394" i="3"/>
  <c r="G394" i="3" s="1"/>
  <c r="F393" i="3"/>
  <c r="H393" i="3" s="1"/>
  <c r="E393" i="3"/>
  <c r="G393" i="3" s="1"/>
  <c r="F392" i="3"/>
  <c r="H392" i="3" s="1"/>
  <c r="E392" i="3"/>
  <c r="G392" i="3" s="1"/>
  <c r="F391" i="3"/>
  <c r="H391" i="3" s="1"/>
  <c r="E391" i="3"/>
  <c r="G391" i="3" s="1"/>
  <c r="F390" i="3"/>
  <c r="H390" i="3" s="1"/>
  <c r="E390" i="3"/>
  <c r="G390" i="3" s="1"/>
  <c r="F389" i="3"/>
  <c r="H389" i="3" s="1"/>
  <c r="E389" i="3"/>
  <c r="G389" i="3" s="1"/>
  <c r="F388" i="3"/>
  <c r="H388" i="3" s="1"/>
  <c r="E388" i="3"/>
  <c r="G388" i="3" s="1"/>
  <c r="F387" i="3"/>
  <c r="H387" i="3" s="1"/>
  <c r="E387" i="3"/>
  <c r="G387" i="3" s="1"/>
  <c r="F386" i="3"/>
  <c r="H386" i="3" s="1"/>
  <c r="E386" i="3"/>
  <c r="G386" i="3" s="1"/>
  <c r="F385" i="3"/>
  <c r="H385" i="3" s="1"/>
  <c r="E385" i="3"/>
  <c r="G385" i="3" s="1"/>
  <c r="F384" i="3"/>
  <c r="H384" i="3" s="1"/>
  <c r="E384" i="3"/>
  <c r="G384" i="3" s="1"/>
  <c r="F383" i="3"/>
  <c r="H383" i="3" s="1"/>
  <c r="E383" i="3"/>
  <c r="G383" i="3" s="1"/>
  <c r="F382" i="3"/>
  <c r="H382" i="3" s="1"/>
  <c r="E382" i="3"/>
  <c r="G382" i="3" s="1"/>
  <c r="F381" i="3"/>
  <c r="H381" i="3" s="1"/>
  <c r="E381" i="3"/>
  <c r="G381" i="3" s="1"/>
  <c r="F380" i="3"/>
  <c r="H380" i="3" s="1"/>
  <c r="E380" i="3"/>
  <c r="G380" i="3" s="1"/>
  <c r="F379" i="3"/>
  <c r="H379" i="3" s="1"/>
  <c r="E379" i="3"/>
  <c r="G379" i="3" s="1"/>
  <c r="F378" i="3"/>
  <c r="H378" i="3" s="1"/>
  <c r="E378" i="3"/>
  <c r="G378" i="3" s="1"/>
  <c r="F377" i="3"/>
  <c r="H377" i="3" s="1"/>
  <c r="E377" i="3"/>
  <c r="G377" i="3" s="1"/>
  <c r="F376" i="3"/>
  <c r="H376" i="3" s="1"/>
  <c r="E376" i="3"/>
  <c r="G376" i="3" s="1"/>
  <c r="F375" i="3"/>
  <c r="H375" i="3" s="1"/>
  <c r="E375" i="3"/>
  <c r="G375" i="3" s="1"/>
  <c r="F374" i="3"/>
  <c r="H374" i="3" s="1"/>
  <c r="E374" i="3"/>
  <c r="G374" i="3" s="1"/>
  <c r="F373" i="3"/>
  <c r="H373" i="3" s="1"/>
  <c r="E373" i="3"/>
  <c r="G373" i="3" s="1"/>
  <c r="F372" i="3"/>
  <c r="H372" i="3" s="1"/>
  <c r="E372" i="3"/>
  <c r="G372" i="3" s="1"/>
  <c r="F371" i="3"/>
  <c r="H371" i="3" s="1"/>
  <c r="E371" i="3"/>
  <c r="G371" i="3" s="1"/>
  <c r="F370" i="3"/>
  <c r="H370" i="3" s="1"/>
  <c r="E370" i="3"/>
  <c r="G370" i="3" s="1"/>
  <c r="F369" i="3"/>
  <c r="H369" i="3" s="1"/>
  <c r="E369" i="3"/>
  <c r="G369" i="3" s="1"/>
  <c r="F368" i="3"/>
  <c r="H368" i="3" s="1"/>
  <c r="E368" i="3"/>
  <c r="G368" i="3" s="1"/>
  <c r="F367" i="3"/>
  <c r="H367" i="3" s="1"/>
  <c r="E367" i="3"/>
  <c r="G367" i="3" s="1"/>
  <c r="F366" i="3"/>
  <c r="H366" i="3" s="1"/>
  <c r="E366" i="3"/>
  <c r="G366" i="3" s="1"/>
  <c r="F365" i="3"/>
  <c r="H365" i="3" s="1"/>
  <c r="E365" i="3"/>
  <c r="G365" i="3" s="1"/>
  <c r="F364" i="3"/>
  <c r="H364" i="3" s="1"/>
  <c r="E364" i="3"/>
  <c r="G364" i="3" s="1"/>
  <c r="F363" i="3"/>
  <c r="H363" i="3" s="1"/>
  <c r="E363" i="3"/>
  <c r="G363" i="3" s="1"/>
  <c r="F362" i="3"/>
  <c r="H362" i="3" s="1"/>
  <c r="E362" i="3"/>
  <c r="G362" i="3" s="1"/>
  <c r="F361" i="3"/>
  <c r="H361" i="3" s="1"/>
  <c r="E361" i="3"/>
  <c r="G361" i="3" s="1"/>
  <c r="F360" i="3"/>
  <c r="H360" i="3" s="1"/>
  <c r="E360" i="3"/>
  <c r="G360" i="3" s="1"/>
  <c r="F359" i="3"/>
  <c r="H359" i="3" s="1"/>
  <c r="E359" i="3"/>
  <c r="G359" i="3" s="1"/>
  <c r="F358" i="3"/>
  <c r="H358" i="3" s="1"/>
  <c r="E358" i="3"/>
  <c r="G358" i="3" s="1"/>
  <c r="F357" i="3"/>
  <c r="H357" i="3" s="1"/>
  <c r="E357" i="3"/>
  <c r="G357" i="3" s="1"/>
  <c r="F356" i="3"/>
  <c r="H356" i="3" s="1"/>
  <c r="E356" i="3"/>
  <c r="G356" i="3" s="1"/>
  <c r="F355" i="3"/>
  <c r="H355" i="3" s="1"/>
  <c r="E355" i="3"/>
  <c r="G355" i="3" s="1"/>
  <c r="F354" i="3"/>
  <c r="H354" i="3" s="1"/>
  <c r="E354" i="3"/>
  <c r="G354" i="3" s="1"/>
  <c r="F353" i="3"/>
  <c r="H353" i="3" s="1"/>
  <c r="E353" i="3"/>
  <c r="G353" i="3" s="1"/>
  <c r="F352" i="3"/>
  <c r="H352" i="3" s="1"/>
  <c r="E352" i="3"/>
  <c r="G352" i="3" s="1"/>
  <c r="F351" i="3"/>
  <c r="H351" i="3" s="1"/>
  <c r="E351" i="3"/>
  <c r="G351" i="3" s="1"/>
  <c r="F350" i="3"/>
  <c r="H350" i="3" s="1"/>
  <c r="E350" i="3"/>
  <c r="G350" i="3" s="1"/>
  <c r="F349" i="3"/>
  <c r="H349" i="3" s="1"/>
  <c r="E349" i="3"/>
  <c r="G349" i="3" s="1"/>
  <c r="F348" i="3"/>
  <c r="H348" i="3" s="1"/>
  <c r="E348" i="3"/>
  <c r="G348" i="3" s="1"/>
  <c r="F347" i="3"/>
  <c r="H347" i="3" s="1"/>
  <c r="E347" i="3"/>
  <c r="G347" i="3" s="1"/>
  <c r="F346" i="3"/>
  <c r="H346" i="3" s="1"/>
  <c r="E346" i="3"/>
  <c r="G346" i="3" s="1"/>
  <c r="F345" i="3"/>
  <c r="H345" i="3" s="1"/>
  <c r="E345" i="3"/>
  <c r="G345" i="3" s="1"/>
  <c r="F344" i="3"/>
  <c r="H344" i="3" s="1"/>
  <c r="E344" i="3"/>
  <c r="G344" i="3" s="1"/>
  <c r="F343" i="3"/>
  <c r="H343" i="3" s="1"/>
  <c r="E343" i="3"/>
  <c r="G343" i="3" s="1"/>
  <c r="F342" i="3"/>
  <c r="H342" i="3" s="1"/>
  <c r="E342" i="3"/>
  <c r="G342" i="3" s="1"/>
  <c r="F341" i="3"/>
  <c r="H341" i="3" s="1"/>
  <c r="E341" i="3"/>
  <c r="G341" i="3" s="1"/>
  <c r="F340" i="3"/>
  <c r="H340" i="3" s="1"/>
  <c r="E340" i="3"/>
  <c r="G340" i="3" s="1"/>
  <c r="F339" i="3"/>
  <c r="H339" i="3" s="1"/>
  <c r="E339" i="3"/>
  <c r="G339" i="3" s="1"/>
  <c r="F338" i="3"/>
  <c r="H338" i="3" s="1"/>
  <c r="E338" i="3"/>
  <c r="G338" i="3" s="1"/>
  <c r="F337" i="3"/>
  <c r="H337" i="3" s="1"/>
  <c r="E337" i="3"/>
  <c r="G337" i="3" s="1"/>
  <c r="F336" i="3"/>
  <c r="H336" i="3" s="1"/>
  <c r="E336" i="3"/>
  <c r="G336" i="3" s="1"/>
  <c r="F335" i="3"/>
  <c r="H335" i="3" s="1"/>
  <c r="E335" i="3"/>
  <c r="G335" i="3" s="1"/>
  <c r="F334" i="3"/>
  <c r="H334" i="3" s="1"/>
  <c r="E334" i="3"/>
  <c r="G334" i="3" s="1"/>
  <c r="F333" i="3"/>
  <c r="H333" i="3" s="1"/>
  <c r="E333" i="3"/>
  <c r="G333" i="3" s="1"/>
  <c r="F332" i="3"/>
  <c r="H332" i="3" s="1"/>
  <c r="E332" i="3"/>
  <c r="G332" i="3" s="1"/>
  <c r="F331" i="3"/>
  <c r="H331" i="3" s="1"/>
  <c r="E331" i="3"/>
  <c r="G331" i="3" s="1"/>
  <c r="F330" i="3"/>
  <c r="H330" i="3" s="1"/>
  <c r="E330" i="3"/>
  <c r="G330" i="3" s="1"/>
  <c r="F329" i="3"/>
  <c r="H329" i="3" s="1"/>
  <c r="E329" i="3"/>
  <c r="G329" i="3" s="1"/>
  <c r="F328" i="3"/>
  <c r="H328" i="3" s="1"/>
  <c r="E328" i="3"/>
  <c r="G328" i="3" s="1"/>
  <c r="F327" i="3"/>
  <c r="H327" i="3" s="1"/>
  <c r="E327" i="3"/>
  <c r="G327" i="3" s="1"/>
  <c r="F326" i="3"/>
  <c r="H326" i="3" s="1"/>
  <c r="E326" i="3"/>
  <c r="G326" i="3" s="1"/>
  <c r="F325" i="3"/>
  <c r="H325" i="3" s="1"/>
  <c r="E325" i="3"/>
  <c r="G325" i="3" s="1"/>
  <c r="F324" i="3"/>
  <c r="H324" i="3" s="1"/>
  <c r="E324" i="3"/>
  <c r="G324" i="3" s="1"/>
  <c r="F323" i="3"/>
  <c r="H323" i="3" s="1"/>
  <c r="E323" i="3"/>
  <c r="G323" i="3" s="1"/>
  <c r="F322" i="3"/>
  <c r="H322" i="3" s="1"/>
  <c r="E322" i="3"/>
  <c r="G322" i="3" s="1"/>
  <c r="F321" i="3"/>
  <c r="H321" i="3" s="1"/>
  <c r="E321" i="3"/>
  <c r="G321" i="3" s="1"/>
  <c r="F320" i="3"/>
  <c r="H320" i="3" s="1"/>
  <c r="E320" i="3"/>
  <c r="G320" i="3" s="1"/>
  <c r="F319" i="3"/>
  <c r="H319" i="3" s="1"/>
  <c r="E319" i="3"/>
  <c r="G319" i="3" s="1"/>
  <c r="F318" i="3"/>
  <c r="H318" i="3" s="1"/>
  <c r="E318" i="3"/>
  <c r="G318" i="3" s="1"/>
  <c r="F317" i="3"/>
  <c r="H317" i="3" s="1"/>
  <c r="E317" i="3"/>
  <c r="G317" i="3" s="1"/>
  <c r="F316" i="3"/>
  <c r="H316" i="3" s="1"/>
  <c r="E316" i="3"/>
  <c r="G316" i="3" s="1"/>
  <c r="F315" i="3"/>
  <c r="H315" i="3" s="1"/>
  <c r="E315" i="3"/>
  <c r="G315" i="3" s="1"/>
  <c r="F314" i="3"/>
  <c r="H314" i="3" s="1"/>
  <c r="E314" i="3"/>
  <c r="G314" i="3" s="1"/>
  <c r="F313" i="3"/>
  <c r="H313" i="3" s="1"/>
  <c r="E313" i="3"/>
  <c r="G313" i="3" s="1"/>
  <c r="F312" i="3"/>
  <c r="H312" i="3" s="1"/>
  <c r="E312" i="3"/>
  <c r="G312" i="3" s="1"/>
  <c r="F311" i="3"/>
  <c r="H311" i="3" s="1"/>
  <c r="E311" i="3"/>
  <c r="G311" i="3" s="1"/>
  <c r="F310" i="3"/>
  <c r="H310" i="3" s="1"/>
  <c r="E310" i="3"/>
  <c r="G310" i="3" s="1"/>
  <c r="F309" i="3"/>
  <c r="H309" i="3" s="1"/>
  <c r="E309" i="3"/>
  <c r="G309" i="3" s="1"/>
  <c r="F308" i="3"/>
  <c r="H308" i="3" s="1"/>
  <c r="E308" i="3"/>
  <c r="G308" i="3" s="1"/>
  <c r="F307" i="3"/>
  <c r="H307" i="3" s="1"/>
  <c r="E307" i="3"/>
  <c r="G307" i="3" s="1"/>
  <c r="F306" i="3"/>
  <c r="H306" i="3" s="1"/>
  <c r="E306" i="3"/>
  <c r="G306" i="3" s="1"/>
  <c r="F305" i="3"/>
  <c r="H305" i="3" s="1"/>
  <c r="E305" i="3"/>
  <c r="G305" i="3" s="1"/>
  <c r="F304" i="3"/>
  <c r="H304" i="3" s="1"/>
  <c r="E304" i="3"/>
  <c r="G304" i="3" s="1"/>
  <c r="F303" i="3"/>
  <c r="H303" i="3" s="1"/>
  <c r="E303" i="3"/>
  <c r="G303" i="3" s="1"/>
  <c r="F302" i="3"/>
  <c r="H302" i="3" s="1"/>
  <c r="E302" i="3"/>
  <c r="G302" i="3" s="1"/>
  <c r="F301" i="3"/>
  <c r="H301" i="3" s="1"/>
  <c r="E301" i="3"/>
  <c r="G301" i="3" s="1"/>
  <c r="F300" i="3"/>
  <c r="H300" i="3" s="1"/>
  <c r="E300" i="3"/>
  <c r="G300" i="3" s="1"/>
  <c r="F299" i="3"/>
  <c r="H299" i="3" s="1"/>
  <c r="E299" i="3"/>
  <c r="G299" i="3" s="1"/>
  <c r="F298" i="3"/>
  <c r="H298" i="3" s="1"/>
  <c r="E298" i="3"/>
  <c r="G298" i="3" s="1"/>
  <c r="F297" i="3"/>
  <c r="H297" i="3" s="1"/>
  <c r="E297" i="3"/>
  <c r="G297" i="3" s="1"/>
  <c r="F296" i="3"/>
  <c r="H296" i="3" s="1"/>
  <c r="E296" i="3"/>
  <c r="G296" i="3" s="1"/>
  <c r="F295" i="3"/>
  <c r="H295" i="3" s="1"/>
  <c r="E295" i="3"/>
  <c r="G295" i="3" s="1"/>
  <c r="F294" i="3"/>
  <c r="H294" i="3" s="1"/>
  <c r="E294" i="3"/>
  <c r="G294" i="3" s="1"/>
  <c r="F293" i="3"/>
  <c r="H293" i="3" s="1"/>
  <c r="E293" i="3"/>
  <c r="G293" i="3" s="1"/>
  <c r="F292" i="3"/>
  <c r="H292" i="3" s="1"/>
  <c r="E292" i="3"/>
  <c r="G292" i="3" s="1"/>
  <c r="F291" i="3"/>
  <c r="H291" i="3" s="1"/>
  <c r="E291" i="3"/>
  <c r="G291" i="3" s="1"/>
  <c r="F290" i="3"/>
  <c r="H290" i="3" s="1"/>
  <c r="E290" i="3"/>
  <c r="G290" i="3" s="1"/>
  <c r="F289" i="3"/>
  <c r="H289" i="3" s="1"/>
  <c r="E289" i="3"/>
  <c r="G289" i="3" s="1"/>
  <c r="F288" i="3"/>
  <c r="H288" i="3" s="1"/>
  <c r="E288" i="3"/>
  <c r="G288" i="3" s="1"/>
  <c r="F287" i="3"/>
  <c r="H287" i="3" s="1"/>
  <c r="E287" i="3"/>
  <c r="G287" i="3" s="1"/>
  <c r="F286" i="3"/>
  <c r="H286" i="3" s="1"/>
  <c r="E286" i="3"/>
  <c r="G286" i="3" s="1"/>
  <c r="F285" i="3"/>
  <c r="H285" i="3" s="1"/>
  <c r="E285" i="3"/>
  <c r="G285" i="3" s="1"/>
  <c r="F284" i="3"/>
  <c r="H284" i="3" s="1"/>
  <c r="E284" i="3"/>
  <c r="G284" i="3" s="1"/>
  <c r="F283" i="3"/>
  <c r="H283" i="3" s="1"/>
  <c r="E283" i="3"/>
  <c r="G283" i="3" s="1"/>
  <c r="F282" i="3"/>
  <c r="H282" i="3" s="1"/>
  <c r="E282" i="3"/>
  <c r="G282" i="3" s="1"/>
  <c r="F281" i="3"/>
  <c r="H281" i="3" s="1"/>
  <c r="E281" i="3"/>
  <c r="G281" i="3" s="1"/>
  <c r="F280" i="3"/>
  <c r="H280" i="3" s="1"/>
  <c r="E280" i="3"/>
  <c r="G280" i="3" s="1"/>
  <c r="F279" i="3"/>
  <c r="H279" i="3" s="1"/>
  <c r="E279" i="3"/>
  <c r="G279" i="3" s="1"/>
  <c r="F278" i="3"/>
  <c r="H278" i="3" s="1"/>
  <c r="E278" i="3"/>
  <c r="G278" i="3" s="1"/>
  <c r="F277" i="3"/>
  <c r="H277" i="3" s="1"/>
  <c r="E277" i="3"/>
  <c r="G277" i="3" s="1"/>
  <c r="F276" i="3"/>
  <c r="H276" i="3" s="1"/>
  <c r="E276" i="3"/>
  <c r="G276" i="3" s="1"/>
  <c r="F275" i="3"/>
  <c r="H275" i="3" s="1"/>
  <c r="E275" i="3"/>
  <c r="G275" i="3" s="1"/>
  <c r="F274" i="3"/>
  <c r="H274" i="3" s="1"/>
  <c r="E274" i="3"/>
  <c r="G274" i="3" s="1"/>
  <c r="F273" i="3"/>
  <c r="H273" i="3" s="1"/>
  <c r="E273" i="3"/>
  <c r="G273" i="3" s="1"/>
  <c r="F272" i="3"/>
  <c r="H272" i="3" s="1"/>
  <c r="E272" i="3"/>
  <c r="G272" i="3" s="1"/>
  <c r="F271" i="3"/>
  <c r="H271" i="3" s="1"/>
  <c r="E271" i="3"/>
  <c r="G271" i="3" s="1"/>
  <c r="F270" i="3"/>
  <c r="H270" i="3" s="1"/>
  <c r="E270" i="3"/>
  <c r="G270" i="3" s="1"/>
  <c r="F269" i="3"/>
  <c r="H269" i="3" s="1"/>
  <c r="E269" i="3"/>
  <c r="G269" i="3" s="1"/>
  <c r="F268" i="3"/>
  <c r="H268" i="3" s="1"/>
  <c r="E268" i="3"/>
  <c r="G268" i="3" s="1"/>
  <c r="F267" i="3"/>
  <c r="H267" i="3" s="1"/>
  <c r="E267" i="3"/>
  <c r="G267" i="3" s="1"/>
  <c r="F266" i="3"/>
  <c r="H266" i="3" s="1"/>
  <c r="E266" i="3"/>
  <c r="G266" i="3" s="1"/>
  <c r="F265" i="3"/>
  <c r="H265" i="3" s="1"/>
  <c r="E265" i="3"/>
  <c r="G265" i="3" s="1"/>
  <c r="F264" i="3"/>
  <c r="H264" i="3" s="1"/>
  <c r="E264" i="3"/>
  <c r="G264" i="3" s="1"/>
  <c r="F263" i="3"/>
  <c r="H263" i="3" s="1"/>
  <c r="E263" i="3"/>
  <c r="G263" i="3" s="1"/>
  <c r="F262" i="3"/>
  <c r="H262" i="3" s="1"/>
  <c r="E262" i="3"/>
  <c r="G262" i="3" s="1"/>
  <c r="F261" i="3"/>
  <c r="H261" i="3" s="1"/>
  <c r="E261" i="3"/>
  <c r="G261" i="3" s="1"/>
  <c r="F260" i="3"/>
  <c r="H260" i="3" s="1"/>
  <c r="E260" i="3"/>
  <c r="G260" i="3" s="1"/>
  <c r="F259" i="3"/>
  <c r="H259" i="3" s="1"/>
  <c r="E259" i="3"/>
  <c r="G259" i="3" s="1"/>
  <c r="F258" i="3"/>
  <c r="H258" i="3" s="1"/>
  <c r="E258" i="3"/>
  <c r="G258" i="3" s="1"/>
  <c r="F257" i="3"/>
  <c r="H257" i="3" s="1"/>
  <c r="E257" i="3"/>
  <c r="G257" i="3" s="1"/>
  <c r="F256" i="3"/>
  <c r="H256" i="3" s="1"/>
  <c r="E256" i="3"/>
  <c r="G256" i="3" s="1"/>
  <c r="F255" i="3"/>
  <c r="H255" i="3" s="1"/>
  <c r="E255" i="3"/>
  <c r="G255" i="3" s="1"/>
  <c r="F254" i="3"/>
  <c r="H254" i="3" s="1"/>
  <c r="E254" i="3"/>
  <c r="G254" i="3" s="1"/>
  <c r="F253" i="3"/>
  <c r="H253" i="3" s="1"/>
  <c r="E253" i="3"/>
  <c r="G253" i="3" s="1"/>
  <c r="F252" i="3"/>
  <c r="H252" i="3" s="1"/>
  <c r="E252" i="3"/>
  <c r="G252" i="3" s="1"/>
  <c r="F251" i="3"/>
  <c r="H251" i="3" s="1"/>
  <c r="E251" i="3"/>
  <c r="G251" i="3" s="1"/>
  <c r="F250" i="3"/>
  <c r="H250" i="3" s="1"/>
  <c r="E250" i="3"/>
  <c r="G250" i="3" s="1"/>
  <c r="F249" i="3"/>
  <c r="H249" i="3" s="1"/>
  <c r="E249" i="3"/>
  <c r="G249" i="3" s="1"/>
  <c r="F248" i="3"/>
  <c r="H248" i="3" s="1"/>
  <c r="E248" i="3"/>
  <c r="G248" i="3" s="1"/>
  <c r="F247" i="3"/>
  <c r="H247" i="3" s="1"/>
  <c r="E247" i="3"/>
  <c r="G247" i="3" s="1"/>
  <c r="F246" i="3"/>
  <c r="H246" i="3" s="1"/>
  <c r="E246" i="3"/>
  <c r="G246" i="3" s="1"/>
  <c r="F245" i="3"/>
  <c r="H245" i="3" s="1"/>
  <c r="E245" i="3"/>
  <c r="G245" i="3" s="1"/>
  <c r="F244" i="3"/>
  <c r="H244" i="3" s="1"/>
  <c r="E244" i="3"/>
  <c r="G244" i="3" s="1"/>
  <c r="F243" i="3"/>
  <c r="H243" i="3" s="1"/>
  <c r="E243" i="3"/>
  <c r="G243" i="3" s="1"/>
  <c r="F242" i="3"/>
  <c r="H242" i="3" s="1"/>
  <c r="E242" i="3"/>
  <c r="G242" i="3" s="1"/>
  <c r="F241" i="3"/>
  <c r="H241" i="3" s="1"/>
  <c r="E241" i="3"/>
  <c r="G241" i="3" s="1"/>
  <c r="F240" i="3"/>
  <c r="H240" i="3" s="1"/>
  <c r="E240" i="3"/>
  <c r="G240" i="3" s="1"/>
  <c r="F239" i="3"/>
  <c r="H239" i="3" s="1"/>
  <c r="E239" i="3"/>
  <c r="G239" i="3" s="1"/>
  <c r="F238" i="3"/>
  <c r="H238" i="3" s="1"/>
  <c r="E238" i="3"/>
  <c r="G238" i="3" s="1"/>
  <c r="F237" i="3"/>
  <c r="H237" i="3" s="1"/>
  <c r="E237" i="3"/>
  <c r="G237" i="3" s="1"/>
  <c r="F236" i="3"/>
  <c r="H236" i="3" s="1"/>
  <c r="E236" i="3"/>
  <c r="G236" i="3" s="1"/>
  <c r="F235" i="3"/>
  <c r="H235" i="3" s="1"/>
  <c r="E235" i="3"/>
  <c r="G235" i="3" s="1"/>
  <c r="F234" i="3"/>
  <c r="H234" i="3" s="1"/>
  <c r="E234" i="3"/>
  <c r="G234" i="3" s="1"/>
  <c r="F233" i="3"/>
  <c r="H233" i="3" s="1"/>
  <c r="E233" i="3"/>
  <c r="G233" i="3" s="1"/>
  <c r="F232" i="3"/>
  <c r="H232" i="3" s="1"/>
  <c r="E232" i="3"/>
  <c r="G232" i="3" s="1"/>
  <c r="F231" i="3"/>
  <c r="H231" i="3" s="1"/>
  <c r="E231" i="3"/>
  <c r="G231" i="3" s="1"/>
  <c r="F230" i="3"/>
  <c r="H230" i="3" s="1"/>
  <c r="E230" i="3"/>
  <c r="G230" i="3" s="1"/>
  <c r="F229" i="3"/>
  <c r="H229" i="3" s="1"/>
  <c r="E229" i="3"/>
  <c r="G229" i="3" s="1"/>
  <c r="F228" i="3"/>
  <c r="H228" i="3" s="1"/>
  <c r="E228" i="3"/>
  <c r="G228" i="3" s="1"/>
  <c r="F227" i="3"/>
  <c r="H227" i="3" s="1"/>
  <c r="E227" i="3"/>
  <c r="G227" i="3" s="1"/>
  <c r="F226" i="3"/>
  <c r="H226" i="3" s="1"/>
  <c r="E226" i="3"/>
  <c r="G226" i="3" s="1"/>
  <c r="F225" i="3"/>
  <c r="H225" i="3" s="1"/>
  <c r="E225" i="3"/>
  <c r="G225" i="3" s="1"/>
  <c r="F224" i="3"/>
  <c r="H224" i="3" s="1"/>
  <c r="E224" i="3"/>
  <c r="G224" i="3" s="1"/>
  <c r="F223" i="3"/>
  <c r="H223" i="3" s="1"/>
  <c r="E223" i="3"/>
  <c r="G223" i="3" s="1"/>
  <c r="F222" i="3"/>
  <c r="H222" i="3" s="1"/>
  <c r="E222" i="3"/>
  <c r="G222" i="3" s="1"/>
  <c r="F221" i="3"/>
  <c r="H221" i="3" s="1"/>
  <c r="E221" i="3"/>
  <c r="G221" i="3" s="1"/>
  <c r="F220" i="3"/>
  <c r="H220" i="3" s="1"/>
  <c r="E220" i="3"/>
  <c r="G220" i="3" s="1"/>
  <c r="F219" i="3"/>
  <c r="H219" i="3" s="1"/>
  <c r="E219" i="3"/>
  <c r="G219" i="3" s="1"/>
  <c r="F218" i="3"/>
  <c r="H218" i="3" s="1"/>
  <c r="E218" i="3"/>
  <c r="G218" i="3" s="1"/>
  <c r="F217" i="3"/>
  <c r="H217" i="3" s="1"/>
  <c r="E217" i="3"/>
  <c r="G217" i="3" s="1"/>
  <c r="F216" i="3"/>
  <c r="H216" i="3" s="1"/>
  <c r="E216" i="3"/>
  <c r="G216" i="3" s="1"/>
  <c r="F215" i="3"/>
  <c r="H215" i="3" s="1"/>
  <c r="E215" i="3"/>
  <c r="G215" i="3" s="1"/>
  <c r="F214" i="3"/>
  <c r="H214" i="3" s="1"/>
  <c r="E214" i="3"/>
  <c r="G214" i="3" s="1"/>
  <c r="F213" i="3"/>
  <c r="H213" i="3" s="1"/>
  <c r="E213" i="3"/>
  <c r="G213" i="3" s="1"/>
  <c r="F212" i="3"/>
  <c r="H212" i="3" s="1"/>
  <c r="E212" i="3"/>
  <c r="G212" i="3" s="1"/>
  <c r="F211" i="3"/>
  <c r="H211" i="3" s="1"/>
  <c r="E211" i="3"/>
  <c r="G211" i="3" s="1"/>
  <c r="F210" i="3"/>
  <c r="H210" i="3" s="1"/>
  <c r="E210" i="3"/>
  <c r="G210" i="3" s="1"/>
  <c r="F209" i="3"/>
  <c r="H209" i="3" s="1"/>
  <c r="E209" i="3"/>
  <c r="G209" i="3" s="1"/>
  <c r="F208" i="3"/>
  <c r="H208" i="3" s="1"/>
  <c r="E208" i="3"/>
  <c r="G208" i="3" s="1"/>
  <c r="F207" i="3"/>
  <c r="H207" i="3" s="1"/>
  <c r="E207" i="3"/>
  <c r="G207" i="3" s="1"/>
  <c r="F206" i="3"/>
  <c r="H206" i="3" s="1"/>
  <c r="E206" i="3"/>
  <c r="G206" i="3" s="1"/>
  <c r="F205" i="3"/>
  <c r="H205" i="3" s="1"/>
  <c r="E205" i="3"/>
  <c r="G205" i="3" s="1"/>
  <c r="F204" i="3"/>
  <c r="H204" i="3" s="1"/>
  <c r="E204" i="3"/>
  <c r="G204" i="3" s="1"/>
  <c r="F203" i="3"/>
  <c r="H203" i="3" s="1"/>
  <c r="E203" i="3"/>
  <c r="G203" i="3" s="1"/>
  <c r="F202" i="3"/>
  <c r="H202" i="3" s="1"/>
  <c r="E202" i="3"/>
  <c r="G202" i="3" s="1"/>
  <c r="F201" i="3"/>
  <c r="H201" i="3" s="1"/>
  <c r="E201" i="3"/>
  <c r="G201" i="3" s="1"/>
  <c r="F200" i="3"/>
  <c r="H200" i="3" s="1"/>
  <c r="E200" i="3"/>
  <c r="G200" i="3" s="1"/>
  <c r="F199" i="3"/>
  <c r="H199" i="3" s="1"/>
  <c r="E199" i="3"/>
  <c r="G199" i="3" s="1"/>
  <c r="F198" i="3"/>
  <c r="H198" i="3" s="1"/>
  <c r="E198" i="3"/>
  <c r="G198" i="3" s="1"/>
  <c r="F197" i="3"/>
  <c r="H197" i="3" s="1"/>
  <c r="E197" i="3"/>
  <c r="G197" i="3" s="1"/>
  <c r="F196" i="3"/>
  <c r="H196" i="3" s="1"/>
  <c r="E196" i="3"/>
  <c r="G196" i="3" s="1"/>
  <c r="F195" i="3"/>
  <c r="H195" i="3" s="1"/>
  <c r="E195" i="3"/>
  <c r="G195" i="3" s="1"/>
  <c r="F194" i="3"/>
  <c r="H194" i="3" s="1"/>
  <c r="E194" i="3"/>
  <c r="G194" i="3" s="1"/>
  <c r="F193" i="3"/>
  <c r="H193" i="3" s="1"/>
  <c r="E193" i="3"/>
  <c r="G193" i="3" s="1"/>
  <c r="F192" i="3"/>
  <c r="H192" i="3" s="1"/>
  <c r="E192" i="3"/>
  <c r="G192" i="3" s="1"/>
  <c r="F191" i="3"/>
  <c r="H191" i="3" s="1"/>
  <c r="E191" i="3"/>
  <c r="G191" i="3" s="1"/>
  <c r="F190" i="3"/>
  <c r="H190" i="3" s="1"/>
  <c r="E190" i="3"/>
  <c r="G190" i="3" s="1"/>
  <c r="F189" i="3"/>
  <c r="H189" i="3" s="1"/>
  <c r="E189" i="3"/>
  <c r="G189" i="3" s="1"/>
  <c r="F188" i="3"/>
  <c r="H188" i="3" s="1"/>
  <c r="E188" i="3"/>
  <c r="G188" i="3" s="1"/>
  <c r="F187" i="3"/>
  <c r="H187" i="3" s="1"/>
  <c r="E187" i="3"/>
  <c r="G187" i="3" s="1"/>
  <c r="F186" i="3"/>
  <c r="H186" i="3" s="1"/>
  <c r="E186" i="3"/>
  <c r="G186" i="3" s="1"/>
  <c r="F185" i="3"/>
  <c r="H185" i="3" s="1"/>
  <c r="E185" i="3"/>
  <c r="G185" i="3" s="1"/>
  <c r="F184" i="3"/>
  <c r="H184" i="3" s="1"/>
  <c r="E184" i="3"/>
  <c r="G184" i="3" s="1"/>
  <c r="F183" i="3"/>
  <c r="H183" i="3" s="1"/>
  <c r="E183" i="3"/>
  <c r="G183" i="3" s="1"/>
  <c r="F182" i="3"/>
  <c r="H182" i="3" s="1"/>
  <c r="E182" i="3"/>
  <c r="G182" i="3" s="1"/>
  <c r="F181" i="3"/>
  <c r="H181" i="3" s="1"/>
  <c r="E181" i="3"/>
  <c r="G181" i="3" s="1"/>
  <c r="F180" i="3"/>
  <c r="H180" i="3" s="1"/>
  <c r="E180" i="3"/>
  <c r="G180" i="3" s="1"/>
  <c r="F179" i="3"/>
  <c r="H179" i="3" s="1"/>
  <c r="E179" i="3"/>
  <c r="G179" i="3" s="1"/>
  <c r="F178" i="3"/>
  <c r="H178" i="3" s="1"/>
  <c r="E178" i="3"/>
  <c r="G178" i="3" s="1"/>
  <c r="F177" i="3"/>
  <c r="H177" i="3" s="1"/>
  <c r="E177" i="3"/>
  <c r="G177" i="3" s="1"/>
  <c r="F176" i="3"/>
  <c r="H176" i="3" s="1"/>
  <c r="E176" i="3"/>
  <c r="G176" i="3" s="1"/>
  <c r="F175" i="3"/>
  <c r="H175" i="3" s="1"/>
  <c r="E175" i="3"/>
  <c r="G175" i="3" s="1"/>
  <c r="F174" i="3"/>
  <c r="H174" i="3" s="1"/>
  <c r="E174" i="3"/>
  <c r="G174" i="3" s="1"/>
  <c r="F173" i="3"/>
  <c r="H173" i="3" s="1"/>
  <c r="E173" i="3"/>
  <c r="G173" i="3" s="1"/>
  <c r="F172" i="3"/>
  <c r="H172" i="3" s="1"/>
  <c r="E172" i="3"/>
  <c r="G172" i="3" s="1"/>
  <c r="F171" i="3"/>
  <c r="H171" i="3" s="1"/>
  <c r="E171" i="3"/>
  <c r="G171" i="3" s="1"/>
  <c r="F170" i="3"/>
  <c r="H170" i="3" s="1"/>
  <c r="E170" i="3"/>
  <c r="G170" i="3" s="1"/>
  <c r="F169" i="3"/>
  <c r="H169" i="3" s="1"/>
  <c r="E169" i="3"/>
  <c r="G169" i="3" s="1"/>
  <c r="F168" i="3"/>
  <c r="H168" i="3" s="1"/>
  <c r="E168" i="3"/>
  <c r="G168" i="3" s="1"/>
  <c r="F167" i="3"/>
  <c r="H167" i="3" s="1"/>
  <c r="E167" i="3"/>
  <c r="G167" i="3" s="1"/>
  <c r="F166" i="3"/>
  <c r="H166" i="3" s="1"/>
  <c r="E166" i="3"/>
  <c r="G166" i="3" s="1"/>
  <c r="F165" i="3"/>
  <c r="H165" i="3" s="1"/>
  <c r="E165" i="3"/>
  <c r="G165" i="3" s="1"/>
  <c r="F164" i="3"/>
  <c r="H164" i="3" s="1"/>
  <c r="E164" i="3"/>
  <c r="G164" i="3" s="1"/>
  <c r="F163" i="3"/>
  <c r="H163" i="3" s="1"/>
  <c r="E163" i="3"/>
  <c r="G163" i="3" s="1"/>
  <c r="F162" i="3"/>
  <c r="H162" i="3" s="1"/>
  <c r="E162" i="3"/>
  <c r="G162" i="3" s="1"/>
  <c r="F161" i="3"/>
  <c r="H161" i="3" s="1"/>
  <c r="E161" i="3"/>
  <c r="G161" i="3" s="1"/>
  <c r="F160" i="3"/>
  <c r="H160" i="3" s="1"/>
  <c r="E160" i="3"/>
  <c r="G160" i="3" s="1"/>
  <c r="F159" i="3"/>
  <c r="H159" i="3" s="1"/>
  <c r="E159" i="3"/>
  <c r="G159" i="3" s="1"/>
  <c r="F158" i="3"/>
  <c r="H158" i="3" s="1"/>
  <c r="E158" i="3"/>
  <c r="G158" i="3" s="1"/>
  <c r="F157" i="3"/>
  <c r="H157" i="3" s="1"/>
  <c r="E157" i="3"/>
  <c r="G157" i="3" s="1"/>
  <c r="F156" i="3"/>
  <c r="H156" i="3" s="1"/>
  <c r="E156" i="3"/>
  <c r="G156" i="3" s="1"/>
  <c r="F155" i="3"/>
  <c r="H155" i="3" s="1"/>
  <c r="E155" i="3"/>
  <c r="G155" i="3" s="1"/>
  <c r="F154" i="3"/>
  <c r="H154" i="3" s="1"/>
  <c r="E154" i="3"/>
  <c r="G154" i="3" s="1"/>
  <c r="F153" i="3"/>
  <c r="H153" i="3" s="1"/>
  <c r="E153" i="3"/>
  <c r="G153" i="3" s="1"/>
  <c r="F152" i="3"/>
  <c r="H152" i="3" s="1"/>
  <c r="E152" i="3"/>
  <c r="G152" i="3" s="1"/>
  <c r="F151" i="3"/>
  <c r="H151" i="3" s="1"/>
  <c r="E151" i="3"/>
  <c r="G151" i="3" s="1"/>
  <c r="F150" i="3"/>
  <c r="H150" i="3" s="1"/>
  <c r="E150" i="3"/>
  <c r="G150" i="3" s="1"/>
  <c r="F149" i="3"/>
  <c r="H149" i="3" s="1"/>
  <c r="E149" i="3"/>
  <c r="G149" i="3" s="1"/>
  <c r="F148" i="3"/>
  <c r="H148" i="3" s="1"/>
  <c r="E148" i="3"/>
  <c r="G148" i="3" s="1"/>
  <c r="F147" i="3"/>
  <c r="H147" i="3" s="1"/>
  <c r="E147" i="3"/>
  <c r="G147" i="3" s="1"/>
  <c r="F146" i="3"/>
  <c r="H146" i="3" s="1"/>
  <c r="E146" i="3"/>
  <c r="G146" i="3" s="1"/>
  <c r="F145" i="3"/>
  <c r="H145" i="3" s="1"/>
  <c r="E145" i="3"/>
  <c r="G145" i="3" s="1"/>
  <c r="F144" i="3"/>
  <c r="H144" i="3" s="1"/>
  <c r="E144" i="3"/>
  <c r="G144" i="3" s="1"/>
  <c r="F143" i="3"/>
  <c r="H143" i="3" s="1"/>
  <c r="E143" i="3"/>
  <c r="G143" i="3" s="1"/>
  <c r="F142" i="3"/>
  <c r="H142" i="3" s="1"/>
  <c r="E142" i="3"/>
  <c r="G142" i="3" s="1"/>
  <c r="F141" i="3"/>
  <c r="H141" i="3" s="1"/>
  <c r="E141" i="3"/>
  <c r="G141" i="3" s="1"/>
  <c r="F140" i="3"/>
  <c r="H140" i="3" s="1"/>
  <c r="E140" i="3"/>
  <c r="G140" i="3" s="1"/>
  <c r="F139" i="3"/>
  <c r="H139" i="3" s="1"/>
  <c r="E139" i="3"/>
  <c r="G139" i="3" s="1"/>
  <c r="F138" i="3"/>
  <c r="H138" i="3" s="1"/>
  <c r="E138" i="3"/>
  <c r="G138" i="3" s="1"/>
  <c r="F137" i="3"/>
  <c r="H137" i="3" s="1"/>
  <c r="E137" i="3"/>
  <c r="G137" i="3" s="1"/>
  <c r="F136" i="3"/>
  <c r="H136" i="3" s="1"/>
  <c r="E136" i="3"/>
  <c r="G136" i="3" s="1"/>
  <c r="F135" i="3"/>
  <c r="H135" i="3" s="1"/>
  <c r="E135" i="3"/>
  <c r="G135" i="3" s="1"/>
  <c r="F134" i="3"/>
  <c r="H134" i="3" s="1"/>
  <c r="E134" i="3"/>
  <c r="G134" i="3" s="1"/>
  <c r="F133" i="3"/>
  <c r="H133" i="3" s="1"/>
  <c r="E133" i="3"/>
  <c r="G133" i="3" s="1"/>
  <c r="F132" i="3"/>
  <c r="H132" i="3" s="1"/>
  <c r="E132" i="3"/>
  <c r="G132" i="3" s="1"/>
  <c r="F131" i="3"/>
  <c r="H131" i="3" s="1"/>
  <c r="E131" i="3"/>
  <c r="G131" i="3" s="1"/>
  <c r="F130" i="3"/>
  <c r="H130" i="3" s="1"/>
  <c r="E130" i="3"/>
  <c r="G130" i="3" s="1"/>
  <c r="F129" i="3"/>
  <c r="H129" i="3" s="1"/>
  <c r="E129" i="3"/>
  <c r="G129" i="3" s="1"/>
  <c r="F128" i="3"/>
  <c r="H128" i="3" s="1"/>
  <c r="E128" i="3"/>
  <c r="G128" i="3" s="1"/>
  <c r="F127" i="3"/>
  <c r="H127" i="3" s="1"/>
  <c r="E127" i="3"/>
  <c r="G127" i="3" s="1"/>
  <c r="F126" i="3"/>
  <c r="H126" i="3" s="1"/>
  <c r="E126" i="3"/>
  <c r="G126" i="3" s="1"/>
  <c r="F125" i="3"/>
  <c r="H125" i="3" s="1"/>
  <c r="E125" i="3"/>
  <c r="G125" i="3" s="1"/>
  <c r="F124" i="3"/>
  <c r="H124" i="3" s="1"/>
  <c r="E124" i="3"/>
  <c r="G124" i="3" s="1"/>
  <c r="F123" i="3"/>
  <c r="H123" i="3" s="1"/>
  <c r="E123" i="3"/>
  <c r="G123" i="3" s="1"/>
  <c r="F122" i="3"/>
  <c r="H122" i="3" s="1"/>
  <c r="E122" i="3"/>
  <c r="G122" i="3" s="1"/>
  <c r="F121" i="3"/>
  <c r="H121" i="3" s="1"/>
  <c r="E121" i="3"/>
  <c r="G121" i="3" s="1"/>
  <c r="F120" i="3"/>
  <c r="H120" i="3" s="1"/>
  <c r="E120" i="3"/>
  <c r="G120" i="3" s="1"/>
  <c r="F119" i="3"/>
  <c r="H119" i="3" s="1"/>
  <c r="E119" i="3"/>
  <c r="G119" i="3" s="1"/>
  <c r="F118" i="3"/>
  <c r="H118" i="3" s="1"/>
  <c r="E118" i="3"/>
  <c r="G118" i="3" s="1"/>
  <c r="F117" i="3"/>
  <c r="H117" i="3" s="1"/>
  <c r="E117" i="3"/>
  <c r="G117" i="3" s="1"/>
  <c r="F116" i="3"/>
  <c r="H116" i="3" s="1"/>
  <c r="E116" i="3"/>
  <c r="G116" i="3" s="1"/>
  <c r="F115" i="3"/>
  <c r="H115" i="3" s="1"/>
  <c r="E115" i="3"/>
  <c r="G115" i="3" s="1"/>
  <c r="F114" i="3"/>
  <c r="H114" i="3" s="1"/>
  <c r="E114" i="3"/>
  <c r="G114" i="3" s="1"/>
  <c r="F113" i="3"/>
  <c r="H113" i="3" s="1"/>
  <c r="E113" i="3"/>
  <c r="G113" i="3" s="1"/>
  <c r="F112" i="3"/>
  <c r="H112" i="3" s="1"/>
  <c r="E112" i="3"/>
  <c r="G112" i="3" s="1"/>
  <c r="F111" i="3"/>
  <c r="H111" i="3" s="1"/>
  <c r="E111" i="3"/>
  <c r="G111" i="3" s="1"/>
  <c r="F110" i="3"/>
  <c r="H110" i="3" s="1"/>
  <c r="E110" i="3"/>
  <c r="G110" i="3" s="1"/>
  <c r="F109" i="3"/>
  <c r="H109" i="3" s="1"/>
  <c r="E109" i="3"/>
  <c r="G109" i="3" s="1"/>
  <c r="F108" i="3"/>
  <c r="H108" i="3" s="1"/>
  <c r="E108" i="3"/>
  <c r="G108" i="3" s="1"/>
  <c r="F107" i="3"/>
  <c r="H107" i="3" s="1"/>
  <c r="E107" i="3"/>
  <c r="G107" i="3" s="1"/>
  <c r="F106" i="3"/>
  <c r="H106" i="3" s="1"/>
  <c r="E106" i="3"/>
  <c r="G106" i="3" s="1"/>
  <c r="F105" i="3"/>
  <c r="H105" i="3" s="1"/>
  <c r="E105" i="3"/>
  <c r="G105" i="3" s="1"/>
  <c r="F104" i="3"/>
  <c r="H104" i="3" s="1"/>
  <c r="E104" i="3"/>
  <c r="G104" i="3" s="1"/>
  <c r="F103" i="3"/>
  <c r="H103" i="3" s="1"/>
  <c r="E103" i="3"/>
  <c r="G103" i="3" s="1"/>
  <c r="F102" i="3"/>
  <c r="H102" i="3" s="1"/>
  <c r="E102" i="3"/>
  <c r="G102" i="3" s="1"/>
  <c r="F101" i="3"/>
  <c r="H101" i="3" s="1"/>
  <c r="E101" i="3"/>
  <c r="G101" i="3" s="1"/>
  <c r="F100" i="3"/>
  <c r="H100" i="3" s="1"/>
  <c r="E100" i="3"/>
  <c r="G100" i="3" s="1"/>
  <c r="F99" i="3"/>
  <c r="H99" i="3" s="1"/>
  <c r="E99" i="3"/>
  <c r="G99" i="3" s="1"/>
  <c r="F98" i="3"/>
  <c r="H98" i="3" s="1"/>
  <c r="E98" i="3"/>
  <c r="G98" i="3" s="1"/>
  <c r="F97" i="3"/>
  <c r="H97" i="3" s="1"/>
  <c r="E97" i="3"/>
  <c r="G97" i="3" s="1"/>
  <c r="F96" i="3"/>
  <c r="H96" i="3" s="1"/>
  <c r="E96" i="3"/>
  <c r="G96" i="3" s="1"/>
  <c r="F95" i="3"/>
  <c r="H95" i="3" s="1"/>
  <c r="E95" i="3"/>
  <c r="G95" i="3" s="1"/>
  <c r="F94" i="3"/>
  <c r="H94" i="3" s="1"/>
  <c r="E94" i="3"/>
  <c r="G94" i="3" s="1"/>
  <c r="F93" i="3"/>
  <c r="H93" i="3" s="1"/>
  <c r="E93" i="3"/>
  <c r="G93" i="3" s="1"/>
  <c r="F92" i="3"/>
  <c r="H92" i="3" s="1"/>
  <c r="E92" i="3"/>
  <c r="G92" i="3" s="1"/>
  <c r="F91" i="3"/>
  <c r="H91" i="3" s="1"/>
  <c r="E91" i="3"/>
  <c r="G91" i="3" s="1"/>
  <c r="F90" i="3"/>
  <c r="H90" i="3" s="1"/>
  <c r="E90" i="3"/>
  <c r="G90" i="3" s="1"/>
  <c r="F89" i="3"/>
  <c r="H89" i="3" s="1"/>
  <c r="E89" i="3"/>
  <c r="G89" i="3" s="1"/>
  <c r="F88" i="3"/>
  <c r="H88" i="3" s="1"/>
  <c r="E88" i="3"/>
  <c r="G88" i="3" s="1"/>
  <c r="F87" i="3"/>
  <c r="H87" i="3" s="1"/>
  <c r="E87" i="3"/>
  <c r="G87" i="3" s="1"/>
  <c r="F86" i="3"/>
  <c r="H86" i="3" s="1"/>
  <c r="E86" i="3"/>
  <c r="G86" i="3" s="1"/>
  <c r="F85" i="3"/>
  <c r="H85" i="3" s="1"/>
  <c r="E85" i="3"/>
  <c r="G85" i="3" s="1"/>
  <c r="F84" i="3"/>
  <c r="H84" i="3" s="1"/>
  <c r="E84" i="3"/>
  <c r="G84" i="3" s="1"/>
  <c r="F83" i="3"/>
  <c r="H83" i="3" s="1"/>
  <c r="E83" i="3"/>
  <c r="G83" i="3" s="1"/>
  <c r="F82" i="3"/>
  <c r="H82" i="3" s="1"/>
  <c r="E82" i="3"/>
  <c r="G82" i="3" s="1"/>
  <c r="F81" i="3"/>
  <c r="H81" i="3" s="1"/>
  <c r="E81" i="3"/>
  <c r="G81" i="3" s="1"/>
  <c r="F80" i="3"/>
  <c r="H80" i="3" s="1"/>
  <c r="E80" i="3"/>
  <c r="G80" i="3" s="1"/>
  <c r="F79" i="3"/>
  <c r="H79" i="3" s="1"/>
  <c r="E79" i="3"/>
  <c r="G79" i="3" s="1"/>
  <c r="F78" i="3"/>
  <c r="H78" i="3" s="1"/>
  <c r="E78" i="3"/>
  <c r="G78" i="3" s="1"/>
  <c r="F77" i="3"/>
  <c r="H77" i="3" s="1"/>
  <c r="E77" i="3"/>
  <c r="G77" i="3" s="1"/>
  <c r="F76" i="3"/>
  <c r="H76" i="3" s="1"/>
  <c r="E76" i="3"/>
  <c r="G76" i="3" s="1"/>
  <c r="F75" i="3"/>
  <c r="H75" i="3" s="1"/>
  <c r="E75" i="3"/>
  <c r="G75" i="3" s="1"/>
  <c r="F74" i="3"/>
  <c r="H74" i="3" s="1"/>
  <c r="E74" i="3"/>
  <c r="G74" i="3" s="1"/>
  <c r="F73" i="3"/>
  <c r="H73" i="3" s="1"/>
  <c r="E73" i="3"/>
  <c r="G73" i="3" s="1"/>
  <c r="F72" i="3"/>
  <c r="H72" i="3" s="1"/>
  <c r="E72" i="3"/>
  <c r="G72" i="3" s="1"/>
  <c r="F71" i="3"/>
  <c r="H71" i="3" s="1"/>
  <c r="E71" i="3"/>
  <c r="G71" i="3" s="1"/>
  <c r="F70" i="3"/>
  <c r="H70" i="3" s="1"/>
  <c r="E70" i="3"/>
  <c r="G70" i="3" s="1"/>
  <c r="F69" i="3"/>
  <c r="H69" i="3" s="1"/>
  <c r="E69" i="3"/>
  <c r="G69" i="3" s="1"/>
  <c r="F68" i="3"/>
  <c r="H68" i="3" s="1"/>
  <c r="E68" i="3"/>
  <c r="G68" i="3" s="1"/>
  <c r="F67" i="3"/>
  <c r="H67" i="3" s="1"/>
  <c r="E67" i="3"/>
  <c r="G67" i="3" s="1"/>
  <c r="F66" i="3"/>
  <c r="H66" i="3" s="1"/>
  <c r="E66" i="3"/>
  <c r="G66" i="3" s="1"/>
  <c r="F65" i="3"/>
  <c r="H65" i="3" s="1"/>
  <c r="E65" i="3"/>
  <c r="G65" i="3" s="1"/>
  <c r="F64" i="3"/>
  <c r="H64" i="3" s="1"/>
  <c r="E64" i="3"/>
  <c r="G64" i="3" s="1"/>
  <c r="F63" i="3"/>
  <c r="H63" i="3" s="1"/>
  <c r="E63" i="3"/>
  <c r="G63" i="3" s="1"/>
  <c r="F62" i="3"/>
  <c r="H62" i="3" s="1"/>
  <c r="E62" i="3"/>
  <c r="G62" i="3" s="1"/>
  <c r="F61" i="3"/>
  <c r="H61" i="3" s="1"/>
  <c r="E61" i="3"/>
  <c r="G61" i="3" s="1"/>
  <c r="F60" i="3"/>
  <c r="H60" i="3" s="1"/>
  <c r="E60" i="3"/>
  <c r="G60" i="3" s="1"/>
  <c r="F59" i="3"/>
  <c r="H59" i="3" s="1"/>
  <c r="E59" i="3"/>
  <c r="G59" i="3" s="1"/>
  <c r="F58" i="3"/>
  <c r="H58" i="3" s="1"/>
  <c r="E58" i="3"/>
  <c r="G58" i="3" s="1"/>
  <c r="F57" i="3"/>
  <c r="H57" i="3" s="1"/>
  <c r="E57" i="3"/>
  <c r="G57" i="3" s="1"/>
  <c r="F56" i="3"/>
  <c r="H56" i="3" s="1"/>
  <c r="E56" i="3"/>
  <c r="G56" i="3" s="1"/>
  <c r="F55" i="3"/>
  <c r="H55" i="3" s="1"/>
  <c r="E55" i="3"/>
  <c r="G55" i="3" s="1"/>
  <c r="F54" i="3"/>
  <c r="H54" i="3" s="1"/>
  <c r="E54" i="3"/>
  <c r="G54" i="3" s="1"/>
  <c r="F53" i="3"/>
  <c r="H53" i="3" s="1"/>
  <c r="E53" i="3"/>
  <c r="G53" i="3" s="1"/>
  <c r="F52" i="3"/>
  <c r="H52" i="3" s="1"/>
  <c r="E52" i="3"/>
  <c r="G52" i="3" s="1"/>
  <c r="F51" i="3"/>
  <c r="H51" i="3" s="1"/>
  <c r="E51" i="3"/>
  <c r="G51" i="3" s="1"/>
  <c r="F50" i="3"/>
  <c r="H50" i="3" s="1"/>
  <c r="E50" i="3"/>
  <c r="G50" i="3" s="1"/>
  <c r="F49" i="3"/>
  <c r="H49" i="3" s="1"/>
  <c r="E49" i="3"/>
  <c r="G49" i="3" s="1"/>
  <c r="F48" i="3"/>
  <c r="H48" i="3" s="1"/>
  <c r="E48" i="3"/>
  <c r="G48" i="3" s="1"/>
  <c r="F47" i="3"/>
  <c r="H47" i="3" s="1"/>
  <c r="E47" i="3"/>
  <c r="G47" i="3" s="1"/>
  <c r="F46" i="3"/>
  <c r="H46" i="3" s="1"/>
  <c r="E46" i="3"/>
  <c r="G46" i="3" s="1"/>
  <c r="F45" i="3"/>
  <c r="H45" i="3" s="1"/>
  <c r="E45" i="3"/>
  <c r="G45" i="3" s="1"/>
  <c r="F44" i="3"/>
  <c r="H44" i="3" s="1"/>
  <c r="E44" i="3"/>
  <c r="G44" i="3" s="1"/>
  <c r="F43" i="3"/>
  <c r="H43" i="3" s="1"/>
  <c r="E43" i="3"/>
  <c r="G43" i="3" s="1"/>
  <c r="F42" i="3"/>
  <c r="H42" i="3" s="1"/>
  <c r="E42" i="3"/>
  <c r="G42" i="3" s="1"/>
  <c r="F41" i="3"/>
  <c r="H41" i="3" s="1"/>
  <c r="E41" i="3"/>
  <c r="G41" i="3" s="1"/>
  <c r="F40" i="3"/>
  <c r="H40" i="3" s="1"/>
  <c r="E40" i="3"/>
  <c r="G40" i="3" s="1"/>
  <c r="F39" i="3"/>
  <c r="H39" i="3" s="1"/>
  <c r="E39" i="3"/>
  <c r="G39" i="3" s="1"/>
  <c r="F38" i="3"/>
  <c r="H38" i="3" s="1"/>
  <c r="E38" i="3"/>
  <c r="G38" i="3" s="1"/>
  <c r="F37" i="3"/>
  <c r="H37" i="3" s="1"/>
  <c r="E37" i="3"/>
  <c r="G37" i="3" s="1"/>
  <c r="F36" i="3"/>
  <c r="H36" i="3" s="1"/>
  <c r="E36" i="3"/>
  <c r="G36" i="3" s="1"/>
  <c r="F35" i="3"/>
  <c r="H35" i="3" s="1"/>
  <c r="E35" i="3"/>
  <c r="G35" i="3" s="1"/>
  <c r="F34" i="3"/>
  <c r="H34" i="3" s="1"/>
  <c r="E34" i="3"/>
  <c r="G34" i="3" s="1"/>
  <c r="F33" i="3"/>
  <c r="H33" i="3" s="1"/>
  <c r="E33" i="3"/>
  <c r="G33" i="3" s="1"/>
  <c r="F32" i="3"/>
  <c r="H32" i="3" s="1"/>
  <c r="E32" i="3"/>
  <c r="G32" i="3" s="1"/>
  <c r="F31" i="3"/>
  <c r="H31" i="3" s="1"/>
  <c r="E31" i="3"/>
  <c r="G31" i="3" s="1"/>
  <c r="F30" i="3"/>
  <c r="H30" i="3" s="1"/>
  <c r="E30" i="3"/>
  <c r="G30" i="3" s="1"/>
  <c r="F29" i="3"/>
  <c r="H29" i="3" s="1"/>
  <c r="E29" i="3"/>
  <c r="G29" i="3" s="1"/>
  <c r="F28" i="3"/>
  <c r="H28" i="3" s="1"/>
  <c r="E28" i="3"/>
  <c r="G28" i="3" s="1"/>
  <c r="F27" i="3"/>
  <c r="H27" i="3" s="1"/>
  <c r="E27" i="3"/>
  <c r="G27" i="3" s="1"/>
  <c r="F26" i="3"/>
  <c r="H26" i="3" s="1"/>
  <c r="E26" i="3"/>
  <c r="G26" i="3" s="1"/>
  <c r="F25" i="3"/>
  <c r="H25" i="3" s="1"/>
  <c r="E25" i="3"/>
  <c r="G25" i="3" s="1"/>
  <c r="F24" i="3"/>
  <c r="H24" i="3" s="1"/>
  <c r="E24" i="3"/>
  <c r="G24" i="3" s="1"/>
  <c r="F23" i="3"/>
  <c r="H23" i="3" s="1"/>
  <c r="E23" i="3"/>
  <c r="G23" i="3" s="1"/>
  <c r="F22" i="3"/>
  <c r="H22" i="3" s="1"/>
  <c r="E22" i="3"/>
  <c r="G22" i="3" s="1"/>
  <c r="F21" i="3"/>
  <c r="H21" i="3" s="1"/>
  <c r="E21" i="3"/>
  <c r="G21" i="3" s="1"/>
  <c r="F20" i="3"/>
  <c r="H20" i="3" s="1"/>
  <c r="E20" i="3"/>
  <c r="G20" i="3" s="1"/>
  <c r="F19" i="3"/>
  <c r="H19" i="3" s="1"/>
  <c r="E19" i="3"/>
  <c r="G19" i="3" s="1"/>
  <c r="F18" i="3"/>
  <c r="H18" i="3" s="1"/>
  <c r="E18" i="3"/>
  <c r="G18" i="3" s="1"/>
  <c r="F17" i="3"/>
  <c r="H17" i="3" s="1"/>
  <c r="E17" i="3"/>
  <c r="G17" i="3" s="1"/>
  <c r="F16" i="3"/>
  <c r="H16" i="3" s="1"/>
  <c r="E16" i="3"/>
  <c r="G16" i="3" s="1"/>
  <c r="F15" i="3"/>
  <c r="H15" i="3" s="1"/>
  <c r="E15" i="3"/>
  <c r="G15" i="3" s="1"/>
  <c r="F14" i="3"/>
  <c r="H14" i="3" s="1"/>
  <c r="E14" i="3"/>
  <c r="G14" i="3" s="1"/>
  <c r="F13" i="3"/>
  <c r="H13" i="3" s="1"/>
  <c r="E13" i="3"/>
  <c r="G13" i="3" s="1"/>
  <c r="F12" i="3"/>
  <c r="H12" i="3" s="1"/>
  <c r="E12" i="3"/>
  <c r="G12" i="3" s="1"/>
  <c r="F11" i="3"/>
  <c r="H11" i="3" s="1"/>
  <c r="E11" i="3"/>
  <c r="G11" i="3" s="1"/>
  <c r="F10" i="3"/>
  <c r="H10" i="3" s="1"/>
  <c r="E10" i="3"/>
  <c r="G10" i="3" s="1"/>
  <c r="F9" i="3"/>
  <c r="H9" i="3" s="1"/>
  <c r="E9" i="3"/>
  <c r="G9" i="3" s="1"/>
  <c r="F8" i="3"/>
  <c r="H8" i="3" s="1"/>
  <c r="E8" i="3"/>
  <c r="G8" i="3" s="1"/>
  <c r="F7" i="3"/>
  <c r="H7" i="3" s="1"/>
  <c r="E7" i="3"/>
  <c r="G7" i="3" s="1"/>
  <c r="F6" i="3"/>
  <c r="H6" i="3" s="1"/>
  <c r="E6" i="3"/>
  <c r="G6" i="3" s="1"/>
  <c r="F4" i="3"/>
  <c r="H4" i="3" s="1"/>
  <c r="E4" i="3"/>
  <c r="G4" i="3" s="1"/>
  <c r="F3" i="3"/>
  <c r="H3" i="3" s="1"/>
  <c r="E3" i="3"/>
  <c r="G3" i="3" s="1"/>
  <c r="F2" i="3"/>
  <c r="H2" i="3" s="1"/>
  <c r="E2" i="3"/>
  <c r="G2" i="3" s="1"/>
  <c r="F5" i="3"/>
  <c r="H5" i="3" s="1"/>
  <c r="E5" i="3"/>
  <c r="G5" i="3" s="1"/>
  <c r="C3" i="3"/>
  <c r="D3" i="3" s="1"/>
  <c r="C4" i="3"/>
  <c r="D4" i="3" s="1"/>
  <c r="C5" i="3"/>
  <c r="D5" i="3" s="1"/>
  <c r="C6" i="3"/>
  <c r="D6" i="3" s="1"/>
  <c r="C7" i="3"/>
  <c r="D7" i="3" s="1"/>
  <c r="C8" i="3"/>
  <c r="D8" i="3" s="1"/>
  <c r="C9" i="3"/>
  <c r="D9" i="3" s="1"/>
  <c r="C10" i="3"/>
  <c r="D10" i="3" s="1"/>
  <c r="C11" i="3"/>
  <c r="D11" i="3" s="1"/>
  <c r="C12" i="3"/>
  <c r="D12" i="3" s="1"/>
  <c r="C13" i="3"/>
  <c r="D13" i="3" s="1"/>
  <c r="C14" i="3"/>
  <c r="D14" i="3" s="1"/>
  <c r="C15" i="3"/>
  <c r="D15" i="3" s="1"/>
  <c r="C16" i="3"/>
  <c r="D16" i="3" s="1"/>
  <c r="C17" i="3"/>
  <c r="D17" i="3" s="1"/>
  <c r="C18" i="3"/>
  <c r="D18" i="3" s="1"/>
  <c r="C19" i="3"/>
  <c r="D19" i="3" s="1"/>
  <c r="C20" i="3"/>
  <c r="D20" i="3" s="1"/>
  <c r="C21" i="3"/>
  <c r="D21" i="3" s="1"/>
  <c r="C22" i="3"/>
  <c r="D22" i="3" s="1"/>
  <c r="C23" i="3"/>
  <c r="D23" i="3" s="1"/>
  <c r="C24" i="3"/>
  <c r="D24" i="3" s="1"/>
  <c r="C25" i="3"/>
  <c r="D25" i="3" s="1"/>
  <c r="C26" i="3"/>
  <c r="D26" i="3" s="1"/>
  <c r="C27" i="3"/>
  <c r="D27" i="3" s="1"/>
  <c r="C28" i="3"/>
  <c r="D28" i="3" s="1"/>
  <c r="C29" i="3"/>
  <c r="D29" i="3" s="1"/>
  <c r="C30" i="3"/>
  <c r="D30" i="3" s="1"/>
  <c r="C31" i="3"/>
  <c r="D31" i="3" s="1"/>
  <c r="C32" i="3"/>
  <c r="D32" i="3" s="1"/>
  <c r="C33" i="3"/>
  <c r="D33" i="3" s="1"/>
  <c r="C34" i="3"/>
  <c r="D34" i="3" s="1"/>
  <c r="C35" i="3"/>
  <c r="D35" i="3" s="1"/>
  <c r="C36" i="3"/>
  <c r="D36" i="3" s="1"/>
  <c r="C37" i="3"/>
  <c r="D37" i="3" s="1"/>
  <c r="C38" i="3"/>
  <c r="D38" i="3" s="1"/>
  <c r="C39" i="3"/>
  <c r="D39" i="3" s="1"/>
  <c r="C40" i="3"/>
  <c r="D40" i="3" s="1"/>
  <c r="C41" i="3"/>
  <c r="D41" i="3" s="1"/>
  <c r="C42" i="3"/>
  <c r="D42" i="3" s="1"/>
  <c r="C43" i="3"/>
  <c r="D43" i="3" s="1"/>
  <c r="C44" i="3"/>
  <c r="D44" i="3" s="1"/>
  <c r="C45" i="3"/>
  <c r="D45" i="3" s="1"/>
  <c r="C46" i="3"/>
  <c r="D46" i="3" s="1"/>
  <c r="C47" i="3"/>
  <c r="D47" i="3" s="1"/>
  <c r="C48" i="3"/>
  <c r="D48" i="3" s="1"/>
  <c r="C49" i="3"/>
  <c r="D49" i="3" s="1"/>
  <c r="C50" i="3"/>
  <c r="D50" i="3" s="1"/>
  <c r="C51" i="3"/>
  <c r="D51" i="3" s="1"/>
  <c r="C52" i="3"/>
  <c r="D52" i="3" s="1"/>
  <c r="C53" i="3"/>
  <c r="D53" i="3" s="1"/>
  <c r="C54" i="3"/>
  <c r="D54" i="3" s="1"/>
  <c r="C55" i="3"/>
  <c r="D55" i="3" s="1"/>
  <c r="C56" i="3"/>
  <c r="D56" i="3" s="1"/>
  <c r="C57" i="3"/>
  <c r="D57" i="3" s="1"/>
  <c r="C58" i="3"/>
  <c r="D58" i="3" s="1"/>
  <c r="C59" i="3"/>
  <c r="D59" i="3" s="1"/>
  <c r="C60" i="3"/>
  <c r="D60" i="3" s="1"/>
  <c r="C78" i="3"/>
  <c r="D78" i="3" s="1"/>
  <c r="C79" i="3"/>
  <c r="D79" i="3" s="1"/>
  <c r="C428" i="3"/>
  <c r="D428" i="3" s="1"/>
  <c r="C429" i="3"/>
  <c r="D429" i="3" s="1"/>
  <c r="C80" i="3"/>
  <c r="D80" i="3" s="1"/>
  <c r="C81" i="3"/>
  <c r="D81" i="3" s="1"/>
  <c r="C82" i="3"/>
  <c r="D82" i="3" s="1"/>
  <c r="C83" i="3"/>
  <c r="D83" i="3" s="1"/>
  <c r="C84" i="3"/>
  <c r="D84" i="3" s="1"/>
  <c r="C85" i="3"/>
  <c r="D85" i="3" s="1"/>
  <c r="C86" i="3"/>
  <c r="D86" i="3" s="1"/>
  <c r="C87" i="3"/>
  <c r="D87" i="3" s="1"/>
  <c r="C88" i="3"/>
  <c r="D88" i="3" s="1"/>
  <c r="C89" i="3"/>
  <c r="D89" i="3" s="1"/>
  <c r="C90" i="3"/>
  <c r="D90" i="3" s="1"/>
  <c r="C91" i="3"/>
  <c r="D91" i="3" s="1"/>
  <c r="C92" i="3"/>
  <c r="D92" i="3" s="1"/>
  <c r="C93" i="3"/>
  <c r="D93" i="3" s="1"/>
  <c r="C94" i="3"/>
  <c r="D94" i="3" s="1"/>
  <c r="C95" i="3"/>
  <c r="D95" i="3" s="1"/>
  <c r="C96" i="3"/>
  <c r="D96" i="3" s="1"/>
  <c r="C97" i="3"/>
  <c r="D97" i="3" s="1"/>
  <c r="C98" i="3"/>
  <c r="D98" i="3" s="1"/>
  <c r="C99" i="3"/>
  <c r="D99" i="3" s="1"/>
  <c r="C100" i="3"/>
  <c r="D100" i="3" s="1"/>
  <c r="C101" i="3"/>
  <c r="D101" i="3" s="1"/>
  <c r="C102" i="3"/>
  <c r="D102" i="3" s="1"/>
  <c r="C103" i="3"/>
  <c r="D103" i="3" s="1"/>
  <c r="C104" i="3"/>
  <c r="D104" i="3" s="1"/>
  <c r="C105" i="3"/>
  <c r="D105" i="3" s="1"/>
  <c r="C106" i="3"/>
  <c r="D106" i="3" s="1"/>
  <c r="C107" i="3"/>
  <c r="D107" i="3" s="1"/>
  <c r="C108" i="3"/>
  <c r="D108" i="3" s="1"/>
  <c r="C109" i="3"/>
  <c r="D109" i="3" s="1"/>
  <c r="C110" i="3"/>
  <c r="D110" i="3" s="1"/>
  <c r="C111" i="3"/>
  <c r="D111" i="3" s="1"/>
  <c r="C112" i="3"/>
  <c r="D112" i="3" s="1"/>
  <c r="C113" i="3"/>
  <c r="D113" i="3" s="1"/>
  <c r="C114" i="3"/>
  <c r="D114" i="3" s="1"/>
  <c r="C115" i="3"/>
  <c r="D115" i="3" s="1"/>
  <c r="C116" i="3"/>
  <c r="D116" i="3" s="1"/>
  <c r="C117" i="3"/>
  <c r="D117" i="3" s="1"/>
  <c r="C118" i="3"/>
  <c r="D118" i="3" s="1"/>
  <c r="C119" i="3"/>
  <c r="D119" i="3" s="1"/>
  <c r="C120" i="3"/>
  <c r="D120" i="3" s="1"/>
  <c r="C121" i="3"/>
  <c r="D121" i="3" s="1"/>
  <c r="C122" i="3"/>
  <c r="D122" i="3" s="1"/>
  <c r="C123" i="3"/>
  <c r="D123" i="3" s="1"/>
  <c r="C124" i="3"/>
  <c r="D124" i="3" s="1"/>
  <c r="C125" i="3"/>
  <c r="D125" i="3" s="1"/>
  <c r="C126" i="3"/>
  <c r="D126" i="3" s="1"/>
  <c r="C127" i="3"/>
  <c r="D127" i="3" s="1"/>
  <c r="C128" i="3"/>
  <c r="D128" i="3" s="1"/>
  <c r="C129" i="3"/>
  <c r="D129" i="3" s="1"/>
  <c r="C130" i="3"/>
  <c r="D130" i="3" s="1"/>
  <c r="C131" i="3"/>
  <c r="D131" i="3" s="1"/>
  <c r="C132" i="3"/>
  <c r="D132" i="3" s="1"/>
  <c r="C133" i="3"/>
  <c r="D133" i="3" s="1"/>
  <c r="C134" i="3"/>
  <c r="D134" i="3" s="1"/>
  <c r="C135" i="3"/>
  <c r="D135" i="3" s="1"/>
  <c r="C136" i="3"/>
  <c r="D136" i="3" s="1"/>
  <c r="C137" i="3"/>
  <c r="D137" i="3" s="1"/>
  <c r="C138" i="3"/>
  <c r="D138" i="3" s="1"/>
  <c r="C139" i="3"/>
  <c r="D139" i="3" s="1"/>
  <c r="C140" i="3"/>
  <c r="D140" i="3" s="1"/>
  <c r="C141" i="3"/>
  <c r="D141" i="3" s="1"/>
  <c r="C142" i="3"/>
  <c r="D142" i="3" s="1"/>
  <c r="C143" i="3"/>
  <c r="D143" i="3" s="1"/>
  <c r="C427" i="3"/>
  <c r="D427" i="3" s="1"/>
  <c r="C61" i="3"/>
  <c r="D61" i="3" s="1"/>
  <c r="C62" i="3"/>
  <c r="D62" i="3" s="1"/>
  <c r="C63" i="3"/>
  <c r="D63" i="3" s="1"/>
  <c r="C64" i="3"/>
  <c r="D64" i="3" s="1"/>
  <c r="C65" i="3"/>
  <c r="D65" i="3" s="1"/>
  <c r="C66" i="3"/>
  <c r="D66" i="3" s="1"/>
  <c r="C67" i="3"/>
  <c r="D67" i="3" s="1"/>
  <c r="C68" i="3"/>
  <c r="D68" i="3" s="1"/>
  <c r="C69" i="3"/>
  <c r="D69" i="3" s="1"/>
  <c r="C70" i="3"/>
  <c r="D70" i="3" s="1"/>
  <c r="C71" i="3"/>
  <c r="D71" i="3" s="1"/>
  <c r="C72" i="3"/>
  <c r="D72" i="3" s="1"/>
  <c r="C73" i="3"/>
  <c r="D73" i="3" s="1"/>
  <c r="C74" i="3"/>
  <c r="D74" i="3" s="1"/>
  <c r="C75" i="3"/>
  <c r="D75" i="3" s="1"/>
  <c r="C76" i="3"/>
  <c r="D76" i="3" s="1"/>
  <c r="C77" i="3"/>
  <c r="D77" i="3" s="1"/>
  <c r="C144" i="3"/>
  <c r="D144" i="3" s="1"/>
  <c r="C145" i="3"/>
  <c r="D145" i="3" s="1"/>
  <c r="C146" i="3"/>
  <c r="D146" i="3" s="1"/>
  <c r="C147" i="3"/>
  <c r="D147" i="3" s="1"/>
  <c r="C148" i="3"/>
  <c r="D148" i="3" s="1"/>
  <c r="C149" i="3"/>
  <c r="D149" i="3" s="1"/>
  <c r="C150" i="3"/>
  <c r="D150" i="3" s="1"/>
  <c r="C151" i="3"/>
  <c r="D151" i="3" s="1"/>
  <c r="C152" i="3"/>
  <c r="D152" i="3" s="1"/>
  <c r="C153" i="3"/>
  <c r="D153" i="3" s="1"/>
  <c r="C154" i="3"/>
  <c r="D154" i="3" s="1"/>
  <c r="C155" i="3"/>
  <c r="D155" i="3" s="1"/>
  <c r="C156" i="3"/>
  <c r="D156" i="3" s="1"/>
  <c r="C157" i="3"/>
  <c r="D157" i="3" s="1"/>
  <c r="C158" i="3"/>
  <c r="D158" i="3" s="1"/>
  <c r="C159" i="3"/>
  <c r="D159" i="3" s="1"/>
  <c r="C160" i="3"/>
  <c r="D160" i="3" s="1"/>
  <c r="C161" i="3"/>
  <c r="D161" i="3" s="1"/>
  <c r="C162" i="3"/>
  <c r="D162" i="3" s="1"/>
  <c r="C163" i="3"/>
  <c r="D163" i="3" s="1"/>
  <c r="C164" i="3"/>
  <c r="D164" i="3" s="1"/>
  <c r="C165" i="3"/>
  <c r="D165" i="3" s="1"/>
  <c r="C166" i="3"/>
  <c r="D166" i="3" s="1"/>
  <c r="C167" i="3"/>
  <c r="D167" i="3" s="1"/>
  <c r="C168" i="3"/>
  <c r="D168" i="3" s="1"/>
  <c r="C169" i="3"/>
  <c r="D169" i="3" s="1"/>
  <c r="C170" i="3"/>
  <c r="D170" i="3" s="1"/>
  <c r="C171" i="3"/>
  <c r="D171" i="3" s="1"/>
  <c r="C183" i="3"/>
  <c r="D183" i="3" s="1"/>
  <c r="C184" i="3"/>
  <c r="D184" i="3" s="1"/>
  <c r="C185" i="3"/>
  <c r="D185" i="3" s="1"/>
  <c r="C187" i="3"/>
  <c r="D187" i="3" s="1"/>
  <c r="C172" i="3"/>
  <c r="D172" i="3" s="1"/>
  <c r="C173" i="3"/>
  <c r="D173" i="3" s="1"/>
  <c r="C174" i="3"/>
  <c r="D174" i="3" s="1"/>
  <c r="C175" i="3"/>
  <c r="D175" i="3" s="1"/>
  <c r="C176" i="3"/>
  <c r="D176" i="3" s="1"/>
  <c r="C177" i="3"/>
  <c r="D177" i="3" s="1"/>
  <c r="C178" i="3"/>
  <c r="D178" i="3" s="1"/>
  <c r="C179" i="3"/>
  <c r="D179" i="3" s="1"/>
  <c r="C180" i="3"/>
  <c r="D180" i="3" s="1"/>
  <c r="C181" i="3"/>
  <c r="D181" i="3" s="1"/>
  <c r="C182" i="3"/>
  <c r="D182" i="3" s="1"/>
  <c r="C186" i="3"/>
  <c r="D186" i="3" s="1"/>
  <c r="C188" i="3"/>
  <c r="D188" i="3" s="1"/>
  <c r="C189" i="3"/>
  <c r="D189" i="3" s="1"/>
  <c r="C190" i="3"/>
  <c r="D190" i="3" s="1"/>
  <c r="C191" i="3"/>
  <c r="D191" i="3" s="1"/>
  <c r="C192" i="3"/>
  <c r="D192" i="3" s="1"/>
  <c r="C193" i="3"/>
  <c r="D193" i="3" s="1"/>
  <c r="C194" i="3"/>
  <c r="D194" i="3" s="1"/>
  <c r="C195" i="3"/>
  <c r="D195" i="3" s="1"/>
  <c r="C196" i="3"/>
  <c r="D196" i="3" s="1"/>
  <c r="C197" i="3"/>
  <c r="D197" i="3" s="1"/>
  <c r="C198" i="3"/>
  <c r="D198" i="3" s="1"/>
  <c r="C199" i="3"/>
  <c r="D199" i="3" s="1"/>
  <c r="C200" i="3"/>
  <c r="D200" i="3" s="1"/>
  <c r="C201" i="3"/>
  <c r="D201" i="3" s="1"/>
  <c r="C202" i="3"/>
  <c r="D202" i="3" s="1"/>
  <c r="C203" i="3"/>
  <c r="D203" i="3" s="1"/>
  <c r="C204" i="3"/>
  <c r="D204" i="3" s="1"/>
  <c r="C205" i="3"/>
  <c r="D205" i="3" s="1"/>
  <c r="C206" i="3"/>
  <c r="D206" i="3" s="1"/>
  <c r="C207" i="3"/>
  <c r="D207" i="3" s="1"/>
  <c r="C208" i="3"/>
  <c r="D208" i="3" s="1"/>
  <c r="C209" i="3"/>
  <c r="D209" i="3" s="1"/>
  <c r="C210" i="3"/>
  <c r="D210" i="3" s="1"/>
  <c r="C211" i="3"/>
  <c r="D211" i="3" s="1"/>
  <c r="C212" i="3"/>
  <c r="D212" i="3" s="1"/>
  <c r="C213" i="3"/>
  <c r="D213" i="3" s="1"/>
  <c r="C214" i="3"/>
  <c r="D214" i="3" s="1"/>
  <c r="C215" i="3"/>
  <c r="D215" i="3" s="1"/>
  <c r="C216" i="3"/>
  <c r="D216" i="3" s="1"/>
  <c r="C217" i="3"/>
  <c r="D217" i="3" s="1"/>
  <c r="C218" i="3"/>
  <c r="D218" i="3" s="1"/>
  <c r="C219" i="3"/>
  <c r="D219" i="3" s="1"/>
  <c r="C220" i="3"/>
  <c r="D220" i="3" s="1"/>
  <c r="C221" i="3"/>
  <c r="D221" i="3" s="1"/>
  <c r="C222" i="3"/>
  <c r="D222" i="3" s="1"/>
  <c r="C223" i="3"/>
  <c r="D223" i="3" s="1"/>
  <c r="C224" i="3"/>
  <c r="D224" i="3" s="1"/>
  <c r="C225" i="3"/>
  <c r="D225" i="3" s="1"/>
  <c r="C226" i="3"/>
  <c r="D226" i="3" s="1"/>
  <c r="C227" i="3"/>
  <c r="D227" i="3" s="1"/>
  <c r="C228" i="3"/>
  <c r="D228" i="3" s="1"/>
  <c r="C229" i="3"/>
  <c r="D229" i="3" s="1"/>
  <c r="C230" i="3"/>
  <c r="D230" i="3" s="1"/>
  <c r="C231" i="3"/>
  <c r="D231" i="3" s="1"/>
  <c r="C232" i="3"/>
  <c r="D232" i="3" s="1"/>
  <c r="C233" i="3"/>
  <c r="D233" i="3" s="1"/>
  <c r="C234" i="3"/>
  <c r="D234" i="3" s="1"/>
  <c r="C235" i="3"/>
  <c r="D235" i="3" s="1"/>
  <c r="C236" i="3"/>
  <c r="D236" i="3" s="1"/>
  <c r="C237" i="3"/>
  <c r="D237" i="3" s="1"/>
  <c r="C238" i="3"/>
  <c r="D238" i="3" s="1"/>
  <c r="C239" i="3"/>
  <c r="D239" i="3" s="1"/>
  <c r="C240" i="3"/>
  <c r="D240" i="3" s="1"/>
  <c r="C241" i="3"/>
  <c r="D241" i="3" s="1"/>
  <c r="C242" i="3"/>
  <c r="D242" i="3" s="1"/>
  <c r="C243" i="3"/>
  <c r="D243" i="3" s="1"/>
  <c r="C244" i="3"/>
  <c r="D244" i="3" s="1"/>
  <c r="C245" i="3"/>
  <c r="D245" i="3" s="1"/>
  <c r="C246" i="3"/>
  <c r="D246" i="3" s="1"/>
  <c r="C247" i="3"/>
  <c r="D247" i="3" s="1"/>
  <c r="C248" i="3"/>
  <c r="D248" i="3" s="1"/>
  <c r="C249" i="3"/>
  <c r="D249" i="3" s="1"/>
  <c r="C250" i="3"/>
  <c r="D250" i="3" s="1"/>
  <c r="C251" i="3"/>
  <c r="D251" i="3" s="1"/>
  <c r="C252" i="3"/>
  <c r="D252" i="3" s="1"/>
  <c r="C253" i="3"/>
  <c r="D253" i="3" s="1"/>
  <c r="C254" i="3"/>
  <c r="D254" i="3" s="1"/>
  <c r="C255" i="3"/>
  <c r="D255" i="3" s="1"/>
  <c r="C256" i="3"/>
  <c r="D256" i="3" s="1"/>
  <c r="C257" i="3"/>
  <c r="D257" i="3" s="1"/>
  <c r="C258" i="3"/>
  <c r="D258" i="3" s="1"/>
  <c r="C259" i="3"/>
  <c r="D259" i="3" s="1"/>
  <c r="C260" i="3"/>
  <c r="D260" i="3" s="1"/>
  <c r="C261" i="3"/>
  <c r="D261" i="3" s="1"/>
  <c r="C262" i="3"/>
  <c r="D262" i="3" s="1"/>
  <c r="C263" i="3"/>
  <c r="D263" i="3" s="1"/>
  <c r="C264" i="3"/>
  <c r="D264" i="3" s="1"/>
  <c r="C265" i="3"/>
  <c r="D265" i="3" s="1"/>
  <c r="C266" i="3"/>
  <c r="D266" i="3" s="1"/>
  <c r="C267" i="3"/>
  <c r="D267" i="3" s="1"/>
  <c r="C268" i="3"/>
  <c r="D268" i="3" s="1"/>
  <c r="C269" i="3"/>
  <c r="D269" i="3" s="1"/>
  <c r="C270" i="3"/>
  <c r="D270" i="3" s="1"/>
  <c r="C271" i="3"/>
  <c r="D271" i="3" s="1"/>
  <c r="C272" i="3"/>
  <c r="D272" i="3" s="1"/>
  <c r="C273" i="3"/>
  <c r="D273" i="3" s="1"/>
  <c r="C274" i="3"/>
  <c r="D274" i="3" s="1"/>
  <c r="C275" i="3"/>
  <c r="D275" i="3" s="1"/>
  <c r="C276" i="3"/>
  <c r="D276" i="3" s="1"/>
  <c r="C277" i="3"/>
  <c r="D277" i="3" s="1"/>
  <c r="C278" i="3"/>
  <c r="D278" i="3" s="1"/>
  <c r="C279" i="3"/>
  <c r="D279" i="3" s="1"/>
  <c r="C280" i="3"/>
  <c r="D280" i="3" s="1"/>
  <c r="C281" i="3"/>
  <c r="D281" i="3" s="1"/>
  <c r="C282" i="3"/>
  <c r="D282" i="3" s="1"/>
  <c r="C283" i="3"/>
  <c r="D283" i="3" s="1"/>
  <c r="C284" i="3"/>
  <c r="D284" i="3" s="1"/>
  <c r="C285" i="3"/>
  <c r="D285" i="3" s="1"/>
  <c r="C286" i="3"/>
  <c r="D286" i="3" s="1"/>
  <c r="C287" i="3"/>
  <c r="D287" i="3" s="1"/>
  <c r="C288" i="3"/>
  <c r="D288" i="3" s="1"/>
  <c r="C289" i="3"/>
  <c r="D289" i="3" s="1"/>
  <c r="C290" i="3"/>
  <c r="D290" i="3" s="1"/>
  <c r="C291" i="3"/>
  <c r="D291" i="3" s="1"/>
  <c r="C292" i="3"/>
  <c r="D292" i="3" s="1"/>
  <c r="C293" i="3"/>
  <c r="D293" i="3" s="1"/>
  <c r="C294" i="3"/>
  <c r="D294" i="3" s="1"/>
  <c r="C295" i="3"/>
  <c r="D295" i="3" s="1"/>
  <c r="C296" i="3"/>
  <c r="D296" i="3" s="1"/>
  <c r="C297" i="3"/>
  <c r="D297" i="3" s="1"/>
  <c r="C298" i="3"/>
  <c r="D298" i="3" s="1"/>
  <c r="C299" i="3"/>
  <c r="D299" i="3" s="1"/>
  <c r="C300" i="3"/>
  <c r="D300" i="3" s="1"/>
  <c r="C301" i="3"/>
  <c r="D301" i="3" s="1"/>
  <c r="C302" i="3"/>
  <c r="D302" i="3" s="1"/>
  <c r="C303" i="3"/>
  <c r="D303" i="3" s="1"/>
  <c r="C304" i="3"/>
  <c r="D304" i="3" s="1"/>
  <c r="C305" i="3"/>
  <c r="D305" i="3" s="1"/>
  <c r="C306" i="3"/>
  <c r="D306" i="3" s="1"/>
  <c r="C307" i="3"/>
  <c r="D307" i="3" s="1"/>
  <c r="C308" i="3"/>
  <c r="D308" i="3" s="1"/>
  <c r="C309" i="3"/>
  <c r="D309" i="3" s="1"/>
  <c r="C310" i="3"/>
  <c r="D310" i="3" s="1"/>
  <c r="C311" i="3"/>
  <c r="D311" i="3" s="1"/>
  <c r="C312" i="3"/>
  <c r="D312" i="3" s="1"/>
  <c r="C313" i="3"/>
  <c r="D313" i="3" s="1"/>
  <c r="C314" i="3"/>
  <c r="D314" i="3" s="1"/>
  <c r="C315" i="3"/>
  <c r="D315" i="3" s="1"/>
  <c r="C316" i="3"/>
  <c r="D316" i="3" s="1"/>
  <c r="C317" i="3"/>
  <c r="D317" i="3" s="1"/>
  <c r="C318" i="3"/>
  <c r="D318" i="3" s="1"/>
  <c r="C319" i="3"/>
  <c r="D319" i="3" s="1"/>
  <c r="C320" i="3"/>
  <c r="D320" i="3" s="1"/>
  <c r="C321" i="3"/>
  <c r="D321" i="3" s="1"/>
  <c r="C322" i="3"/>
  <c r="D322" i="3" s="1"/>
  <c r="C323" i="3"/>
  <c r="D323" i="3" s="1"/>
  <c r="C324" i="3"/>
  <c r="D324" i="3" s="1"/>
  <c r="C325" i="3"/>
  <c r="D325" i="3" s="1"/>
  <c r="C326" i="3"/>
  <c r="D326" i="3" s="1"/>
  <c r="C327" i="3"/>
  <c r="D327" i="3" s="1"/>
  <c r="C328" i="3"/>
  <c r="D328" i="3" s="1"/>
  <c r="C329" i="3"/>
  <c r="D329" i="3" s="1"/>
  <c r="C330" i="3"/>
  <c r="D330" i="3" s="1"/>
  <c r="C331" i="3"/>
  <c r="D331" i="3" s="1"/>
  <c r="C332" i="3"/>
  <c r="D332" i="3" s="1"/>
  <c r="C333" i="3"/>
  <c r="D333" i="3" s="1"/>
  <c r="C334" i="3"/>
  <c r="D334" i="3" s="1"/>
  <c r="C336" i="3"/>
  <c r="D336" i="3" s="1"/>
  <c r="C337" i="3"/>
  <c r="D337" i="3" s="1"/>
  <c r="C338" i="3"/>
  <c r="D338" i="3" s="1"/>
  <c r="C339" i="3"/>
  <c r="D339" i="3" s="1"/>
  <c r="C340" i="3"/>
  <c r="D340" i="3" s="1"/>
  <c r="C341" i="3"/>
  <c r="D341" i="3" s="1"/>
  <c r="C342" i="3"/>
  <c r="D342" i="3" s="1"/>
  <c r="C343" i="3"/>
  <c r="D343" i="3" s="1"/>
  <c r="C344" i="3"/>
  <c r="D344" i="3" s="1"/>
  <c r="C345" i="3"/>
  <c r="D345" i="3" s="1"/>
  <c r="C346" i="3"/>
  <c r="D346" i="3" s="1"/>
  <c r="C347" i="3"/>
  <c r="D347" i="3" s="1"/>
  <c r="C348" i="3"/>
  <c r="D348" i="3" s="1"/>
  <c r="C349" i="3"/>
  <c r="D349" i="3" s="1"/>
  <c r="C350" i="3"/>
  <c r="D350" i="3" s="1"/>
  <c r="C351" i="3"/>
  <c r="D351" i="3" s="1"/>
  <c r="C352" i="3"/>
  <c r="D352" i="3" s="1"/>
  <c r="C353" i="3"/>
  <c r="D353" i="3" s="1"/>
  <c r="C354" i="3"/>
  <c r="D354" i="3" s="1"/>
  <c r="C355" i="3"/>
  <c r="D355" i="3" s="1"/>
  <c r="C356" i="3"/>
  <c r="D356" i="3" s="1"/>
  <c r="C357" i="3"/>
  <c r="D357" i="3" s="1"/>
  <c r="C358" i="3"/>
  <c r="D358" i="3" s="1"/>
  <c r="C359" i="3"/>
  <c r="D359" i="3" s="1"/>
  <c r="C360" i="3"/>
  <c r="D360" i="3" s="1"/>
  <c r="C361" i="3"/>
  <c r="D361" i="3" s="1"/>
  <c r="C362" i="3"/>
  <c r="D362" i="3" s="1"/>
  <c r="C363" i="3"/>
  <c r="D363" i="3" s="1"/>
  <c r="C364" i="3"/>
  <c r="D364" i="3" s="1"/>
  <c r="C365" i="3"/>
  <c r="D365" i="3" s="1"/>
  <c r="C366" i="3"/>
  <c r="D366" i="3" s="1"/>
  <c r="C367" i="3"/>
  <c r="D367" i="3" s="1"/>
  <c r="C368" i="3"/>
  <c r="D368" i="3" s="1"/>
  <c r="C369" i="3"/>
  <c r="D369" i="3" s="1"/>
  <c r="C370" i="3"/>
  <c r="D370" i="3" s="1"/>
  <c r="C371" i="3"/>
  <c r="D371" i="3" s="1"/>
  <c r="C372" i="3"/>
  <c r="D372" i="3" s="1"/>
  <c r="C373" i="3"/>
  <c r="D373" i="3" s="1"/>
  <c r="C374" i="3"/>
  <c r="D374" i="3" s="1"/>
  <c r="C375" i="3"/>
  <c r="D375" i="3" s="1"/>
  <c r="C376" i="3"/>
  <c r="D376" i="3" s="1"/>
  <c r="C377" i="3"/>
  <c r="D377" i="3" s="1"/>
  <c r="C378" i="3"/>
  <c r="D378" i="3" s="1"/>
  <c r="C379" i="3"/>
  <c r="D379" i="3" s="1"/>
  <c r="C380" i="3"/>
  <c r="D380" i="3" s="1"/>
  <c r="C381" i="3"/>
  <c r="D381" i="3" s="1"/>
  <c r="C382" i="3"/>
  <c r="D382" i="3" s="1"/>
  <c r="C383" i="3"/>
  <c r="D383" i="3" s="1"/>
  <c r="C384" i="3"/>
  <c r="D384" i="3" s="1"/>
  <c r="C385" i="3"/>
  <c r="D385" i="3" s="1"/>
  <c r="C386" i="3"/>
  <c r="D386" i="3" s="1"/>
  <c r="C387" i="3"/>
  <c r="D387" i="3" s="1"/>
  <c r="C388" i="3"/>
  <c r="D388" i="3" s="1"/>
  <c r="C389" i="3"/>
  <c r="D389" i="3" s="1"/>
  <c r="C390" i="3"/>
  <c r="D390" i="3" s="1"/>
  <c r="C391" i="3"/>
  <c r="D391" i="3" s="1"/>
  <c r="C392" i="3"/>
  <c r="D392" i="3" s="1"/>
  <c r="C393" i="3"/>
  <c r="D393" i="3" s="1"/>
  <c r="C394" i="3"/>
  <c r="D394" i="3" s="1"/>
  <c r="C395" i="3"/>
  <c r="D395" i="3" s="1"/>
  <c r="C396" i="3"/>
  <c r="D396" i="3" s="1"/>
  <c r="C397" i="3"/>
  <c r="D397" i="3" s="1"/>
  <c r="C398" i="3"/>
  <c r="D398" i="3" s="1"/>
  <c r="C399" i="3"/>
  <c r="D399" i="3" s="1"/>
  <c r="C400" i="3"/>
  <c r="D400" i="3" s="1"/>
  <c r="C401" i="3"/>
  <c r="D401" i="3" s="1"/>
  <c r="C402" i="3"/>
  <c r="D402" i="3" s="1"/>
  <c r="C403" i="3"/>
  <c r="D403" i="3" s="1"/>
  <c r="C404" i="3"/>
  <c r="D404" i="3" s="1"/>
  <c r="C405" i="3"/>
  <c r="D405" i="3" s="1"/>
  <c r="C406" i="3"/>
  <c r="D406" i="3" s="1"/>
  <c r="C407" i="3"/>
  <c r="D407" i="3" s="1"/>
  <c r="C408" i="3"/>
  <c r="D408" i="3" s="1"/>
  <c r="C409" i="3"/>
  <c r="D409" i="3" s="1"/>
  <c r="C411" i="3"/>
  <c r="D411" i="3" s="1"/>
  <c r="C412" i="3"/>
  <c r="D412" i="3" s="1"/>
  <c r="C413" i="3"/>
  <c r="D413" i="3" s="1"/>
  <c r="C414" i="3"/>
  <c r="D414" i="3" s="1"/>
  <c r="C415" i="3"/>
  <c r="D415" i="3" s="1"/>
  <c r="C416" i="3"/>
  <c r="D416" i="3" s="1"/>
  <c r="C417" i="3"/>
  <c r="D417" i="3" s="1"/>
  <c r="C418" i="3"/>
  <c r="D418" i="3" s="1"/>
  <c r="C419" i="3"/>
  <c r="D419" i="3" s="1"/>
  <c r="C420" i="3"/>
  <c r="D420" i="3" s="1"/>
  <c r="C421" i="3"/>
  <c r="D421" i="3" s="1"/>
  <c r="C422" i="3"/>
  <c r="D422" i="3" s="1"/>
  <c r="C410" i="3"/>
  <c r="D410" i="3" s="1"/>
  <c r="C423" i="3"/>
  <c r="D423" i="3" s="1"/>
  <c r="C425" i="3"/>
  <c r="D425" i="3" s="1"/>
  <c r="C426" i="3"/>
  <c r="D426" i="3" s="1"/>
  <c r="C424" i="3"/>
  <c r="D424" i="3" s="1"/>
  <c r="I3" i="1" l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2" i="1"/>
  <c r="I124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23" i="1"/>
  <c r="I150" i="1"/>
  <c r="I151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6" i="1"/>
  <c r="I347" i="1"/>
  <c r="I348" i="1"/>
  <c r="I349" i="1"/>
  <c r="I350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7" i="1"/>
  <c r="I398" i="1"/>
  <c r="I399" i="1"/>
  <c r="I400" i="1"/>
  <c r="I401" i="1"/>
  <c r="I402" i="1"/>
  <c r="I404" i="1"/>
  <c r="I405" i="1"/>
  <c r="I408" i="1"/>
  <c r="I415" i="1"/>
  <c r="I416" i="1"/>
  <c r="I2" i="1"/>
  <c r="L383" i="1" l="1"/>
  <c r="L301" i="1"/>
  <c r="L261" i="1"/>
  <c r="L262" i="1"/>
  <c r="L189" i="1"/>
  <c r="L166" i="1"/>
  <c r="L167" i="1"/>
  <c r="L168" i="1"/>
  <c r="L169" i="1"/>
  <c r="L170" i="1"/>
  <c r="L148" i="1"/>
  <c r="L120" i="1"/>
  <c r="L117" i="1"/>
  <c r="L118" i="1"/>
  <c r="L119" i="1"/>
  <c r="L122" i="1"/>
  <c r="L88" i="1"/>
  <c r="L89" i="1"/>
  <c r="L90" i="1"/>
  <c r="C2" i="3"/>
  <c r="D2" i="3" s="1"/>
  <c r="A383" i="4"/>
  <c r="C383" i="4" s="1"/>
  <c r="B383" i="4"/>
  <c r="A384" i="4"/>
  <c r="C384" i="4" s="1"/>
  <c r="B384" i="4"/>
  <c r="A385" i="4"/>
  <c r="B385" i="4"/>
  <c r="A386" i="4"/>
  <c r="C386" i="4" s="1"/>
  <c r="B386" i="4"/>
  <c r="A387" i="4"/>
  <c r="C387" i="4" s="1"/>
  <c r="B387" i="4"/>
  <c r="A388" i="4"/>
  <c r="C388" i="4" s="1"/>
  <c r="B388" i="4"/>
  <c r="A389" i="4"/>
  <c r="C389" i="4" s="1"/>
  <c r="B389" i="4"/>
  <c r="A390" i="4"/>
  <c r="C390" i="4" s="1"/>
  <c r="B390" i="4"/>
  <c r="A391" i="4"/>
  <c r="C391" i="4" s="1"/>
  <c r="B391" i="4"/>
  <c r="A392" i="4"/>
  <c r="C392" i="4" s="1"/>
  <c r="B392" i="4"/>
  <c r="A393" i="4"/>
  <c r="C393" i="4" s="1"/>
  <c r="B393" i="4"/>
  <c r="A394" i="4"/>
  <c r="C394" i="4" s="1"/>
  <c r="B394" i="4"/>
  <c r="A395" i="4"/>
  <c r="C395" i="4" s="1"/>
  <c r="B395" i="4"/>
  <c r="A396" i="4"/>
  <c r="C396" i="4" s="1"/>
  <c r="B396" i="4"/>
  <c r="A397" i="4"/>
  <c r="C397" i="4" s="1"/>
  <c r="B397" i="4"/>
  <c r="A398" i="4"/>
  <c r="C398" i="4" s="1"/>
  <c r="B398" i="4"/>
  <c r="A399" i="4"/>
  <c r="B399" i="4"/>
  <c r="A400" i="4"/>
  <c r="C400" i="4" s="1"/>
  <c r="B400" i="4"/>
  <c r="A401" i="4"/>
  <c r="C401" i="4" s="1"/>
  <c r="B401" i="4"/>
  <c r="A402" i="4"/>
  <c r="B402" i="4"/>
  <c r="A403" i="4"/>
  <c r="B403" i="4"/>
  <c r="A372" i="4"/>
  <c r="C372" i="4" s="1"/>
  <c r="B372" i="4"/>
  <c r="A373" i="4"/>
  <c r="C373" i="4" s="1"/>
  <c r="B373" i="4"/>
  <c r="A374" i="4"/>
  <c r="C374" i="4" s="1"/>
  <c r="B374" i="4"/>
  <c r="A375" i="4"/>
  <c r="C375" i="4" s="1"/>
  <c r="B375" i="4"/>
  <c r="A376" i="4"/>
  <c r="C376" i="4" s="1"/>
  <c r="B376" i="4"/>
  <c r="A377" i="4"/>
  <c r="B377" i="4"/>
  <c r="A378" i="4"/>
  <c r="C378" i="4" s="1"/>
  <c r="B378" i="4"/>
  <c r="A379" i="4"/>
  <c r="C379" i="4" s="1"/>
  <c r="B379" i="4"/>
  <c r="A380" i="4"/>
  <c r="C380" i="4" s="1"/>
  <c r="B380" i="4"/>
  <c r="A381" i="4"/>
  <c r="C381" i="4" s="1"/>
  <c r="B381" i="4"/>
  <c r="A382" i="4"/>
  <c r="C382" i="4" s="1"/>
  <c r="B382" i="4"/>
  <c r="C385" i="4"/>
  <c r="L393" i="1"/>
  <c r="A348" i="4"/>
  <c r="C348" i="4" s="1"/>
  <c r="B348" i="4"/>
  <c r="A349" i="4"/>
  <c r="C349" i="4" s="1"/>
  <c r="B349" i="4"/>
  <c r="A350" i="4"/>
  <c r="C350" i="4" s="1"/>
  <c r="B350" i="4"/>
  <c r="A351" i="4"/>
  <c r="C351" i="4" s="1"/>
  <c r="B351" i="4"/>
  <c r="A352" i="4"/>
  <c r="C352" i="4" s="1"/>
  <c r="B352" i="4"/>
  <c r="A353" i="4"/>
  <c r="C353" i="4" s="1"/>
  <c r="B353" i="4"/>
  <c r="A354" i="4"/>
  <c r="C354" i="4" s="1"/>
  <c r="B354" i="4"/>
  <c r="A355" i="4"/>
  <c r="C355" i="4" s="1"/>
  <c r="B355" i="4"/>
  <c r="A356" i="4"/>
  <c r="C356" i="4" s="1"/>
  <c r="B356" i="4"/>
  <c r="A357" i="4"/>
  <c r="C357" i="4" s="1"/>
  <c r="B357" i="4"/>
  <c r="A358" i="4"/>
  <c r="C358" i="4" s="1"/>
  <c r="B358" i="4"/>
  <c r="A359" i="4"/>
  <c r="C359" i="4" s="1"/>
  <c r="B359" i="4"/>
  <c r="A360" i="4"/>
  <c r="C360" i="4" s="1"/>
  <c r="B360" i="4"/>
  <c r="A361" i="4"/>
  <c r="C361" i="4" s="1"/>
  <c r="B361" i="4"/>
  <c r="A362" i="4"/>
  <c r="C362" i="4" s="1"/>
  <c r="B362" i="4"/>
  <c r="A363" i="4"/>
  <c r="C363" i="4" s="1"/>
  <c r="B363" i="4"/>
  <c r="A364" i="4"/>
  <c r="C364" i="4" s="1"/>
  <c r="B364" i="4"/>
  <c r="A365" i="4"/>
  <c r="C365" i="4" s="1"/>
  <c r="B365" i="4"/>
  <c r="A366" i="4"/>
  <c r="C366" i="4" s="1"/>
  <c r="B366" i="4"/>
  <c r="A367" i="4"/>
  <c r="C367" i="4" s="1"/>
  <c r="B367" i="4"/>
  <c r="A368" i="4"/>
  <c r="C368" i="4" s="1"/>
  <c r="B368" i="4"/>
  <c r="A369" i="4"/>
  <c r="C369" i="4" s="1"/>
  <c r="B369" i="4"/>
  <c r="A370" i="4"/>
  <c r="C370" i="4" s="1"/>
  <c r="B370" i="4"/>
  <c r="A371" i="4"/>
  <c r="C371" i="4" s="1"/>
  <c r="B371" i="4"/>
  <c r="A315" i="4"/>
  <c r="C315" i="4" s="1"/>
  <c r="B315" i="4"/>
  <c r="A316" i="4"/>
  <c r="C316" i="4" s="1"/>
  <c r="B316" i="4"/>
  <c r="A317" i="4"/>
  <c r="C317" i="4" s="1"/>
  <c r="B317" i="4"/>
  <c r="A318" i="4"/>
  <c r="C318" i="4" s="1"/>
  <c r="B318" i="4"/>
  <c r="A319" i="4"/>
  <c r="B319" i="4"/>
  <c r="A320" i="4"/>
  <c r="C320" i="4" s="1"/>
  <c r="B320" i="4"/>
  <c r="A321" i="4"/>
  <c r="C321" i="4" s="1"/>
  <c r="B321" i="4"/>
  <c r="A322" i="4"/>
  <c r="C322" i="4" s="1"/>
  <c r="B322" i="4"/>
  <c r="A323" i="4"/>
  <c r="C323" i="4" s="1"/>
  <c r="B323" i="4"/>
  <c r="A324" i="4"/>
  <c r="C324" i="4" s="1"/>
  <c r="B324" i="4"/>
  <c r="A325" i="4"/>
  <c r="C325" i="4" s="1"/>
  <c r="B325" i="4"/>
  <c r="A326" i="4"/>
  <c r="C326" i="4" s="1"/>
  <c r="B326" i="4"/>
  <c r="A327" i="4"/>
  <c r="B327" i="4"/>
  <c r="A328" i="4"/>
  <c r="C328" i="4" s="1"/>
  <c r="B328" i="4"/>
  <c r="A329" i="4"/>
  <c r="C329" i="4" s="1"/>
  <c r="B329" i="4"/>
  <c r="A330" i="4"/>
  <c r="C330" i="4" s="1"/>
  <c r="B330" i="4"/>
  <c r="A331" i="4"/>
  <c r="C331" i="4" s="1"/>
  <c r="B331" i="4"/>
  <c r="A332" i="4"/>
  <c r="C332" i="4" s="1"/>
  <c r="B332" i="4"/>
  <c r="A333" i="4"/>
  <c r="C333" i="4" s="1"/>
  <c r="B333" i="4"/>
  <c r="A334" i="4"/>
  <c r="C334" i="4" s="1"/>
  <c r="B334" i="4"/>
  <c r="A335" i="4"/>
  <c r="C335" i="4" s="1"/>
  <c r="B335" i="4"/>
  <c r="A336" i="4"/>
  <c r="C336" i="4" s="1"/>
  <c r="B336" i="4"/>
  <c r="A337" i="4"/>
  <c r="C337" i="4" s="1"/>
  <c r="B337" i="4"/>
  <c r="A338" i="4"/>
  <c r="C338" i="4" s="1"/>
  <c r="B338" i="4"/>
  <c r="A339" i="4"/>
  <c r="C339" i="4" s="1"/>
  <c r="B339" i="4"/>
  <c r="A340" i="4"/>
  <c r="C340" i="4" s="1"/>
  <c r="B340" i="4"/>
  <c r="A341" i="4"/>
  <c r="C341" i="4" s="1"/>
  <c r="B341" i="4"/>
  <c r="A342" i="4"/>
  <c r="C342" i="4" s="1"/>
  <c r="B342" i="4"/>
  <c r="A343" i="4"/>
  <c r="C343" i="4" s="1"/>
  <c r="B343" i="4"/>
  <c r="A344" i="4"/>
  <c r="C344" i="4" s="1"/>
  <c r="B344" i="4"/>
  <c r="A345" i="4"/>
  <c r="C345" i="4" s="1"/>
  <c r="B345" i="4"/>
  <c r="A346" i="4"/>
  <c r="C346" i="4" s="1"/>
  <c r="B346" i="4"/>
  <c r="A347" i="4"/>
  <c r="C347" i="4" s="1"/>
  <c r="B347" i="4"/>
  <c r="A311" i="4"/>
  <c r="C311" i="4" s="1"/>
  <c r="B311" i="4"/>
  <c r="A312" i="4"/>
  <c r="C312" i="4" s="1"/>
  <c r="B312" i="4"/>
  <c r="A313" i="4"/>
  <c r="C313" i="4" s="1"/>
  <c r="B313" i="4"/>
  <c r="A314" i="4"/>
  <c r="C314" i="4" s="1"/>
  <c r="B314" i="4"/>
  <c r="A294" i="4"/>
  <c r="C294" i="4" s="1"/>
  <c r="B294" i="4"/>
  <c r="A295" i="4"/>
  <c r="C295" i="4" s="1"/>
  <c r="B295" i="4"/>
  <c r="A296" i="4"/>
  <c r="C296" i="4" s="1"/>
  <c r="B296" i="4"/>
  <c r="A297" i="4"/>
  <c r="C297" i="4" s="1"/>
  <c r="B297" i="4"/>
  <c r="A298" i="4"/>
  <c r="C298" i="4" s="1"/>
  <c r="B298" i="4"/>
  <c r="A299" i="4"/>
  <c r="C299" i="4" s="1"/>
  <c r="B299" i="4"/>
  <c r="A300" i="4"/>
  <c r="C300" i="4" s="1"/>
  <c r="B300" i="4"/>
  <c r="A301" i="4"/>
  <c r="C301" i="4" s="1"/>
  <c r="A302" i="4"/>
  <c r="C302" i="4" s="1"/>
  <c r="B302" i="4"/>
  <c r="A303" i="4"/>
  <c r="C303" i="4" s="1"/>
  <c r="B303" i="4"/>
  <c r="A304" i="4"/>
  <c r="C304" i="4" s="1"/>
  <c r="B304" i="4"/>
  <c r="A305" i="4"/>
  <c r="C305" i="4" s="1"/>
  <c r="B305" i="4"/>
  <c r="A306" i="4"/>
  <c r="C306" i="4" s="1"/>
  <c r="B306" i="4"/>
  <c r="A307" i="4"/>
  <c r="C307" i="4" s="1"/>
  <c r="B307" i="4"/>
  <c r="A308" i="4"/>
  <c r="C308" i="4" s="1"/>
  <c r="B308" i="4"/>
  <c r="A309" i="4"/>
  <c r="C309" i="4" s="1"/>
  <c r="B309" i="4"/>
  <c r="A310" i="4"/>
  <c r="C310" i="4" s="1"/>
  <c r="B310" i="4"/>
  <c r="A283" i="4"/>
  <c r="C283" i="4" s="1"/>
  <c r="B283" i="4"/>
  <c r="A284" i="4"/>
  <c r="C284" i="4" s="1"/>
  <c r="B284" i="4"/>
  <c r="A285" i="4"/>
  <c r="C285" i="4" s="1"/>
  <c r="B285" i="4"/>
  <c r="A286" i="4"/>
  <c r="C286" i="4" s="1"/>
  <c r="B286" i="4"/>
  <c r="A287" i="4"/>
  <c r="C287" i="4" s="1"/>
  <c r="B287" i="4"/>
  <c r="A288" i="4"/>
  <c r="C288" i="4" s="1"/>
  <c r="B288" i="4"/>
  <c r="A289" i="4"/>
  <c r="C289" i="4" s="1"/>
  <c r="B289" i="4"/>
  <c r="A290" i="4"/>
  <c r="C290" i="4" s="1"/>
  <c r="B290" i="4"/>
  <c r="A291" i="4"/>
  <c r="C291" i="4" s="1"/>
  <c r="B291" i="4"/>
  <c r="A292" i="4"/>
  <c r="C292" i="4" s="1"/>
  <c r="B292" i="4"/>
  <c r="A293" i="4"/>
  <c r="C293" i="4" s="1"/>
  <c r="B293" i="4"/>
  <c r="A268" i="4"/>
  <c r="C268" i="4" s="1"/>
  <c r="B268" i="4"/>
  <c r="A269" i="4"/>
  <c r="C269" i="4" s="1"/>
  <c r="B269" i="4"/>
  <c r="A270" i="4"/>
  <c r="C270" i="4" s="1"/>
  <c r="B270" i="4"/>
  <c r="A271" i="4"/>
  <c r="C271" i="4" s="1"/>
  <c r="B271" i="4"/>
  <c r="A272" i="4"/>
  <c r="C272" i="4" s="1"/>
  <c r="B272" i="4"/>
  <c r="A273" i="4"/>
  <c r="C273" i="4" s="1"/>
  <c r="B273" i="4"/>
  <c r="A274" i="4"/>
  <c r="C274" i="4" s="1"/>
  <c r="B274" i="4"/>
  <c r="A275" i="4"/>
  <c r="C275" i="4" s="1"/>
  <c r="B275" i="4"/>
  <c r="A276" i="4"/>
  <c r="C276" i="4" s="1"/>
  <c r="B276" i="4"/>
  <c r="A277" i="4"/>
  <c r="C277" i="4" s="1"/>
  <c r="B277" i="4"/>
  <c r="A278" i="4"/>
  <c r="C278" i="4" s="1"/>
  <c r="B278" i="4"/>
  <c r="A279" i="4"/>
  <c r="C279" i="4" s="1"/>
  <c r="B279" i="4"/>
  <c r="A280" i="4"/>
  <c r="C280" i="4" s="1"/>
  <c r="B280" i="4"/>
  <c r="A281" i="4"/>
  <c r="C281" i="4" s="1"/>
  <c r="B281" i="4"/>
  <c r="A282" i="4"/>
  <c r="C282" i="4" s="1"/>
  <c r="B282" i="4"/>
  <c r="A246" i="4"/>
  <c r="C246" i="4" s="1"/>
  <c r="B246" i="4"/>
  <c r="A247" i="4"/>
  <c r="C247" i="4" s="1"/>
  <c r="B247" i="4"/>
  <c r="A248" i="4"/>
  <c r="C248" i="4" s="1"/>
  <c r="B248" i="4"/>
  <c r="A249" i="4"/>
  <c r="C249" i="4" s="1"/>
  <c r="B249" i="4"/>
  <c r="A250" i="4"/>
  <c r="C250" i="4" s="1"/>
  <c r="B250" i="4"/>
  <c r="A251" i="4"/>
  <c r="C251" i="4" s="1"/>
  <c r="B251" i="4"/>
  <c r="A252" i="4"/>
  <c r="C252" i="4" s="1"/>
  <c r="B252" i="4"/>
  <c r="A253" i="4"/>
  <c r="C253" i="4" s="1"/>
  <c r="B253" i="4"/>
  <c r="A254" i="4"/>
  <c r="C254" i="4" s="1"/>
  <c r="B254" i="4"/>
  <c r="A255" i="4"/>
  <c r="C255" i="4" s="1"/>
  <c r="B255" i="4"/>
  <c r="A256" i="4"/>
  <c r="C256" i="4" s="1"/>
  <c r="B256" i="4"/>
  <c r="A257" i="4"/>
  <c r="C257" i="4" s="1"/>
  <c r="B257" i="4"/>
  <c r="A258" i="4"/>
  <c r="C258" i="4" s="1"/>
  <c r="B258" i="4"/>
  <c r="A259" i="4"/>
  <c r="C259" i="4" s="1"/>
  <c r="B259" i="4"/>
  <c r="A260" i="4"/>
  <c r="C260" i="4" s="1"/>
  <c r="B260" i="4"/>
  <c r="A261" i="4"/>
  <c r="C261" i="4" s="1"/>
  <c r="B261" i="4"/>
  <c r="A262" i="4"/>
  <c r="C262" i="4" s="1"/>
  <c r="B262" i="4"/>
  <c r="A263" i="4"/>
  <c r="C263" i="4" s="1"/>
  <c r="B263" i="4"/>
  <c r="A264" i="4"/>
  <c r="C264" i="4" s="1"/>
  <c r="B264" i="4"/>
  <c r="A265" i="4"/>
  <c r="C265" i="4" s="1"/>
  <c r="B265" i="4"/>
  <c r="A266" i="4"/>
  <c r="C266" i="4" s="1"/>
  <c r="B266" i="4"/>
  <c r="A267" i="4"/>
  <c r="C267" i="4" s="1"/>
  <c r="B267" i="4"/>
  <c r="A245" i="4"/>
  <c r="C245" i="4" s="1"/>
  <c r="B245" i="4"/>
  <c r="A171" i="4"/>
  <c r="C171" i="4" s="1"/>
  <c r="B171" i="4"/>
  <c r="A172" i="4"/>
  <c r="C172" i="4" s="1"/>
  <c r="B172" i="4"/>
  <c r="A173" i="4"/>
  <c r="C173" i="4" s="1"/>
  <c r="B173" i="4"/>
  <c r="A174" i="4"/>
  <c r="C174" i="4" s="1"/>
  <c r="B174" i="4"/>
  <c r="A175" i="4"/>
  <c r="C175" i="4" s="1"/>
  <c r="B175" i="4"/>
  <c r="A176" i="4"/>
  <c r="C176" i="4" s="1"/>
  <c r="B176" i="4"/>
  <c r="A177" i="4"/>
  <c r="C177" i="4" s="1"/>
  <c r="B177" i="4"/>
  <c r="A178" i="4"/>
  <c r="C178" i="4" s="1"/>
  <c r="B178" i="4"/>
  <c r="A179" i="4"/>
  <c r="C179" i="4" s="1"/>
  <c r="B179" i="4"/>
  <c r="A180" i="4"/>
  <c r="C180" i="4" s="1"/>
  <c r="B180" i="4"/>
  <c r="A181" i="4"/>
  <c r="C181" i="4" s="1"/>
  <c r="B181" i="4"/>
  <c r="A182" i="4"/>
  <c r="C182" i="4" s="1"/>
  <c r="B182" i="4"/>
  <c r="A183" i="4"/>
  <c r="C183" i="4" s="1"/>
  <c r="B183" i="4"/>
  <c r="A184" i="4"/>
  <c r="C184" i="4" s="1"/>
  <c r="B184" i="4"/>
  <c r="A185" i="4"/>
  <c r="C185" i="4" s="1"/>
  <c r="B185" i="4"/>
  <c r="A186" i="4"/>
  <c r="C186" i="4" s="1"/>
  <c r="B186" i="4"/>
  <c r="A187" i="4"/>
  <c r="C187" i="4" s="1"/>
  <c r="B187" i="4"/>
  <c r="A188" i="4"/>
  <c r="C188" i="4" s="1"/>
  <c r="B188" i="4"/>
  <c r="A189" i="4"/>
  <c r="C189" i="4" s="1"/>
  <c r="B189" i="4"/>
  <c r="A190" i="4"/>
  <c r="C190" i="4" s="1"/>
  <c r="B190" i="4"/>
  <c r="A191" i="4"/>
  <c r="C191" i="4" s="1"/>
  <c r="B191" i="4"/>
  <c r="A192" i="4"/>
  <c r="C192" i="4" s="1"/>
  <c r="B192" i="4"/>
  <c r="A193" i="4"/>
  <c r="C193" i="4" s="1"/>
  <c r="B193" i="4"/>
  <c r="A194" i="4"/>
  <c r="C194" i="4" s="1"/>
  <c r="B194" i="4"/>
  <c r="A195" i="4"/>
  <c r="C195" i="4" s="1"/>
  <c r="B195" i="4"/>
  <c r="A196" i="4"/>
  <c r="C196" i="4" s="1"/>
  <c r="B196" i="4"/>
  <c r="A197" i="4"/>
  <c r="C197" i="4" s="1"/>
  <c r="B197" i="4"/>
  <c r="A198" i="4"/>
  <c r="C198" i="4" s="1"/>
  <c r="B198" i="4"/>
  <c r="A199" i="4"/>
  <c r="C199" i="4" s="1"/>
  <c r="B199" i="4"/>
  <c r="A200" i="4"/>
  <c r="C200" i="4" s="1"/>
  <c r="B200" i="4"/>
  <c r="A201" i="4"/>
  <c r="C201" i="4" s="1"/>
  <c r="B201" i="4"/>
  <c r="A202" i="4"/>
  <c r="C202" i="4" s="1"/>
  <c r="B202" i="4"/>
  <c r="A203" i="4"/>
  <c r="C203" i="4" s="1"/>
  <c r="B203" i="4"/>
  <c r="A204" i="4"/>
  <c r="C204" i="4" s="1"/>
  <c r="B204" i="4"/>
  <c r="A205" i="4"/>
  <c r="C205" i="4" s="1"/>
  <c r="B205" i="4"/>
  <c r="A206" i="4"/>
  <c r="C206" i="4" s="1"/>
  <c r="B206" i="4"/>
  <c r="A207" i="4"/>
  <c r="C207" i="4" s="1"/>
  <c r="B207" i="4"/>
  <c r="A208" i="4"/>
  <c r="C208" i="4" s="1"/>
  <c r="B208" i="4"/>
  <c r="A209" i="4"/>
  <c r="C209" i="4" s="1"/>
  <c r="B209" i="4"/>
  <c r="A210" i="4"/>
  <c r="C210" i="4" s="1"/>
  <c r="B210" i="4"/>
  <c r="A211" i="4"/>
  <c r="C211" i="4" s="1"/>
  <c r="B211" i="4"/>
  <c r="A212" i="4"/>
  <c r="C212" i="4" s="1"/>
  <c r="B212" i="4"/>
  <c r="A213" i="4"/>
  <c r="C213" i="4" s="1"/>
  <c r="B213" i="4"/>
  <c r="A214" i="4"/>
  <c r="C214" i="4" s="1"/>
  <c r="B214" i="4"/>
  <c r="A215" i="4"/>
  <c r="C215" i="4" s="1"/>
  <c r="B215" i="4"/>
  <c r="A216" i="4"/>
  <c r="C216" i="4" s="1"/>
  <c r="B216" i="4"/>
  <c r="A217" i="4"/>
  <c r="C217" i="4" s="1"/>
  <c r="B217" i="4"/>
  <c r="A218" i="4"/>
  <c r="C218" i="4" s="1"/>
  <c r="B218" i="4"/>
  <c r="A219" i="4"/>
  <c r="C219" i="4" s="1"/>
  <c r="B219" i="4"/>
  <c r="A220" i="4"/>
  <c r="C220" i="4" s="1"/>
  <c r="B220" i="4"/>
  <c r="A221" i="4"/>
  <c r="C221" i="4" s="1"/>
  <c r="B221" i="4"/>
  <c r="A222" i="4"/>
  <c r="C222" i="4" s="1"/>
  <c r="B222" i="4"/>
  <c r="A223" i="4"/>
  <c r="C223" i="4" s="1"/>
  <c r="B223" i="4"/>
  <c r="A224" i="4"/>
  <c r="C224" i="4" s="1"/>
  <c r="B224" i="4"/>
  <c r="A225" i="4"/>
  <c r="C225" i="4" s="1"/>
  <c r="B225" i="4"/>
  <c r="A226" i="4"/>
  <c r="C226" i="4" s="1"/>
  <c r="B226" i="4"/>
  <c r="A227" i="4"/>
  <c r="C227" i="4" s="1"/>
  <c r="B227" i="4"/>
  <c r="A228" i="4"/>
  <c r="C228" i="4" s="1"/>
  <c r="B228" i="4"/>
  <c r="A229" i="4"/>
  <c r="C229" i="4" s="1"/>
  <c r="B229" i="4"/>
  <c r="A230" i="4"/>
  <c r="C230" i="4" s="1"/>
  <c r="B230" i="4"/>
  <c r="A231" i="4"/>
  <c r="C231" i="4" s="1"/>
  <c r="B231" i="4"/>
  <c r="A232" i="4"/>
  <c r="C232" i="4" s="1"/>
  <c r="B232" i="4"/>
  <c r="A233" i="4"/>
  <c r="C233" i="4" s="1"/>
  <c r="B233" i="4"/>
  <c r="A234" i="4"/>
  <c r="C234" i="4" s="1"/>
  <c r="B234" i="4"/>
  <c r="A235" i="4"/>
  <c r="C235" i="4" s="1"/>
  <c r="B235" i="4"/>
  <c r="A236" i="4"/>
  <c r="C236" i="4" s="1"/>
  <c r="B236" i="4"/>
  <c r="A237" i="4"/>
  <c r="C237" i="4" s="1"/>
  <c r="B237" i="4"/>
  <c r="A238" i="4"/>
  <c r="C238" i="4" s="1"/>
  <c r="B238" i="4"/>
  <c r="A239" i="4"/>
  <c r="C239" i="4" s="1"/>
  <c r="B239" i="4"/>
  <c r="A240" i="4"/>
  <c r="C240" i="4" s="1"/>
  <c r="B240" i="4"/>
  <c r="A241" i="4"/>
  <c r="C241" i="4" s="1"/>
  <c r="B241" i="4"/>
  <c r="A242" i="4"/>
  <c r="C242" i="4" s="1"/>
  <c r="B242" i="4"/>
  <c r="A243" i="4"/>
  <c r="C243" i="4" s="1"/>
  <c r="B243" i="4"/>
  <c r="A244" i="4"/>
  <c r="C244" i="4" s="1"/>
  <c r="B244" i="4"/>
  <c r="B23" i="4"/>
  <c r="B13" i="4"/>
  <c r="A3" i="4"/>
  <c r="B3" i="4"/>
  <c r="A4" i="4"/>
  <c r="C4" i="4" s="1"/>
  <c r="B4" i="4"/>
  <c r="A5" i="4"/>
  <c r="C5" i="4" s="1"/>
  <c r="B5" i="4"/>
  <c r="A6" i="4"/>
  <c r="C6" i="4" s="1"/>
  <c r="B6" i="4"/>
  <c r="A7" i="4"/>
  <c r="C7" i="4" s="1"/>
  <c r="B7" i="4"/>
  <c r="A8" i="4"/>
  <c r="C8" i="4" s="1"/>
  <c r="B8" i="4"/>
  <c r="A9" i="4"/>
  <c r="C9" i="4" s="1"/>
  <c r="B9" i="4"/>
  <c r="A10" i="4"/>
  <c r="C10" i="4" s="1"/>
  <c r="B10" i="4"/>
  <c r="A11" i="4"/>
  <c r="C11" i="4" s="1"/>
  <c r="B11" i="4"/>
  <c r="A12" i="4"/>
  <c r="C12" i="4" s="1"/>
  <c r="B12" i="4"/>
  <c r="A13" i="4"/>
  <c r="C13" i="4" s="1"/>
  <c r="A14" i="4"/>
  <c r="C14" i="4" s="1"/>
  <c r="B14" i="4"/>
  <c r="A15" i="4"/>
  <c r="C15" i="4" s="1"/>
  <c r="B15" i="4"/>
  <c r="A16" i="4"/>
  <c r="C16" i="4" s="1"/>
  <c r="B16" i="4"/>
  <c r="A17" i="4"/>
  <c r="C17" i="4" s="1"/>
  <c r="B17" i="4"/>
  <c r="A18" i="4"/>
  <c r="C18" i="4" s="1"/>
  <c r="B18" i="4"/>
  <c r="A19" i="4"/>
  <c r="C19" i="4" s="1"/>
  <c r="B19" i="4"/>
  <c r="A20" i="4"/>
  <c r="C20" i="4" s="1"/>
  <c r="B20" i="4"/>
  <c r="A21" i="4"/>
  <c r="C21" i="4" s="1"/>
  <c r="B21" i="4"/>
  <c r="A22" i="4"/>
  <c r="C22" i="4" s="1"/>
  <c r="B22" i="4"/>
  <c r="A23" i="4"/>
  <c r="C23" i="4" s="1"/>
  <c r="A24" i="4"/>
  <c r="C24" i="4" s="1"/>
  <c r="B24" i="4"/>
  <c r="A25" i="4"/>
  <c r="C25" i="4" s="1"/>
  <c r="B25" i="4"/>
  <c r="A26" i="4"/>
  <c r="C26" i="4" s="1"/>
  <c r="B26" i="4"/>
  <c r="A27" i="4"/>
  <c r="C27" i="4" s="1"/>
  <c r="B27" i="4"/>
  <c r="A28" i="4"/>
  <c r="C28" i="4" s="1"/>
  <c r="B28" i="4"/>
  <c r="A29" i="4"/>
  <c r="C29" i="4" s="1"/>
  <c r="B29" i="4"/>
  <c r="A30" i="4"/>
  <c r="C30" i="4" s="1"/>
  <c r="B30" i="4"/>
  <c r="A31" i="4"/>
  <c r="C31" i="4" s="1"/>
  <c r="B31" i="4"/>
  <c r="A32" i="4"/>
  <c r="C32" i="4" s="1"/>
  <c r="B32" i="4"/>
  <c r="A33" i="4"/>
  <c r="C33" i="4" s="1"/>
  <c r="B33" i="4"/>
  <c r="A34" i="4"/>
  <c r="C34" i="4" s="1"/>
  <c r="B34" i="4"/>
  <c r="A35" i="4"/>
  <c r="C35" i="4" s="1"/>
  <c r="B35" i="4"/>
  <c r="A36" i="4"/>
  <c r="C36" i="4" s="1"/>
  <c r="B36" i="4"/>
  <c r="A37" i="4"/>
  <c r="C37" i="4" s="1"/>
  <c r="B37" i="4"/>
  <c r="A38" i="4"/>
  <c r="C38" i="4" s="1"/>
  <c r="B38" i="4"/>
  <c r="A39" i="4"/>
  <c r="C39" i="4" s="1"/>
  <c r="B39" i="4"/>
  <c r="A40" i="4"/>
  <c r="C40" i="4" s="1"/>
  <c r="B40" i="4"/>
  <c r="A41" i="4"/>
  <c r="C41" i="4" s="1"/>
  <c r="B41" i="4"/>
  <c r="A42" i="4"/>
  <c r="C42" i="4" s="1"/>
  <c r="B42" i="4"/>
  <c r="A43" i="4"/>
  <c r="C43" i="4" s="1"/>
  <c r="B43" i="4"/>
  <c r="A44" i="4"/>
  <c r="C44" i="4" s="1"/>
  <c r="B44" i="4"/>
  <c r="A45" i="4"/>
  <c r="C45" i="4" s="1"/>
  <c r="B45" i="4"/>
  <c r="A46" i="4"/>
  <c r="C46" i="4" s="1"/>
  <c r="B46" i="4"/>
  <c r="A47" i="4"/>
  <c r="C47" i="4" s="1"/>
  <c r="B47" i="4"/>
  <c r="A48" i="4"/>
  <c r="C48" i="4" s="1"/>
  <c r="B48" i="4"/>
  <c r="A49" i="4"/>
  <c r="C49" i="4" s="1"/>
  <c r="B49" i="4"/>
  <c r="A50" i="4"/>
  <c r="C50" i="4" s="1"/>
  <c r="B50" i="4"/>
  <c r="A51" i="4"/>
  <c r="C51" i="4" s="1"/>
  <c r="B51" i="4"/>
  <c r="A52" i="4"/>
  <c r="C52" i="4" s="1"/>
  <c r="B52" i="4"/>
  <c r="A53" i="4"/>
  <c r="C53" i="4" s="1"/>
  <c r="B53" i="4"/>
  <c r="A54" i="4"/>
  <c r="C54" i="4" s="1"/>
  <c r="B54" i="4"/>
  <c r="A55" i="4"/>
  <c r="C55" i="4" s="1"/>
  <c r="B55" i="4"/>
  <c r="A56" i="4"/>
  <c r="C56" i="4" s="1"/>
  <c r="B56" i="4"/>
  <c r="A57" i="4"/>
  <c r="C57" i="4" s="1"/>
  <c r="B57" i="4"/>
  <c r="A58" i="4"/>
  <c r="C58" i="4" s="1"/>
  <c r="B58" i="4"/>
  <c r="A59" i="4"/>
  <c r="C59" i="4" s="1"/>
  <c r="B59" i="4"/>
  <c r="A60" i="4"/>
  <c r="C60" i="4" s="1"/>
  <c r="B60" i="4"/>
  <c r="A61" i="4"/>
  <c r="C61" i="4" s="1"/>
  <c r="B61" i="4"/>
  <c r="A62" i="4"/>
  <c r="C62" i="4" s="1"/>
  <c r="B62" i="4"/>
  <c r="A63" i="4"/>
  <c r="C63" i="4" s="1"/>
  <c r="B63" i="4"/>
  <c r="A64" i="4"/>
  <c r="C64" i="4" s="1"/>
  <c r="B64" i="4"/>
  <c r="A65" i="4"/>
  <c r="C65" i="4" s="1"/>
  <c r="B65" i="4"/>
  <c r="A66" i="4"/>
  <c r="C66" i="4" s="1"/>
  <c r="B66" i="4"/>
  <c r="A67" i="4"/>
  <c r="C67" i="4" s="1"/>
  <c r="B67" i="4"/>
  <c r="A68" i="4"/>
  <c r="C68" i="4" s="1"/>
  <c r="B68" i="4"/>
  <c r="A69" i="4"/>
  <c r="C69" i="4" s="1"/>
  <c r="B69" i="4"/>
  <c r="A70" i="4"/>
  <c r="C70" i="4" s="1"/>
  <c r="B70" i="4"/>
  <c r="A71" i="4"/>
  <c r="C71" i="4" s="1"/>
  <c r="B71" i="4"/>
  <c r="A72" i="4"/>
  <c r="C72" i="4" s="1"/>
  <c r="B72" i="4"/>
  <c r="A73" i="4"/>
  <c r="C73" i="4" s="1"/>
  <c r="B73" i="4"/>
  <c r="A74" i="4"/>
  <c r="C74" i="4" s="1"/>
  <c r="B74" i="4"/>
  <c r="A75" i="4"/>
  <c r="C75" i="4" s="1"/>
  <c r="B75" i="4"/>
  <c r="A76" i="4"/>
  <c r="C76" i="4" s="1"/>
  <c r="B76" i="4"/>
  <c r="A77" i="4"/>
  <c r="C77" i="4" s="1"/>
  <c r="B77" i="4"/>
  <c r="A78" i="4"/>
  <c r="C78" i="4" s="1"/>
  <c r="B78" i="4"/>
  <c r="A79" i="4"/>
  <c r="C79" i="4" s="1"/>
  <c r="B79" i="4"/>
  <c r="A80" i="4"/>
  <c r="C80" i="4" s="1"/>
  <c r="B80" i="4"/>
  <c r="A81" i="4"/>
  <c r="C81" i="4" s="1"/>
  <c r="B81" i="4"/>
  <c r="A82" i="4"/>
  <c r="C82" i="4" s="1"/>
  <c r="B82" i="4"/>
  <c r="A83" i="4"/>
  <c r="C83" i="4" s="1"/>
  <c r="B83" i="4"/>
  <c r="A84" i="4"/>
  <c r="C84" i="4" s="1"/>
  <c r="B84" i="4"/>
  <c r="A85" i="4"/>
  <c r="C85" i="4" s="1"/>
  <c r="B85" i="4"/>
  <c r="A86" i="4"/>
  <c r="C86" i="4" s="1"/>
  <c r="B86" i="4"/>
  <c r="A87" i="4"/>
  <c r="C87" i="4" s="1"/>
  <c r="B87" i="4"/>
  <c r="A88" i="4"/>
  <c r="C88" i="4" s="1"/>
  <c r="B88" i="4"/>
  <c r="A89" i="4"/>
  <c r="C89" i="4" s="1"/>
  <c r="B89" i="4"/>
  <c r="A90" i="4"/>
  <c r="C90" i="4" s="1"/>
  <c r="B90" i="4"/>
  <c r="A91" i="4"/>
  <c r="C91" i="4" s="1"/>
  <c r="B91" i="4"/>
  <c r="A92" i="4"/>
  <c r="C92" i="4" s="1"/>
  <c r="B92" i="4"/>
  <c r="A93" i="4"/>
  <c r="C93" i="4" s="1"/>
  <c r="B93" i="4"/>
  <c r="A94" i="4"/>
  <c r="C94" i="4" s="1"/>
  <c r="B94" i="4"/>
  <c r="A95" i="4"/>
  <c r="C95" i="4" s="1"/>
  <c r="B95" i="4"/>
  <c r="A96" i="4"/>
  <c r="C96" i="4" s="1"/>
  <c r="B96" i="4"/>
  <c r="A97" i="4"/>
  <c r="C97" i="4" s="1"/>
  <c r="B97" i="4"/>
  <c r="A98" i="4"/>
  <c r="C98" i="4" s="1"/>
  <c r="B98" i="4"/>
  <c r="A99" i="4"/>
  <c r="C99" i="4" s="1"/>
  <c r="B99" i="4"/>
  <c r="A100" i="4"/>
  <c r="C100" i="4" s="1"/>
  <c r="B100" i="4"/>
  <c r="A101" i="4"/>
  <c r="C101" i="4" s="1"/>
  <c r="B101" i="4"/>
  <c r="A102" i="4"/>
  <c r="C102" i="4" s="1"/>
  <c r="B102" i="4"/>
  <c r="A103" i="4"/>
  <c r="C103" i="4" s="1"/>
  <c r="B103" i="4"/>
  <c r="A104" i="4"/>
  <c r="C104" i="4" s="1"/>
  <c r="B104" i="4"/>
  <c r="A105" i="4"/>
  <c r="C105" i="4" s="1"/>
  <c r="B105" i="4"/>
  <c r="A106" i="4"/>
  <c r="C106" i="4" s="1"/>
  <c r="B106" i="4"/>
  <c r="A107" i="4"/>
  <c r="C107" i="4" s="1"/>
  <c r="B107" i="4"/>
  <c r="A108" i="4"/>
  <c r="C108" i="4" s="1"/>
  <c r="B108" i="4"/>
  <c r="A109" i="4"/>
  <c r="C109" i="4" s="1"/>
  <c r="B109" i="4"/>
  <c r="A110" i="4"/>
  <c r="C110" i="4" s="1"/>
  <c r="B110" i="4"/>
  <c r="A111" i="4"/>
  <c r="C111" i="4" s="1"/>
  <c r="B111" i="4"/>
  <c r="A112" i="4"/>
  <c r="C112" i="4" s="1"/>
  <c r="B112" i="4"/>
  <c r="A113" i="4"/>
  <c r="C113" i="4" s="1"/>
  <c r="B113" i="4"/>
  <c r="A114" i="4"/>
  <c r="C114" i="4" s="1"/>
  <c r="B114" i="4"/>
  <c r="A115" i="4"/>
  <c r="C115" i="4" s="1"/>
  <c r="B115" i="4"/>
  <c r="A116" i="4"/>
  <c r="C116" i="4" s="1"/>
  <c r="B116" i="4"/>
  <c r="A117" i="4"/>
  <c r="C117" i="4" s="1"/>
  <c r="B117" i="4"/>
  <c r="A118" i="4"/>
  <c r="C118" i="4" s="1"/>
  <c r="B118" i="4"/>
  <c r="A119" i="4"/>
  <c r="C119" i="4" s="1"/>
  <c r="B119" i="4"/>
  <c r="A120" i="4"/>
  <c r="C120" i="4" s="1"/>
  <c r="B120" i="4"/>
  <c r="A121" i="4"/>
  <c r="C121" i="4" s="1"/>
  <c r="B121" i="4"/>
  <c r="A122" i="4"/>
  <c r="C122" i="4" s="1"/>
  <c r="B122" i="4"/>
  <c r="A123" i="4"/>
  <c r="C123" i="4" s="1"/>
  <c r="B123" i="4"/>
  <c r="A124" i="4"/>
  <c r="C124" i="4" s="1"/>
  <c r="B124" i="4"/>
  <c r="A125" i="4"/>
  <c r="C125" i="4" s="1"/>
  <c r="B125" i="4"/>
  <c r="A126" i="4"/>
  <c r="C126" i="4" s="1"/>
  <c r="B126" i="4"/>
  <c r="A127" i="4"/>
  <c r="C127" i="4" s="1"/>
  <c r="B127" i="4"/>
  <c r="A128" i="4"/>
  <c r="C128" i="4" s="1"/>
  <c r="B128" i="4"/>
  <c r="A129" i="4"/>
  <c r="C129" i="4" s="1"/>
  <c r="B129" i="4"/>
  <c r="A130" i="4"/>
  <c r="C130" i="4" s="1"/>
  <c r="B130" i="4"/>
  <c r="A131" i="4"/>
  <c r="C131" i="4" s="1"/>
  <c r="B131" i="4"/>
  <c r="A132" i="4"/>
  <c r="C132" i="4" s="1"/>
  <c r="B132" i="4"/>
  <c r="A133" i="4"/>
  <c r="C133" i="4" s="1"/>
  <c r="B133" i="4"/>
  <c r="A134" i="4"/>
  <c r="C134" i="4" s="1"/>
  <c r="B134" i="4"/>
  <c r="A135" i="4"/>
  <c r="C135" i="4" s="1"/>
  <c r="B135" i="4"/>
  <c r="A136" i="4"/>
  <c r="C136" i="4" s="1"/>
  <c r="B136" i="4"/>
  <c r="A137" i="4"/>
  <c r="C137" i="4" s="1"/>
  <c r="B137" i="4"/>
  <c r="A138" i="4"/>
  <c r="C138" i="4" s="1"/>
  <c r="B138" i="4"/>
  <c r="A139" i="4"/>
  <c r="C139" i="4" s="1"/>
  <c r="B139" i="4"/>
  <c r="A140" i="4"/>
  <c r="C140" i="4" s="1"/>
  <c r="B140" i="4"/>
  <c r="A141" i="4"/>
  <c r="C141" i="4" s="1"/>
  <c r="B141" i="4"/>
  <c r="A142" i="4"/>
  <c r="C142" i="4" s="1"/>
  <c r="B142" i="4"/>
  <c r="A143" i="4"/>
  <c r="C143" i="4" s="1"/>
  <c r="B143" i="4"/>
  <c r="A144" i="4"/>
  <c r="C144" i="4" s="1"/>
  <c r="B144" i="4"/>
  <c r="A145" i="4"/>
  <c r="C145" i="4" s="1"/>
  <c r="B145" i="4"/>
  <c r="A146" i="4"/>
  <c r="C146" i="4" s="1"/>
  <c r="B146" i="4"/>
  <c r="A147" i="4"/>
  <c r="C147" i="4" s="1"/>
  <c r="B147" i="4"/>
  <c r="A148" i="4"/>
  <c r="C148" i="4" s="1"/>
  <c r="B148" i="4"/>
  <c r="A149" i="4"/>
  <c r="C149" i="4" s="1"/>
  <c r="B149" i="4"/>
  <c r="A150" i="4"/>
  <c r="C150" i="4" s="1"/>
  <c r="B150" i="4"/>
  <c r="A151" i="4"/>
  <c r="C151" i="4" s="1"/>
  <c r="B151" i="4"/>
  <c r="A152" i="4"/>
  <c r="C152" i="4" s="1"/>
  <c r="B152" i="4"/>
  <c r="A153" i="4"/>
  <c r="C153" i="4" s="1"/>
  <c r="B153" i="4"/>
  <c r="A154" i="4"/>
  <c r="C154" i="4" s="1"/>
  <c r="B154" i="4"/>
  <c r="A155" i="4"/>
  <c r="C155" i="4" s="1"/>
  <c r="B155" i="4"/>
  <c r="A156" i="4"/>
  <c r="C156" i="4" s="1"/>
  <c r="B156" i="4"/>
  <c r="A157" i="4"/>
  <c r="C157" i="4" s="1"/>
  <c r="B157" i="4"/>
  <c r="A158" i="4"/>
  <c r="C158" i="4" s="1"/>
  <c r="B158" i="4"/>
  <c r="A159" i="4"/>
  <c r="C159" i="4" s="1"/>
  <c r="B159" i="4"/>
  <c r="A160" i="4"/>
  <c r="C160" i="4" s="1"/>
  <c r="B160" i="4"/>
  <c r="A161" i="4"/>
  <c r="C161" i="4" s="1"/>
  <c r="B161" i="4"/>
  <c r="A162" i="4"/>
  <c r="C162" i="4" s="1"/>
  <c r="B162" i="4"/>
  <c r="A163" i="4"/>
  <c r="C163" i="4" s="1"/>
  <c r="B163" i="4"/>
  <c r="A164" i="4"/>
  <c r="C164" i="4" s="1"/>
  <c r="B164" i="4"/>
  <c r="A165" i="4"/>
  <c r="C165" i="4" s="1"/>
  <c r="B165" i="4"/>
  <c r="A166" i="4"/>
  <c r="C166" i="4" s="1"/>
  <c r="B166" i="4"/>
  <c r="A167" i="4"/>
  <c r="C167" i="4" s="1"/>
  <c r="B167" i="4"/>
  <c r="A168" i="4"/>
  <c r="C168" i="4" s="1"/>
  <c r="B168" i="4"/>
  <c r="A169" i="4"/>
  <c r="C169" i="4" s="1"/>
  <c r="B169" i="4"/>
  <c r="A170" i="4"/>
  <c r="C170" i="4" s="1"/>
  <c r="B170" i="4"/>
  <c r="B2" i="4"/>
  <c r="A2" i="4"/>
  <c r="C2" i="4" s="1"/>
  <c r="C3" i="4"/>
  <c r="C319" i="4"/>
  <c r="C327" i="4"/>
  <c r="C377" i="4"/>
  <c r="C399" i="4"/>
  <c r="D164" i="4" l="1"/>
  <c r="D148" i="4"/>
  <c r="D120" i="4"/>
  <c r="D100" i="4"/>
  <c r="D68" i="4"/>
  <c r="D380" i="4"/>
  <c r="D383" i="4"/>
  <c r="D52" i="4"/>
  <c r="D242" i="4"/>
  <c r="D266" i="4"/>
  <c r="D262" i="4"/>
  <c r="D391" i="4"/>
  <c r="D389" i="4"/>
  <c r="D390" i="4"/>
  <c r="D36" i="4"/>
  <c r="D238" i="4"/>
  <c r="D234" i="4"/>
  <c r="D232" i="4"/>
  <c r="D230" i="4"/>
  <c r="D228" i="4"/>
  <c r="D226" i="4"/>
  <c r="D224" i="4"/>
  <c r="D222" i="4"/>
  <c r="D220" i="4"/>
  <c r="D218" i="4"/>
  <c r="D210" i="4"/>
  <c r="D382" i="4"/>
  <c r="D392" i="4"/>
  <c r="D387" i="4"/>
  <c r="D385" i="4"/>
  <c r="D274" i="4"/>
  <c r="D388" i="4"/>
  <c r="D386" i="4"/>
  <c r="D250" i="4"/>
  <c r="D384" i="4"/>
  <c r="D381" i="4"/>
  <c r="D216" i="4"/>
  <c r="D214" i="4"/>
  <c r="D212" i="4"/>
  <c r="D208" i="4"/>
  <c r="D338" i="4"/>
  <c r="D398" i="4"/>
  <c r="D370" i="4"/>
  <c r="D358" i="4"/>
  <c r="D360" i="4"/>
  <c r="D348" i="4"/>
  <c r="D282" i="4"/>
  <c r="D278" i="4"/>
  <c r="D270" i="4"/>
  <c r="D194" i="4"/>
  <c r="D311" i="4"/>
  <c r="D200" i="4"/>
  <c r="D198" i="4"/>
  <c r="D196" i="4"/>
  <c r="D192" i="4"/>
  <c r="D188" i="4"/>
  <c r="D186" i="4"/>
  <c r="D184" i="4"/>
  <c r="D178" i="4"/>
  <c r="D176" i="4"/>
  <c r="D174" i="4"/>
  <c r="D172" i="4"/>
  <c r="D132" i="4"/>
  <c r="D108" i="4"/>
  <c r="D92" i="4"/>
  <c r="D76" i="4"/>
  <c r="D44" i="4"/>
  <c r="D28" i="4"/>
  <c r="D84" i="4"/>
  <c r="D326" i="4"/>
  <c r="D314" i="4"/>
  <c r="D116" i="4"/>
  <c r="D80" i="4"/>
  <c r="D48" i="4"/>
  <c r="D168" i="4"/>
  <c r="D162" i="4"/>
  <c r="D158" i="4"/>
  <c r="D140" i="4"/>
  <c r="D96" i="4"/>
  <c r="D64" i="4"/>
  <c r="D32" i="4"/>
  <c r="D166" i="4"/>
  <c r="D160" i="4"/>
  <c r="D156" i="4"/>
  <c r="D124" i="4"/>
  <c r="D104" i="4"/>
  <c r="D88" i="4"/>
  <c r="D72" i="4"/>
  <c r="D56" i="4"/>
  <c r="D40" i="4"/>
  <c r="D350" i="4"/>
  <c r="D318" i="4"/>
  <c r="D396" i="4"/>
  <c r="D378" i="4"/>
  <c r="D368" i="4"/>
  <c r="D356" i="4"/>
  <c r="D346" i="4"/>
  <c r="D294" i="4"/>
  <c r="D342" i="4"/>
  <c r="D310" i="4"/>
  <c r="D364" i="4"/>
  <c r="D394" i="4"/>
  <c r="D376" i="4"/>
  <c r="D366" i="4"/>
  <c r="D354" i="4"/>
  <c r="D344" i="4"/>
  <c r="D374" i="4"/>
  <c r="D334" i="4"/>
  <c r="D286" i="4"/>
  <c r="D322" i="4"/>
  <c r="D400" i="4"/>
  <c r="D372" i="4"/>
  <c r="D362" i="4"/>
  <c r="D352" i="4"/>
  <c r="D330" i="4"/>
  <c r="D298" i="4"/>
  <c r="D290" i="4"/>
  <c r="D6" i="4"/>
  <c r="D154" i="4"/>
  <c r="D152" i="4"/>
  <c r="D150" i="4"/>
  <c r="D146" i="4"/>
  <c r="D144" i="4"/>
  <c r="D142" i="4"/>
  <c r="D138" i="4"/>
  <c r="D136" i="4"/>
  <c r="D134" i="4"/>
  <c r="D130" i="4"/>
  <c r="D128" i="4"/>
  <c r="D126" i="4"/>
  <c r="D122" i="4"/>
  <c r="D118" i="4"/>
  <c r="D114" i="4"/>
  <c r="D112" i="4"/>
  <c r="D110" i="4"/>
  <c r="D106" i="4"/>
  <c r="D102" i="4"/>
  <c r="D98" i="4"/>
  <c r="D90" i="4"/>
  <c r="D20" i="4"/>
  <c r="D16" i="4"/>
  <c r="D18" i="4"/>
  <c r="D86" i="4"/>
  <c r="D82" i="4"/>
  <c r="D78" i="4"/>
  <c r="D74" i="4"/>
  <c r="D70" i="4"/>
  <c r="D66" i="4"/>
  <c r="D62" i="4"/>
  <c r="D58" i="4"/>
  <c r="D54" i="4"/>
  <c r="D50" i="4"/>
  <c r="D46" i="4"/>
  <c r="D42" i="4"/>
  <c r="D38" i="4"/>
  <c r="D34" i="4"/>
  <c r="D30" i="4"/>
  <c r="D26" i="4"/>
  <c r="D258" i="4"/>
  <c r="D254" i="4"/>
  <c r="D246" i="4"/>
  <c r="D10" i="4"/>
  <c r="D22" i="4"/>
  <c r="D12" i="4"/>
  <c r="D8" i="4"/>
  <c r="D4" i="4"/>
  <c r="D2" i="4"/>
  <c r="D24" i="4"/>
  <c r="D202" i="4"/>
  <c r="D204" i="4"/>
  <c r="D206" i="4"/>
  <c r="D190" i="4"/>
  <c r="D182" i="4"/>
  <c r="D180" i="4"/>
  <c r="D14" i="4"/>
  <c r="D170" i="4"/>
  <c r="D94" i="4"/>
  <c r="D60" i="4"/>
  <c r="D340" i="4"/>
  <c r="D336" i="4"/>
  <c r="D332" i="4"/>
  <c r="D328" i="4"/>
  <c r="D324" i="4"/>
  <c r="D320" i="4"/>
  <c r="D316" i="4"/>
  <c r="D312" i="4"/>
  <c r="D308" i="4"/>
  <c r="D300" i="4"/>
  <c r="D296" i="4"/>
  <c r="D292" i="4"/>
  <c r="D288" i="4"/>
  <c r="D284" i="4"/>
  <c r="D280" i="4"/>
  <c r="D276" i="4"/>
  <c r="D272" i="4"/>
  <c r="D268" i="4"/>
  <c r="D264" i="4"/>
  <c r="D260" i="4"/>
  <c r="D256" i="4"/>
  <c r="D252" i="4"/>
  <c r="D248" i="4"/>
  <c r="D244" i="4"/>
  <c r="D240" i="4"/>
  <c r="D236" i="4"/>
  <c r="D401" i="4"/>
  <c r="D399" i="4"/>
  <c r="D397" i="4"/>
  <c r="D395" i="4"/>
  <c r="D393" i="4"/>
  <c r="D379" i="4"/>
  <c r="D377" i="4"/>
  <c r="D375" i="4"/>
  <c r="D373" i="4"/>
  <c r="D371" i="4"/>
  <c r="D369" i="4"/>
  <c r="D367" i="4"/>
  <c r="D365" i="4"/>
  <c r="D363" i="4"/>
  <c r="D361" i="4"/>
  <c r="D359" i="4"/>
  <c r="D357" i="4"/>
  <c r="D355" i="4"/>
  <c r="D353" i="4"/>
  <c r="D351" i="4"/>
  <c r="D349" i="4"/>
  <c r="D347" i="4"/>
  <c r="D345" i="4"/>
  <c r="D343" i="4"/>
  <c r="D341" i="4"/>
  <c r="D339" i="4"/>
  <c r="D337" i="4"/>
  <c r="D335" i="4"/>
  <c r="D333" i="4"/>
  <c r="D331" i="4"/>
  <c r="D329" i="4"/>
  <c r="D327" i="4"/>
  <c r="D325" i="4"/>
  <c r="D323" i="4"/>
  <c r="D321" i="4"/>
  <c r="D319" i="4"/>
  <c r="D317" i="4"/>
  <c r="D315" i="4"/>
  <c r="D313" i="4"/>
  <c r="D309" i="4"/>
  <c r="D305" i="4"/>
  <c r="D299" i="4"/>
  <c r="D297" i="4"/>
  <c r="D295" i="4"/>
  <c r="D293" i="4"/>
  <c r="D291" i="4"/>
  <c r="D289" i="4"/>
  <c r="D287" i="4"/>
  <c r="D285" i="4"/>
  <c r="D283" i="4"/>
  <c r="D281" i="4"/>
  <c r="D279" i="4"/>
  <c r="D277" i="4"/>
  <c r="D275" i="4"/>
  <c r="D273" i="4"/>
  <c r="D271" i="4"/>
  <c r="D269" i="4"/>
  <c r="D267" i="4"/>
  <c r="D265" i="4"/>
  <c r="D263" i="4"/>
  <c r="D261" i="4"/>
  <c r="D259" i="4"/>
  <c r="D257" i="4"/>
  <c r="D255" i="4"/>
  <c r="D253" i="4"/>
  <c r="D251" i="4"/>
  <c r="D249" i="4"/>
  <c r="D247" i="4"/>
  <c r="D245" i="4"/>
  <c r="D243" i="4"/>
  <c r="D241" i="4"/>
  <c r="D239" i="4"/>
  <c r="D237" i="4"/>
  <c r="D235" i="4"/>
  <c r="D233" i="4"/>
  <c r="D231" i="4"/>
  <c r="D229" i="4"/>
  <c r="D227" i="4"/>
  <c r="D225" i="4"/>
  <c r="D223" i="4"/>
  <c r="D221" i="4"/>
  <c r="D219" i="4"/>
  <c r="D217" i="4"/>
  <c r="D215" i="4"/>
  <c r="D213" i="4"/>
  <c r="D211" i="4"/>
  <c r="D209" i="4"/>
  <c r="D207" i="4"/>
  <c r="D205" i="4"/>
  <c r="D203" i="4"/>
  <c r="D201" i="4"/>
  <c r="D199" i="4"/>
  <c r="D197" i="4"/>
  <c r="D195" i="4"/>
  <c r="D193" i="4"/>
  <c r="D191" i="4"/>
  <c r="D189" i="4"/>
  <c r="D187" i="4"/>
  <c r="D185" i="4"/>
  <c r="D183" i="4"/>
  <c r="D181" i="4"/>
  <c r="D179" i="4"/>
  <c r="D177" i="4"/>
  <c r="D175" i="4"/>
  <c r="D173" i="4"/>
  <c r="D171" i="4"/>
  <c r="D169" i="4"/>
  <c r="D167" i="4"/>
  <c r="D165" i="4"/>
  <c r="D163" i="4"/>
  <c r="D161" i="4"/>
  <c r="D159" i="4"/>
  <c r="D157" i="4"/>
  <c r="D155" i="4"/>
  <c r="D153" i="4"/>
  <c r="D151" i="4"/>
  <c r="D149" i="4"/>
  <c r="D147" i="4"/>
  <c r="D145" i="4"/>
  <c r="D143" i="4"/>
  <c r="D141" i="4"/>
  <c r="D139" i="4"/>
  <c r="D137" i="4"/>
  <c r="D135" i="4"/>
  <c r="D133" i="4"/>
  <c r="D131" i="4"/>
  <c r="D129" i="4"/>
  <c r="D127" i="4"/>
  <c r="D125" i="4"/>
  <c r="D123" i="4"/>
  <c r="D121" i="4"/>
  <c r="D119" i="4"/>
  <c r="D117" i="4"/>
  <c r="D115" i="4"/>
  <c r="D113" i="4"/>
  <c r="D111" i="4"/>
  <c r="D109" i="4"/>
  <c r="D107" i="4"/>
  <c r="D105" i="4"/>
  <c r="D103" i="4"/>
  <c r="D101" i="4"/>
  <c r="D99" i="4"/>
  <c r="D97" i="4"/>
  <c r="D95" i="4"/>
  <c r="D93" i="4"/>
  <c r="D91" i="4"/>
  <c r="D89" i="4"/>
  <c r="D87" i="4"/>
  <c r="D85" i="4"/>
  <c r="D83" i="4"/>
  <c r="D81" i="4"/>
  <c r="D79" i="4"/>
  <c r="D77" i="4"/>
  <c r="D75" i="4"/>
  <c r="D73" i="4"/>
  <c r="D71" i="4"/>
  <c r="D69" i="4"/>
  <c r="D67" i="4"/>
  <c r="D65" i="4"/>
  <c r="D63" i="4"/>
  <c r="D61" i="4"/>
  <c r="D59" i="4"/>
  <c r="D57" i="4"/>
  <c r="D55" i="4"/>
  <c r="D53" i="4"/>
  <c r="D51" i="4"/>
  <c r="D49" i="4"/>
  <c r="D47" i="4"/>
  <c r="D45" i="4"/>
  <c r="D43" i="4"/>
  <c r="D41" i="4"/>
  <c r="D39" i="4"/>
  <c r="D37" i="4"/>
  <c r="D35" i="4"/>
  <c r="D33" i="4"/>
  <c r="D31" i="4"/>
  <c r="D29" i="4"/>
  <c r="D27" i="4"/>
  <c r="D25" i="4"/>
  <c r="D23" i="4"/>
  <c r="D21" i="4"/>
  <c r="D19" i="4"/>
  <c r="D17" i="4"/>
  <c r="D15" i="4"/>
  <c r="D13" i="4"/>
  <c r="D11" i="4"/>
  <c r="D9" i="4"/>
  <c r="D7" i="4"/>
  <c r="D5" i="4"/>
  <c r="D3" i="4"/>
  <c r="C354" i="1"/>
  <c r="C353" i="1"/>
  <c r="C211" i="1"/>
  <c r="C48" i="1"/>
  <c r="C41" i="1"/>
  <c r="C37" i="1"/>
  <c r="C34" i="1"/>
  <c r="C29" i="1"/>
  <c r="C28" i="1"/>
  <c r="C26" i="1"/>
  <c r="C23" i="1"/>
  <c r="C20" i="1"/>
  <c r="C19" i="1"/>
  <c r="C17" i="1"/>
  <c r="C12" i="1"/>
  <c r="N3" i="1"/>
  <c r="N1" i="1"/>
  <c r="L2" i="1"/>
  <c r="L3" i="1"/>
  <c r="M345" i="1" s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24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23" i="1"/>
  <c r="L150" i="1"/>
  <c r="L151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6" i="1"/>
  <c r="L347" i="1"/>
  <c r="L348" i="1"/>
  <c r="L349" i="1"/>
  <c r="L350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4" i="1"/>
  <c r="L385" i="1"/>
  <c r="L386" i="1"/>
  <c r="L387" i="1"/>
  <c r="L388" i="1"/>
  <c r="L389" i="1"/>
  <c r="L390" i="1"/>
  <c r="L391" i="1"/>
  <c r="L392" i="1"/>
  <c r="L394" i="1"/>
  <c r="L395" i="1"/>
  <c r="L397" i="1"/>
  <c r="L398" i="1"/>
  <c r="L399" i="1"/>
  <c r="L400" i="1"/>
  <c r="L401" i="1"/>
  <c r="L402" i="1"/>
  <c r="L404" i="1"/>
  <c r="L405" i="1"/>
  <c r="L407" i="1"/>
  <c r="L408" i="1"/>
  <c r="L409" i="1"/>
  <c r="L410" i="1"/>
  <c r="L411" i="1"/>
  <c r="L412" i="1"/>
  <c r="L413" i="1"/>
  <c r="L415" i="1"/>
  <c r="L416" i="1"/>
  <c r="C413" i="1"/>
  <c r="C412" i="1"/>
  <c r="C411" i="1"/>
  <c r="C410" i="1"/>
  <c r="C409" i="1"/>
  <c r="C407" i="1"/>
  <c r="M59" i="1"/>
  <c r="M226" i="1"/>
  <c r="M312" i="1"/>
  <c r="M348" i="1"/>
  <c r="M381" i="1"/>
  <c r="M410" i="1"/>
  <c r="C4" i="1"/>
  <c r="C5" i="1"/>
  <c r="C6" i="1"/>
  <c r="C7" i="1"/>
  <c r="C8" i="1"/>
  <c r="C3" i="1"/>
  <c r="N351" i="1" l="1"/>
  <c r="N352" i="1"/>
  <c r="M352" i="1"/>
  <c r="M351" i="1"/>
  <c r="N149" i="1"/>
  <c r="M149" i="1"/>
  <c r="N152" i="1"/>
  <c r="M152" i="1"/>
  <c r="N125" i="1"/>
  <c r="M126" i="1"/>
  <c r="N126" i="1"/>
  <c r="M125" i="1"/>
  <c r="N121" i="1"/>
  <c r="C335" i="3"/>
  <c r="D335" i="3" s="1"/>
  <c r="M121" i="1"/>
  <c r="N88" i="1"/>
  <c r="M168" i="1"/>
  <c r="M169" i="1"/>
  <c r="M170" i="1"/>
  <c r="M148" i="1"/>
  <c r="M120" i="1"/>
  <c r="M117" i="1"/>
  <c r="M118" i="1"/>
  <c r="M119" i="1"/>
  <c r="M383" i="1"/>
  <c r="M301" i="1"/>
  <c r="M261" i="1"/>
  <c r="M262" i="1"/>
  <c r="M189" i="1"/>
  <c r="M166" i="1"/>
  <c r="N167" i="1"/>
  <c r="N168" i="1"/>
  <c r="N169" i="1"/>
  <c r="N170" i="1"/>
  <c r="N148" i="1"/>
  <c r="N120" i="1"/>
  <c r="N117" i="1"/>
  <c r="N118" i="1"/>
  <c r="N119" i="1"/>
  <c r="M90" i="1"/>
  <c r="N383" i="1"/>
  <c r="N301" i="1"/>
  <c r="N261" i="1"/>
  <c r="N262" i="1"/>
  <c r="N189" i="1"/>
  <c r="N166" i="1"/>
  <c r="M88" i="1"/>
  <c r="N89" i="1"/>
  <c r="M122" i="1"/>
  <c r="N122" i="1"/>
  <c r="M167" i="1"/>
  <c r="N90" i="1"/>
  <c r="M89" i="1"/>
  <c r="B301" i="4"/>
  <c r="D301" i="4" s="1"/>
  <c r="M393" i="1"/>
  <c r="N393" i="1"/>
  <c r="M377" i="1"/>
  <c r="M343" i="1"/>
  <c r="M296" i="1"/>
  <c r="M160" i="1"/>
  <c r="N331" i="1"/>
  <c r="M366" i="1"/>
  <c r="M328" i="1"/>
  <c r="M291" i="1"/>
  <c r="M138" i="1"/>
  <c r="N300" i="1"/>
  <c r="M395" i="1"/>
  <c r="M390" i="1"/>
  <c r="M362" i="1"/>
  <c r="M317" i="1"/>
  <c r="M254" i="1"/>
  <c r="M76" i="1"/>
  <c r="N96" i="1"/>
  <c r="M386" i="1"/>
  <c r="M373" i="1"/>
  <c r="M358" i="1"/>
  <c r="M339" i="1"/>
  <c r="M325" i="1"/>
  <c r="M308" i="1"/>
  <c r="M286" i="1"/>
  <c r="M197" i="1"/>
  <c r="M112" i="1"/>
  <c r="M40" i="1"/>
  <c r="N384" i="1"/>
  <c r="N253" i="1"/>
  <c r="M415" i="1"/>
  <c r="M399" i="1"/>
  <c r="M385" i="1"/>
  <c r="M369" i="1"/>
  <c r="M354" i="1"/>
  <c r="M335" i="1"/>
  <c r="M321" i="1"/>
  <c r="M303" i="1"/>
  <c r="M275" i="1"/>
  <c r="M180" i="1"/>
  <c r="M95" i="1"/>
  <c r="M10" i="1"/>
  <c r="N362" i="1"/>
  <c r="N185" i="1"/>
  <c r="M376" i="1"/>
  <c r="N56" i="1"/>
  <c r="D302" i="4"/>
  <c r="M380" i="1"/>
  <c r="M372" i="1"/>
  <c r="M368" i="1"/>
  <c r="M365" i="1"/>
  <c r="M361" i="1"/>
  <c r="M357" i="1"/>
  <c r="M353" i="1"/>
  <c r="M347" i="1"/>
  <c r="M342" i="1"/>
  <c r="M338" i="1"/>
  <c r="M334" i="1"/>
  <c r="M331" i="1"/>
  <c r="M324" i="1"/>
  <c r="M320" i="1"/>
  <c r="M316" i="1"/>
  <c r="M311" i="1"/>
  <c r="M307" i="1"/>
  <c r="M300" i="1"/>
  <c r="M295" i="1"/>
  <c r="M290" i="1"/>
  <c r="M284" i="1"/>
  <c r="M271" i="1"/>
  <c r="M250" i="1"/>
  <c r="M211" i="1"/>
  <c r="M193" i="1"/>
  <c r="M176" i="1"/>
  <c r="M156" i="1"/>
  <c r="M134" i="1"/>
  <c r="M107" i="1"/>
  <c r="M91" i="1"/>
  <c r="M72" i="1"/>
  <c r="M54" i="1"/>
  <c r="M32" i="1"/>
  <c r="N401" i="1"/>
  <c r="N378" i="1"/>
  <c r="N357" i="1"/>
  <c r="N324" i="1"/>
  <c r="N290" i="1"/>
  <c r="N237" i="1"/>
  <c r="N164" i="1"/>
  <c r="N77" i="1"/>
  <c r="M413" i="1"/>
  <c r="M402" i="1"/>
  <c r="M394" i="1"/>
  <c r="M412" i="1"/>
  <c r="M408" i="1"/>
  <c r="M405" i="1"/>
  <c r="M401" i="1"/>
  <c r="M392" i="1"/>
  <c r="M384" i="1"/>
  <c r="M375" i="1"/>
  <c r="M364" i="1"/>
  <c r="M360" i="1"/>
  <c r="M356" i="1"/>
  <c r="M350" i="1"/>
  <c r="M346" i="1"/>
  <c r="M341" i="1"/>
  <c r="M337" i="1"/>
  <c r="M333" i="1"/>
  <c r="M330" i="1"/>
  <c r="M327" i="1"/>
  <c r="M323" i="1"/>
  <c r="M319" i="1"/>
  <c r="M315" i="1"/>
  <c r="M305" i="1"/>
  <c r="M299" i="1"/>
  <c r="M294" i="1"/>
  <c r="M288" i="1"/>
  <c r="M282" i="1"/>
  <c r="M267" i="1"/>
  <c r="M234" i="1"/>
  <c r="M206" i="1"/>
  <c r="M188" i="1"/>
  <c r="M172" i="1"/>
  <c r="M150" i="1"/>
  <c r="M103" i="1"/>
  <c r="M84" i="1"/>
  <c r="M67" i="1"/>
  <c r="M50" i="1"/>
  <c r="M25" i="1"/>
  <c r="N415" i="1"/>
  <c r="N372" i="1"/>
  <c r="N347" i="1"/>
  <c r="N316" i="1"/>
  <c r="N281" i="1"/>
  <c r="N221" i="1"/>
  <c r="N143" i="1"/>
  <c r="D304" i="4"/>
  <c r="D303" i="4"/>
  <c r="N4" i="1"/>
  <c r="N12" i="1"/>
  <c r="N18" i="1"/>
  <c r="N25" i="1"/>
  <c r="N32" i="1"/>
  <c r="N38" i="1"/>
  <c r="N44" i="1"/>
  <c r="N51" i="1"/>
  <c r="N57" i="1"/>
  <c r="N63" i="1"/>
  <c r="N67" i="1"/>
  <c r="N74" i="1"/>
  <c r="N78" i="1"/>
  <c r="N82" i="1"/>
  <c r="N86" i="1"/>
  <c r="N93" i="1"/>
  <c r="N97" i="1"/>
  <c r="N101" i="1"/>
  <c r="N105" i="1"/>
  <c r="N109" i="1"/>
  <c r="N114" i="1"/>
  <c r="N129" i="1"/>
  <c r="N133" i="1"/>
  <c r="N139" i="1"/>
  <c r="N144" i="1"/>
  <c r="N150" i="1"/>
  <c r="N156" i="1"/>
  <c r="N162" i="1"/>
  <c r="N165" i="1"/>
  <c r="N174" i="1"/>
  <c r="N178" i="1"/>
  <c r="N182" i="1"/>
  <c r="N186" i="1"/>
  <c r="N191" i="1"/>
  <c r="N195" i="1"/>
  <c r="N199" i="1"/>
  <c r="N204" i="1"/>
  <c r="N208" i="1"/>
  <c r="N214" i="1"/>
  <c r="N218" i="1"/>
  <c r="N222" i="1"/>
  <c r="N226" i="1"/>
  <c r="N230" i="1"/>
  <c r="N234" i="1"/>
  <c r="N238" i="1"/>
  <c r="N242" i="1"/>
  <c r="N246" i="1"/>
  <c r="N250" i="1"/>
  <c r="N254" i="1"/>
  <c r="N259" i="1"/>
  <c r="N265" i="1"/>
  <c r="N269" i="1"/>
  <c r="N273" i="1"/>
  <c r="N9" i="1"/>
  <c r="N13" i="1"/>
  <c r="N22" i="1"/>
  <c r="N29" i="1"/>
  <c r="N33" i="1"/>
  <c r="N40" i="1"/>
  <c r="N45" i="1"/>
  <c r="N53" i="1"/>
  <c r="N59" i="1"/>
  <c r="N64" i="1"/>
  <c r="N69" i="1"/>
  <c r="N75" i="1"/>
  <c r="N79" i="1"/>
  <c r="N83" i="1"/>
  <c r="N87" i="1"/>
  <c r="N94" i="1"/>
  <c r="N98" i="1"/>
  <c r="N102" i="1"/>
  <c r="N106" i="1"/>
  <c r="N110" i="1"/>
  <c r="N115" i="1"/>
  <c r="N134" i="1"/>
  <c r="N140" i="1"/>
  <c r="N145" i="1"/>
  <c r="N151" i="1"/>
  <c r="N157" i="1"/>
  <c r="N163" i="1"/>
  <c r="N171" i="1"/>
  <c r="N175" i="1"/>
  <c r="N179" i="1"/>
  <c r="N183" i="1"/>
  <c r="N187" i="1"/>
  <c r="N192" i="1"/>
  <c r="N196" i="1"/>
  <c r="N200" i="1"/>
  <c r="N205" i="1"/>
  <c r="N209" i="1"/>
  <c r="N215" i="1"/>
  <c r="N219" i="1"/>
  <c r="N223" i="1"/>
  <c r="N227" i="1"/>
  <c r="N231" i="1"/>
  <c r="N235" i="1"/>
  <c r="N239" i="1"/>
  <c r="N243" i="1"/>
  <c r="N247" i="1"/>
  <c r="N251" i="1"/>
  <c r="N255" i="1"/>
  <c r="N256" i="1"/>
  <c r="N260" i="1"/>
  <c r="N266" i="1"/>
  <c r="N270" i="1"/>
  <c r="N274" i="1"/>
  <c r="N278" i="1"/>
  <c r="N284" i="1"/>
  <c r="N288" i="1"/>
  <c r="N293" i="1"/>
  <c r="N298" i="1"/>
  <c r="N303" i="1"/>
  <c r="N307" i="1"/>
  <c r="N314" i="1"/>
  <c r="N318" i="1"/>
  <c r="N322" i="1"/>
  <c r="N326" i="1"/>
  <c r="N329" i="1"/>
  <c r="N332" i="1"/>
  <c r="N336" i="1"/>
  <c r="N340" i="1"/>
  <c r="N344" i="1"/>
  <c r="N349" i="1"/>
  <c r="N355" i="1"/>
  <c r="N10" i="1"/>
  <c r="N15" i="1"/>
  <c r="N23" i="1"/>
  <c r="N30" i="1"/>
  <c r="N35" i="1"/>
  <c r="N42" i="1"/>
  <c r="N46" i="1"/>
  <c r="N55" i="1"/>
  <c r="N60" i="1"/>
  <c r="N65" i="1"/>
  <c r="N70" i="1"/>
  <c r="N76" i="1"/>
  <c r="N80" i="1"/>
  <c r="N84" i="1"/>
  <c r="N91" i="1"/>
  <c r="N95" i="1"/>
  <c r="N99" i="1"/>
  <c r="N103" i="1"/>
  <c r="N107" i="1"/>
  <c r="N111" i="1"/>
  <c r="N116" i="1"/>
  <c r="N130" i="1"/>
  <c r="N136" i="1"/>
  <c r="N141" i="1"/>
  <c r="N147" i="1"/>
  <c r="N153" i="1"/>
  <c r="N159" i="1"/>
  <c r="N172" i="1"/>
  <c r="N176" i="1"/>
  <c r="N180" i="1"/>
  <c r="N184" i="1"/>
  <c r="N188" i="1"/>
  <c r="N193" i="1"/>
  <c r="N197" i="1"/>
  <c r="N201" i="1"/>
  <c r="N206" i="1"/>
  <c r="N211" i="1"/>
  <c r="N216" i="1"/>
  <c r="N220" i="1"/>
  <c r="N224" i="1"/>
  <c r="N228" i="1"/>
  <c r="N232" i="1"/>
  <c r="N236" i="1"/>
  <c r="N240" i="1"/>
  <c r="N244" i="1"/>
  <c r="N248" i="1"/>
  <c r="N252" i="1"/>
  <c r="N257" i="1"/>
  <c r="N263" i="1"/>
  <c r="N267" i="1"/>
  <c r="N271" i="1"/>
  <c r="N275" i="1"/>
  <c r="N279" i="1"/>
  <c r="N285" i="1"/>
  <c r="N289" i="1"/>
  <c r="N294" i="1"/>
  <c r="N299" i="1"/>
  <c r="N304" i="1"/>
  <c r="N308" i="1"/>
  <c r="N311" i="1"/>
  <c r="N315" i="1"/>
  <c r="N319" i="1"/>
  <c r="N323" i="1"/>
  <c r="N327" i="1"/>
  <c r="N330" i="1"/>
  <c r="N333" i="1"/>
  <c r="N337" i="1"/>
  <c r="N341" i="1"/>
  <c r="N346" i="1"/>
  <c r="N350" i="1"/>
  <c r="N356" i="1"/>
  <c r="N360" i="1"/>
  <c r="N364" i="1"/>
  <c r="N371" i="1"/>
  <c r="N375" i="1"/>
  <c r="N380" i="1"/>
  <c r="N385" i="1"/>
  <c r="N389" i="1"/>
  <c r="N394" i="1"/>
  <c r="N398" i="1"/>
  <c r="N402" i="1"/>
  <c r="N11" i="1"/>
  <c r="N36" i="1"/>
  <c r="N62" i="1"/>
  <c r="N81" i="1"/>
  <c r="N100" i="1"/>
  <c r="N127" i="1"/>
  <c r="N123" i="1"/>
  <c r="N173" i="1"/>
  <c r="N190" i="1"/>
  <c r="N207" i="1"/>
  <c r="N225" i="1"/>
  <c r="N241" i="1"/>
  <c r="N272" i="1"/>
  <c r="N282" i="1"/>
  <c r="N291" i="1"/>
  <c r="N302" i="1"/>
  <c r="N310" i="1"/>
  <c r="N317" i="1"/>
  <c r="N325" i="1"/>
  <c r="N339" i="1"/>
  <c r="N348" i="1"/>
  <c r="N358" i="1"/>
  <c r="N363" i="1"/>
  <c r="N368" i="1"/>
  <c r="N373" i="1"/>
  <c r="N379" i="1"/>
  <c r="N386" i="1"/>
  <c r="N391" i="1"/>
  <c r="N397" i="1"/>
  <c r="N407" i="1"/>
  <c r="N411" i="1"/>
  <c r="N416" i="1"/>
  <c r="M11" i="1"/>
  <c r="M18" i="1"/>
  <c r="M26" i="1"/>
  <c r="M33" i="1"/>
  <c r="M41" i="1"/>
  <c r="M46" i="1"/>
  <c r="M51" i="1"/>
  <c r="M55" i="1"/>
  <c r="M60" i="1"/>
  <c r="M64" i="1"/>
  <c r="M69" i="1"/>
  <c r="M73" i="1"/>
  <c r="M77" i="1"/>
  <c r="M81" i="1"/>
  <c r="M85" i="1"/>
  <c r="M92" i="1"/>
  <c r="M96" i="1"/>
  <c r="M100" i="1"/>
  <c r="M104" i="1"/>
  <c r="M109" i="1"/>
  <c r="M113" i="1"/>
  <c r="M124" i="1"/>
  <c r="M130" i="1"/>
  <c r="M135" i="1"/>
  <c r="M139" i="1"/>
  <c r="M145" i="1"/>
  <c r="M151" i="1"/>
  <c r="M157" i="1"/>
  <c r="M161" i="1"/>
  <c r="M164" i="1"/>
  <c r="M173" i="1"/>
  <c r="M177" i="1"/>
  <c r="M181" i="1"/>
  <c r="M185" i="1"/>
  <c r="M190" i="1"/>
  <c r="M194" i="1"/>
  <c r="M198" i="1"/>
  <c r="M203" i="1"/>
  <c r="M207" i="1"/>
  <c r="M212" i="1"/>
  <c r="M227" i="1"/>
  <c r="M231" i="1"/>
  <c r="M235" i="1"/>
  <c r="M251" i="1"/>
  <c r="M256" i="1"/>
  <c r="M260" i="1"/>
  <c r="M268" i="1"/>
  <c r="M272" i="1"/>
  <c r="M276" i="1"/>
  <c r="M283" i="1"/>
  <c r="N16" i="1"/>
  <c r="N43" i="1"/>
  <c r="N66" i="1"/>
  <c r="N85" i="1"/>
  <c r="N104" i="1"/>
  <c r="N131" i="1"/>
  <c r="N154" i="1"/>
  <c r="N177" i="1"/>
  <c r="N194" i="1"/>
  <c r="N212" i="1"/>
  <c r="N229" i="1"/>
  <c r="N245" i="1"/>
  <c r="N258" i="1"/>
  <c r="N276" i="1"/>
  <c r="N286" i="1"/>
  <c r="N296" i="1"/>
  <c r="N305" i="1"/>
  <c r="N312" i="1"/>
  <c r="N320" i="1"/>
  <c r="N334" i="1"/>
  <c r="N342" i="1"/>
  <c r="N353" i="1"/>
  <c r="N359" i="1"/>
  <c r="N365" i="1"/>
  <c r="N369" i="1"/>
  <c r="N374" i="1"/>
  <c r="N381" i="1"/>
  <c r="N387" i="1"/>
  <c r="N392" i="1"/>
  <c r="N399" i="1"/>
  <c r="N404" i="1"/>
  <c r="N408" i="1"/>
  <c r="N412" i="1"/>
  <c r="N2" i="1"/>
  <c r="M13" i="1"/>
  <c r="M22" i="1"/>
  <c r="M30" i="1"/>
  <c r="M35" i="1"/>
  <c r="M42" i="1"/>
  <c r="M47" i="1"/>
  <c r="M52" i="1"/>
  <c r="M56" i="1"/>
  <c r="M61" i="1"/>
  <c r="M65" i="1"/>
  <c r="M70" i="1"/>
  <c r="M74" i="1"/>
  <c r="M78" i="1"/>
  <c r="M82" i="1"/>
  <c r="M86" i="1"/>
  <c r="M93" i="1"/>
  <c r="M97" i="1"/>
  <c r="M101" i="1"/>
  <c r="M105" i="1"/>
  <c r="M110" i="1"/>
  <c r="M114" i="1"/>
  <c r="M127" i="1"/>
  <c r="M131" i="1"/>
  <c r="M136" i="1"/>
  <c r="M141" i="1"/>
  <c r="M146" i="1"/>
  <c r="M153" i="1"/>
  <c r="M158" i="1"/>
  <c r="M162" i="1"/>
  <c r="M165" i="1"/>
  <c r="M174" i="1"/>
  <c r="M178" i="1"/>
  <c r="M182" i="1"/>
  <c r="M186" i="1"/>
  <c r="M191" i="1"/>
  <c r="M195" i="1"/>
  <c r="M199" i="1"/>
  <c r="M204" i="1"/>
  <c r="M208" i="1"/>
  <c r="M214" i="1"/>
  <c r="M228" i="1"/>
  <c r="M232" i="1"/>
  <c r="M246" i="1"/>
  <c r="M252" i="1"/>
  <c r="M257" i="1"/>
  <c r="M265" i="1"/>
  <c r="M269" i="1"/>
  <c r="M273" i="1"/>
  <c r="N24" i="1"/>
  <c r="N47" i="1"/>
  <c r="N72" i="1"/>
  <c r="N92" i="1"/>
  <c r="N108" i="1"/>
  <c r="N137" i="1"/>
  <c r="N161" i="1"/>
  <c r="N181" i="1"/>
  <c r="N198" i="1"/>
  <c r="N217" i="1"/>
  <c r="N233" i="1"/>
  <c r="N249" i="1"/>
  <c r="N264" i="1"/>
  <c r="N277" i="1"/>
  <c r="N287" i="1"/>
  <c r="N297" i="1"/>
  <c r="N306" i="1"/>
  <c r="N313" i="1"/>
  <c r="N321" i="1"/>
  <c r="N328" i="1"/>
  <c r="N335" i="1"/>
  <c r="N343" i="1"/>
  <c r="N354" i="1"/>
  <c r="N361" i="1"/>
  <c r="N366" i="1"/>
  <c r="N370" i="1"/>
  <c r="N377" i="1"/>
  <c r="N382" i="1"/>
  <c r="N388" i="1"/>
  <c r="N395" i="1"/>
  <c r="N400" i="1"/>
  <c r="N405" i="1"/>
  <c r="N409" i="1"/>
  <c r="N413" i="1"/>
  <c r="M15" i="1"/>
  <c r="M23" i="1"/>
  <c r="M31" i="1"/>
  <c r="M38" i="1"/>
  <c r="M43" i="1"/>
  <c r="M49" i="1"/>
  <c r="M53" i="1"/>
  <c r="M57" i="1"/>
  <c r="M62" i="1"/>
  <c r="M66" i="1"/>
  <c r="M71" i="1"/>
  <c r="M75" i="1"/>
  <c r="M79" i="1"/>
  <c r="M83" i="1"/>
  <c r="M87" i="1"/>
  <c r="M94" i="1"/>
  <c r="M98" i="1"/>
  <c r="M102" i="1"/>
  <c r="M106" i="1"/>
  <c r="M111" i="1"/>
  <c r="M115" i="1"/>
  <c r="M129" i="1"/>
  <c r="M133" i="1"/>
  <c r="M137" i="1"/>
  <c r="M143" i="1"/>
  <c r="M147" i="1"/>
  <c r="M154" i="1"/>
  <c r="M159" i="1"/>
  <c r="M163" i="1"/>
  <c r="M171" i="1"/>
  <c r="M175" i="1"/>
  <c r="M179" i="1"/>
  <c r="M183" i="1"/>
  <c r="M187" i="1"/>
  <c r="M192" i="1"/>
  <c r="M196" i="1"/>
  <c r="M200" i="1"/>
  <c r="M205" i="1"/>
  <c r="M209" i="1"/>
  <c r="M225" i="1"/>
  <c r="M229" i="1"/>
  <c r="M233" i="1"/>
  <c r="M247" i="1"/>
  <c r="M253" i="1"/>
  <c r="M258" i="1"/>
  <c r="M266" i="1"/>
  <c r="M270" i="1"/>
  <c r="M274" i="1"/>
  <c r="M281" i="1"/>
  <c r="M285" i="1"/>
  <c r="M289" i="1"/>
  <c r="M293" i="1"/>
  <c r="M297" i="1"/>
  <c r="M302" i="1"/>
  <c r="M306" i="1"/>
  <c r="M310" i="1"/>
  <c r="M313" i="1"/>
  <c r="M409" i="1"/>
  <c r="M398" i="1"/>
  <c r="M389" i="1"/>
  <c r="M2" i="1"/>
  <c r="M397" i="1"/>
  <c r="M388" i="1"/>
  <c r="M379" i="1"/>
  <c r="M371" i="1"/>
  <c r="M416" i="1"/>
  <c r="M411" i="1"/>
  <c r="M407" i="1"/>
  <c r="M404" i="1"/>
  <c r="M400" i="1"/>
  <c r="M391" i="1"/>
  <c r="M387" i="1"/>
  <c r="M382" i="1"/>
  <c r="M378" i="1"/>
  <c r="M374" i="1"/>
  <c r="M370" i="1"/>
  <c r="M367" i="1"/>
  <c r="M363" i="1"/>
  <c r="M359" i="1"/>
  <c r="M355" i="1"/>
  <c r="M349" i="1"/>
  <c r="M344" i="1"/>
  <c r="M340" i="1"/>
  <c r="M336" i="1"/>
  <c r="M332" i="1"/>
  <c r="M329" i="1"/>
  <c r="M326" i="1"/>
  <c r="M322" i="1"/>
  <c r="M318" i="1"/>
  <c r="M314" i="1"/>
  <c r="M309" i="1"/>
  <c r="M304" i="1"/>
  <c r="M298" i="1"/>
  <c r="M292" i="1"/>
  <c r="M287" i="1"/>
  <c r="M279" i="1"/>
  <c r="M259" i="1"/>
  <c r="M230" i="1"/>
  <c r="M201" i="1"/>
  <c r="M184" i="1"/>
  <c r="M144" i="1"/>
  <c r="M116" i="1"/>
  <c r="M99" i="1"/>
  <c r="M80" i="1"/>
  <c r="M63" i="1"/>
  <c r="M44" i="1"/>
  <c r="M16" i="1"/>
  <c r="N410" i="1"/>
  <c r="N390" i="1"/>
  <c r="N367" i="1"/>
  <c r="N338" i="1"/>
  <c r="N309" i="1"/>
  <c r="N268" i="1"/>
  <c r="N203" i="1"/>
  <c r="N112" i="1"/>
  <c r="N31" i="1"/>
  <c r="D307" i="4"/>
  <c r="D306" i="4"/>
  <c r="N48" i="1"/>
  <c r="N73" i="1"/>
  <c r="N6" i="1"/>
  <c r="N5" i="1"/>
  <c r="N213" i="1"/>
  <c r="N135" i="1"/>
  <c r="N37" i="1"/>
  <c r="N21" i="1"/>
  <c r="N61" i="1"/>
  <c r="N49" i="1"/>
  <c r="N41" i="1"/>
  <c r="N17" i="1"/>
  <c r="N292" i="1"/>
  <c r="N160" i="1"/>
  <c r="N146" i="1"/>
  <c r="N142" i="1"/>
  <c r="N138" i="1"/>
  <c r="N128" i="1"/>
  <c r="N68" i="1"/>
  <c r="N52" i="1"/>
  <c r="N28" i="1"/>
  <c r="N20" i="1"/>
  <c r="N8" i="1"/>
  <c r="N295" i="1"/>
  <c r="N280" i="1"/>
  <c r="N155" i="1"/>
  <c r="N71" i="1"/>
  <c r="N39" i="1"/>
  <c r="N27" i="1"/>
  <c r="N19" i="1"/>
  <c r="N7" i="1"/>
  <c r="N283" i="1"/>
  <c r="N210" i="1"/>
  <c r="N202" i="1"/>
  <c r="N158" i="1"/>
  <c r="N132" i="1"/>
  <c r="N124" i="1"/>
  <c r="N113" i="1"/>
  <c r="N58" i="1"/>
  <c r="N54" i="1"/>
  <c r="N50" i="1"/>
  <c r="N34" i="1"/>
  <c r="N26" i="1"/>
  <c r="N14" i="1"/>
  <c r="M5" i="1"/>
  <c r="M4" i="1"/>
  <c r="M245" i="1"/>
  <c r="M221" i="1"/>
  <c r="M217" i="1"/>
  <c r="M213" i="1"/>
  <c r="M108" i="1"/>
  <c r="M45" i="1"/>
  <c r="M29" i="1"/>
  <c r="M277" i="1"/>
  <c r="M244" i="1"/>
  <c r="M236" i="1"/>
  <c r="M220" i="1"/>
  <c r="M216" i="1"/>
  <c r="M68" i="1"/>
  <c r="M48" i="1"/>
  <c r="M36" i="1"/>
  <c r="M28" i="1"/>
  <c r="M24" i="1"/>
  <c r="M20" i="1"/>
  <c r="M12" i="1"/>
  <c r="M8" i="1"/>
  <c r="M280" i="1"/>
  <c r="M264" i="1"/>
  <c r="M255" i="1"/>
  <c r="M243" i="1"/>
  <c r="M239" i="1"/>
  <c r="M223" i="1"/>
  <c r="M219" i="1"/>
  <c r="M215" i="1"/>
  <c r="M155" i="1"/>
  <c r="M39" i="1"/>
  <c r="M27" i="1"/>
  <c r="M19" i="1"/>
  <c r="M7" i="1"/>
  <c r="M3" i="1"/>
  <c r="M278" i="1"/>
  <c r="M249" i="1"/>
  <c r="M241" i="1"/>
  <c r="M237" i="1"/>
  <c r="M37" i="1"/>
  <c r="M21" i="1"/>
  <c r="M17" i="1"/>
  <c r="M9" i="1"/>
  <c r="M248" i="1"/>
  <c r="M240" i="1"/>
  <c r="M224" i="1"/>
  <c r="M142" i="1"/>
  <c r="M128" i="1"/>
  <c r="M263" i="1"/>
  <c r="M242" i="1"/>
  <c r="M238" i="1"/>
  <c r="M222" i="1"/>
  <c r="M218" i="1"/>
  <c r="M210" i="1"/>
  <c r="M202" i="1"/>
  <c r="M123" i="1"/>
  <c r="M140" i="1"/>
  <c r="M132" i="1"/>
  <c r="M58" i="1"/>
  <c r="M34" i="1"/>
  <c r="M14" i="1"/>
  <c r="M6" i="1"/>
</calcChain>
</file>

<file path=xl/sharedStrings.xml><?xml version="1.0" encoding="utf-8"?>
<sst xmlns="http://schemas.openxmlformats.org/spreadsheetml/2006/main" count="4014" uniqueCount="707">
  <si>
    <t>BBC Red Button</t>
  </si>
  <si>
    <t>Name</t>
  </si>
  <si>
    <t>ID</t>
  </si>
  <si>
    <t>Show</t>
  </si>
  <si>
    <t>HD</t>
  </si>
  <si>
    <t>Logo</t>
  </si>
  <si>
    <t>Plus One</t>
  </si>
  <si>
    <t>Target</t>
  </si>
  <si>
    <t>Source</t>
  </si>
  <si>
    <t>Virgin Media Previews</t>
  </si>
  <si>
    <t>hayu</t>
  </si>
  <si>
    <t>Worldbox</t>
  </si>
  <si>
    <t>BBC One</t>
  </si>
  <si>
    <t>ITV</t>
  </si>
  <si>
    <t>Channel 4</t>
  </si>
  <si>
    <t>Channel 5</t>
  </si>
  <si>
    <t>E4</t>
  </si>
  <si>
    <t>BBC Four</t>
  </si>
  <si>
    <t>BBC One HD</t>
  </si>
  <si>
    <t>ITV HD</t>
  </si>
  <si>
    <t>ITV +1</t>
  </si>
  <si>
    <t>ITV2</t>
  </si>
  <si>
    <t>ITV2 +1</t>
  </si>
  <si>
    <t>ITV3</t>
  </si>
  <si>
    <t>ITV4</t>
  </si>
  <si>
    <t>ITVBe</t>
  </si>
  <si>
    <t>ITVBe +1</t>
  </si>
  <si>
    <t>Sky Arts</t>
  </si>
  <si>
    <t>Pick</t>
  </si>
  <si>
    <t>Gold</t>
  </si>
  <si>
    <t>W</t>
  </si>
  <si>
    <t>alibi</t>
  </si>
  <si>
    <t>Dave</t>
  </si>
  <si>
    <t>Drama</t>
  </si>
  <si>
    <t>Really</t>
  </si>
  <si>
    <t>W +1</t>
  </si>
  <si>
    <t>Comedy Central</t>
  </si>
  <si>
    <t>Comedy Central +1</t>
  </si>
  <si>
    <t>MTV</t>
  </si>
  <si>
    <t>Syfy</t>
  </si>
  <si>
    <t>Syfy +1</t>
  </si>
  <si>
    <t>Challenge</t>
  </si>
  <si>
    <t>Channel 4 HD</t>
  </si>
  <si>
    <t>Channel 4 +1</t>
  </si>
  <si>
    <t>4seven</t>
  </si>
  <si>
    <t>E4 HD</t>
  </si>
  <si>
    <t>E4 +1</t>
  </si>
  <si>
    <t>More4</t>
  </si>
  <si>
    <t>CBS Reality</t>
  </si>
  <si>
    <t>Horror Channel</t>
  </si>
  <si>
    <t>Channel 5 HD</t>
  </si>
  <si>
    <t>5STAR</t>
  </si>
  <si>
    <t>Channel 5 +1</t>
  </si>
  <si>
    <t>E!</t>
  </si>
  <si>
    <t>FOX</t>
  </si>
  <si>
    <t>FOX +1</t>
  </si>
  <si>
    <t>Real Lives</t>
  </si>
  <si>
    <t>BBC Alba</t>
  </si>
  <si>
    <t>BBC Two HD</t>
  </si>
  <si>
    <t>BBC Four HD</t>
  </si>
  <si>
    <t>Syfy HD</t>
  </si>
  <si>
    <t>S4C</t>
  </si>
  <si>
    <t>TLC</t>
  </si>
  <si>
    <t>TLC HD</t>
  </si>
  <si>
    <t>TLC +1</t>
  </si>
  <si>
    <t>Investigation Discovery</t>
  </si>
  <si>
    <t>Investigation Discovery +1</t>
  </si>
  <si>
    <t>Quest</t>
  </si>
  <si>
    <t>Quest +1</t>
  </si>
  <si>
    <t>ITV3 +1</t>
  </si>
  <si>
    <t>ITV4 +1</t>
  </si>
  <si>
    <t>ITV2 HD</t>
  </si>
  <si>
    <t>ITV3 HD</t>
  </si>
  <si>
    <t>ITV4 HD</t>
  </si>
  <si>
    <t>ITVBe HD</t>
  </si>
  <si>
    <t>Challenge +1</t>
  </si>
  <si>
    <t>Comedy Central HD</t>
  </si>
  <si>
    <t>Comedy Central Extra</t>
  </si>
  <si>
    <t>MTV HD</t>
  </si>
  <si>
    <t>BET</t>
  </si>
  <si>
    <t>5STAR +1</t>
  </si>
  <si>
    <t>Gold +1</t>
  </si>
  <si>
    <t>W HD</t>
  </si>
  <si>
    <t>Dave HD</t>
  </si>
  <si>
    <t>More4 HD</t>
  </si>
  <si>
    <t>CBS Drama</t>
  </si>
  <si>
    <t>YouTube</t>
  </si>
  <si>
    <t>FOX HD</t>
  </si>
  <si>
    <t>CBS Reality +1</t>
  </si>
  <si>
    <t>Horror Channel +1</t>
  </si>
  <si>
    <t>4seven HD</t>
  </si>
  <si>
    <t>Netflix</t>
  </si>
  <si>
    <t>Sky Arts HD</t>
  </si>
  <si>
    <t>Real Lives +1</t>
  </si>
  <si>
    <t>Lifetime</t>
  </si>
  <si>
    <t>Lifetime HD</t>
  </si>
  <si>
    <t>Dave ja vu</t>
  </si>
  <si>
    <t>TruTV</t>
  </si>
  <si>
    <t>DMAX</t>
  </si>
  <si>
    <t>DMAX +1</t>
  </si>
  <si>
    <t>Quest Red</t>
  </si>
  <si>
    <t>Blaze</t>
  </si>
  <si>
    <t>Yesterday</t>
  </si>
  <si>
    <t>Yesterday +1</t>
  </si>
  <si>
    <t>Eden</t>
  </si>
  <si>
    <t>Eden +1</t>
  </si>
  <si>
    <t>Eden HD</t>
  </si>
  <si>
    <t>Animal Planet</t>
  </si>
  <si>
    <t>Animal Planet HD</t>
  </si>
  <si>
    <t>Animal Planet +1</t>
  </si>
  <si>
    <t>Discovery Science</t>
  </si>
  <si>
    <t>Discovery Science +1</t>
  </si>
  <si>
    <t>Discovery Turbo</t>
  </si>
  <si>
    <t>Discovery History</t>
  </si>
  <si>
    <t>Discovery History +1</t>
  </si>
  <si>
    <t>Nat Geo Wild</t>
  </si>
  <si>
    <t>Nat Geo Wild HD</t>
  </si>
  <si>
    <t>History</t>
  </si>
  <si>
    <t>History +1</t>
  </si>
  <si>
    <t>H2</t>
  </si>
  <si>
    <t>H2 HD</t>
  </si>
  <si>
    <t>Crime + Investigation</t>
  </si>
  <si>
    <t>PBS America</t>
  </si>
  <si>
    <t>Forces TV</t>
  </si>
  <si>
    <t>Good Food</t>
  </si>
  <si>
    <t>Good Food +1</t>
  </si>
  <si>
    <t>Good Food HD</t>
  </si>
  <si>
    <t>Home</t>
  </si>
  <si>
    <t>Home +1</t>
  </si>
  <si>
    <t>Discovery Home &amp; Health</t>
  </si>
  <si>
    <t>Discovery Home &amp; Health +1</t>
  </si>
  <si>
    <t>Discovery Shed</t>
  </si>
  <si>
    <t>GOD Channel</t>
  </si>
  <si>
    <t>Food Network</t>
  </si>
  <si>
    <t>Travel Channel</t>
  </si>
  <si>
    <t>MTV Music</t>
  </si>
  <si>
    <t>MTV Live HD</t>
  </si>
  <si>
    <t>MTV Hits</t>
  </si>
  <si>
    <t>MTV Base</t>
  </si>
  <si>
    <t>MTV Rocks</t>
  </si>
  <si>
    <t>VH1</t>
  </si>
  <si>
    <t>MTV OMG</t>
  </si>
  <si>
    <t>Box Upfront</t>
  </si>
  <si>
    <t>The Box</t>
  </si>
  <si>
    <t>Box Hits</t>
  </si>
  <si>
    <t>4Music</t>
  </si>
  <si>
    <t>Kiss</t>
  </si>
  <si>
    <t>Magic</t>
  </si>
  <si>
    <t>Vevo</t>
  </si>
  <si>
    <t>Sky Cinema Premiere HD</t>
  </si>
  <si>
    <t>Sky Cinema Hits HD</t>
  </si>
  <si>
    <t>Sky Cinema Greats HD</t>
  </si>
  <si>
    <t>Sky Cinema Disney HD</t>
  </si>
  <si>
    <t>Sky Cinema Family HD</t>
  </si>
  <si>
    <t>Sky Cinema Comedy HD</t>
  </si>
  <si>
    <t>Sky Cinema Select HD</t>
  </si>
  <si>
    <t>TCM</t>
  </si>
  <si>
    <t>TCM HD</t>
  </si>
  <si>
    <t>TCM +1</t>
  </si>
  <si>
    <t>Movies 24</t>
  </si>
  <si>
    <t>Sony Movie Channel</t>
  </si>
  <si>
    <t>Movies4Men</t>
  </si>
  <si>
    <t>Film4</t>
  </si>
  <si>
    <t>Film4 HD</t>
  </si>
  <si>
    <t>Film4 +1</t>
  </si>
  <si>
    <t>Sky Cinema Premiere</t>
  </si>
  <si>
    <t>Sky Cinema Premiere +1</t>
  </si>
  <si>
    <t>Sky Cinema Hits</t>
  </si>
  <si>
    <t>Sky Cinema Greats</t>
  </si>
  <si>
    <t>Sky Cinema Disney</t>
  </si>
  <si>
    <t>Sky Cinema Family</t>
  </si>
  <si>
    <t>Sky Cinema Comedy</t>
  </si>
  <si>
    <t>Sky Cinema Select</t>
  </si>
  <si>
    <t>Talking Pictures TV</t>
  </si>
  <si>
    <t>Sky Sports Main Event HD</t>
  </si>
  <si>
    <t>Sky Sports Premier League HD</t>
  </si>
  <si>
    <t>Sky Sports Football HD</t>
  </si>
  <si>
    <t>Sky Sports Cricket HD</t>
  </si>
  <si>
    <t>Sky Sports Golf HD</t>
  </si>
  <si>
    <t>Sky Sports F1 HD</t>
  </si>
  <si>
    <t>Sky Sports Action HD</t>
  </si>
  <si>
    <t>Sky Sports Arena HD</t>
  </si>
  <si>
    <t>Sky Sports News HD</t>
  </si>
  <si>
    <t>Sky Sports Mix HD</t>
  </si>
  <si>
    <t>Sky Sports Main Event</t>
  </si>
  <si>
    <t>Sky Sports Premier League</t>
  </si>
  <si>
    <t>Sky Sports Football</t>
  </si>
  <si>
    <t>Sky Sports Cricket</t>
  </si>
  <si>
    <t>Sky Sports Golf</t>
  </si>
  <si>
    <t>Sky Sports F1</t>
  </si>
  <si>
    <t>Sky Sports Action</t>
  </si>
  <si>
    <t>Sky Sports Arena</t>
  </si>
  <si>
    <t>Sky Sports News</t>
  </si>
  <si>
    <t>Sky Sports Mix</t>
  </si>
  <si>
    <t>Eurosport 1 HD</t>
  </si>
  <si>
    <t>Eurosport 2 HD</t>
  </si>
  <si>
    <t>Eurosport 1</t>
  </si>
  <si>
    <t>Eurosport 2</t>
  </si>
  <si>
    <t>MUTV</t>
  </si>
  <si>
    <t>BT Sport 1 HD</t>
  </si>
  <si>
    <t>BT Sport 2 HD</t>
  </si>
  <si>
    <t>BT Sport 3 HD</t>
  </si>
  <si>
    <t>BT Sport ESPN HD</t>
  </si>
  <si>
    <t>At The Races</t>
  </si>
  <si>
    <t>BBC News</t>
  </si>
  <si>
    <t>Sky News</t>
  </si>
  <si>
    <t>Sky News HD</t>
  </si>
  <si>
    <t>BBC News HD</t>
  </si>
  <si>
    <t>BBC Parliament</t>
  </si>
  <si>
    <t>Euronews</t>
  </si>
  <si>
    <t>NDTV 24x7</t>
  </si>
  <si>
    <t>Al Jazeera English</t>
  </si>
  <si>
    <t>CBBC</t>
  </si>
  <si>
    <t>CBeebies</t>
  </si>
  <si>
    <t>Cartoon Network</t>
  </si>
  <si>
    <t>Cartoon Network +1</t>
  </si>
  <si>
    <t>Cartoonito</t>
  </si>
  <si>
    <t>Disney XD</t>
  </si>
  <si>
    <t>CBBC HD</t>
  </si>
  <si>
    <t>CBeebies HD</t>
  </si>
  <si>
    <t>Nickelodeon</t>
  </si>
  <si>
    <t>Nick Jr.</t>
  </si>
  <si>
    <t>Nick Jr. Too</t>
  </si>
  <si>
    <t>Nicktoons</t>
  </si>
  <si>
    <t>Disney Channel</t>
  </si>
  <si>
    <t>Disney Channel +1</t>
  </si>
  <si>
    <t>Disney Junior</t>
  </si>
  <si>
    <t>Boomerang</t>
  </si>
  <si>
    <t>Boomerang +1</t>
  </si>
  <si>
    <t>Cartoon Network HD</t>
  </si>
  <si>
    <t>CITV</t>
  </si>
  <si>
    <t>POP</t>
  </si>
  <si>
    <t>Tiny Pop</t>
  </si>
  <si>
    <t>QVC</t>
  </si>
  <si>
    <t>QVC Beauty</t>
  </si>
  <si>
    <t>QVC Style</t>
  </si>
  <si>
    <t>Ideal World</t>
  </si>
  <si>
    <t>Create and Craft</t>
  </si>
  <si>
    <t>Gems TV</t>
  </si>
  <si>
    <t>Jewellery Maker</t>
  </si>
  <si>
    <t>TJC</t>
  </si>
  <si>
    <t>Star Bharat</t>
  </si>
  <si>
    <t>Zing</t>
  </si>
  <si>
    <t>B4U Movies</t>
  </si>
  <si>
    <t>B4U Music</t>
  </si>
  <si>
    <t>Rishtey Cineplex</t>
  </si>
  <si>
    <t>NDTV Good Times</t>
  </si>
  <si>
    <t>Al Jazeera Arabic</t>
  </si>
  <si>
    <t>Hum Europe</t>
  </si>
  <si>
    <t>NDTV India</t>
  </si>
  <si>
    <t>NDTV Spice</t>
  </si>
  <si>
    <t>Islam Channel Urdu</t>
  </si>
  <si>
    <t>MTV Beats</t>
  </si>
  <si>
    <t>BBC One Scotland</t>
  </si>
  <si>
    <t>BBC One Wales</t>
  </si>
  <si>
    <t>BBC Two England</t>
  </si>
  <si>
    <t>BBC Radio 1</t>
  </si>
  <si>
    <t>BBC Radio 2</t>
  </si>
  <si>
    <t>BBC Radio 3</t>
  </si>
  <si>
    <t>BBC Radio 5 Live</t>
  </si>
  <si>
    <t>BBC World Service</t>
  </si>
  <si>
    <t>BBC Radio 6 Music</t>
  </si>
  <si>
    <t>BBC Radio 4 Extra</t>
  </si>
  <si>
    <t>BBC Asian Network</t>
  </si>
  <si>
    <t>Absolute Radio</t>
  </si>
  <si>
    <t>Smooth Radio</t>
  </si>
  <si>
    <t>Heart 80s</t>
  </si>
  <si>
    <t>Classic FM</t>
  </si>
  <si>
    <t>Planet Rock</t>
  </si>
  <si>
    <t>Talksport</t>
  </si>
  <si>
    <t>BBC Radio Scotland</t>
  </si>
  <si>
    <t>BBC Radio Wales</t>
  </si>
  <si>
    <t>BBC Radio Ulster</t>
  </si>
  <si>
    <t>BBC Radio Cymru</t>
  </si>
  <si>
    <t>Absolute Classic Rock</t>
  </si>
  <si>
    <t>Capital XTRA</t>
  </si>
  <si>
    <t>Radio X</t>
  </si>
  <si>
    <t>Adult Channel</t>
  </si>
  <si>
    <t>Television X</t>
  </si>
  <si>
    <t/>
  </si>
  <si>
    <t>HD Auto</t>
  </si>
  <si>
    <t>Entry</t>
  </si>
  <si>
    <t>RTÉ One</t>
  </si>
  <si>
    <t>TG4</t>
  </si>
  <si>
    <t>media_player.family_room</t>
  </si>
  <si>
    <t>Virgin V6</t>
  </si>
  <si>
    <t>Virgin Tivo</t>
  </si>
  <si>
    <t>CCTV</t>
  </si>
  <si>
    <t>https://www.freeview.co.uk/app/themes/freeview/assets/images/channels/entertainment/rteone.png</t>
  </si>
  <si>
    <t>Sky One HD</t>
  </si>
  <si>
    <t>Sky One</t>
  </si>
  <si>
    <t>Sky Witness HD</t>
  </si>
  <si>
    <t>Sky Witness</t>
  </si>
  <si>
    <t>Sky Two</t>
  </si>
  <si>
    <t>Gold HD</t>
  </si>
  <si>
    <t>Universal TV</t>
  </si>
  <si>
    <t>Universal TV +1</t>
  </si>
  <si>
    <t>Sky Witness +1</t>
  </si>
  <si>
    <t>5Select</t>
  </si>
  <si>
    <t>5Spike</t>
  </si>
  <si>
    <t>Regional Channels</t>
  </si>
  <si>
    <t>Universal TV HD</t>
  </si>
  <si>
    <t>Paramount Network HD</t>
  </si>
  <si>
    <t>Paramount Network</t>
  </si>
  <si>
    <t>True Entertainment</t>
  </si>
  <si>
    <t>More4 +1</t>
  </si>
  <si>
    <t>Quest HD</t>
  </si>
  <si>
    <t>YourTV</t>
  </si>
  <si>
    <t>Vice</t>
  </si>
  <si>
    <t>True Entertainment +1</t>
  </si>
  <si>
    <t>Lifetime +1</t>
  </si>
  <si>
    <t>Discovery HD</t>
  </si>
  <si>
    <t>Together</t>
  </si>
  <si>
    <t>Crime + Investigation HD</t>
  </si>
  <si>
    <t>God Channel</t>
  </si>
  <si>
    <t>Love Nature HD</t>
  </si>
  <si>
    <t>Love Nature</t>
  </si>
  <si>
    <t>Crime + Investigation +1</t>
  </si>
  <si>
    <t>Horse &amp; Country</t>
  </si>
  <si>
    <t>Kerrang!</t>
  </si>
  <si>
    <t>Now 80s</t>
  </si>
  <si>
    <t>Sky Cinema Action HD</t>
  </si>
  <si>
    <t>Sky Cinema Thriller HD</t>
  </si>
  <si>
    <t>Sky Cinema Drama HD</t>
  </si>
  <si>
    <t>Movies 24 + 1</t>
  </si>
  <si>
    <t>True Movies</t>
  </si>
  <si>
    <t>Sky Cinema Action</t>
  </si>
  <si>
    <t>Sky Cinema Thriller</t>
  </si>
  <si>
    <t>Sky Cinema Drama</t>
  </si>
  <si>
    <t>BoxNation</t>
  </si>
  <si>
    <t>Premier Sports 1 HD</t>
  </si>
  <si>
    <t>Premier Sports 2</t>
  </si>
  <si>
    <t>FreeSports HD</t>
  </si>
  <si>
    <t>BT Sport 4K UHD</t>
  </si>
  <si>
    <t>France 24 English HD</t>
  </si>
  <si>
    <t>Pop</t>
  </si>
  <si>
    <t>ZooMoo HD</t>
  </si>
  <si>
    <t>Star Gold HD</t>
  </si>
  <si>
    <t>Star Plus HD</t>
  </si>
  <si>
    <t>SONY Max HD</t>
  </si>
  <si>
    <t>SONY SAB</t>
  </si>
  <si>
    <t>Zee TV HD</t>
  </si>
  <si>
    <t>Zee Cinema HD</t>
  </si>
  <si>
    <t>&amp;TV</t>
  </si>
  <si>
    <t>Living Foodz HD</t>
  </si>
  <si>
    <t>Colors</t>
  </si>
  <si>
    <t>France 24 French HD</t>
  </si>
  <si>
    <t>Islam Channel</t>
  </si>
  <si>
    <t>ABN</t>
  </si>
  <si>
    <t>BBC One AD</t>
  </si>
  <si>
    <t>BBC Two AD</t>
  </si>
  <si>
    <t>ITV AD</t>
  </si>
  <si>
    <t>Channel 4 AD</t>
  </si>
  <si>
    <t>Channel 5 AD</t>
  </si>
  <si>
    <t>S4C AD</t>
  </si>
  <si>
    <t>BBC Radio 4</t>
  </si>
  <si>
    <t>BBC Radio 4 LW</t>
  </si>
  <si>
    <t>LBC</t>
  </si>
  <si>
    <t>BBC Radio Foyle</t>
  </si>
  <si>
    <t>BBC London</t>
  </si>
  <si>
    <t>Absolute 80s</t>
  </si>
  <si>
    <t>Virgin TV Ultra HD</t>
  </si>
  <si>
    <t>History HD</t>
  </si>
  <si>
    <t>Package</t>
  </si>
  <si>
    <t>EPG No.</t>
  </si>
  <si>
    <t>Channel name</t>
  </si>
  <si>
    <t>Notes</t>
  </si>
  <si>
    <t>Owner/parent company</t>
  </si>
  <si>
    <t>Broadcast hours</t>
  </si>
  <si>
    <t>Encryption/</t>
  </si>
  <si>
    <t>Format</t>
  </si>
  <si>
    <t>Audio</t>
  </si>
  <si>
    <t>Launch date</t>
  </si>
  <si>
    <t>Varies</t>
  </si>
  <si>
    <t>Pay-per-view</t>
  </si>
  <si>
    <t>16:9 SDTV</t>
  </si>
  <si>
    <t>2.0 Stereo</t>
  </si>
  <si>
    <t>Virgin Media Highlights</t>
  </si>
  <si>
    <t>24 hours</t>
  </si>
  <si>
    <t>Mix</t>
  </si>
  <si>
    <t>BBC</t>
  </si>
  <si>
    <t>Free-to-air</t>
  </si>
  <si>
    <t>Made up of 18 ITV, 4 STV and 1 UTV regional stations. Branded ITV, STV or UTV depending on location; see also channels 853 and 870-871.</t>
  </si>
  <si>
    <t>See also channel 854.</t>
  </si>
  <si>
    <t>Channel Four Television Corporation</t>
  </si>
  <si>
    <t>See also channel 855.</t>
  </si>
  <si>
    <t>Viacom International Media Networks Europe</t>
  </si>
  <si>
    <t>Player</t>
  </si>
  <si>
    <t>BBC iPlayer via the red button.</t>
  </si>
  <si>
    <t>18:58 – 05:30</t>
  </si>
  <si>
    <t>1080i HDTV</t>
  </si>
  <si>
    <t>2.0 PLII Digital / 5.1 AC3 Digital</t>
  </si>
  <si>
    <t>Sky plc</t>
  </si>
  <si>
    <t>Full House</t>
  </si>
  <si>
    <t>5.1 AC3 Digital</t>
  </si>
  <si>
    <t>Made up of 5 ITV regions, STV HD and UTV HD. Branded ITV HD, STV HD or UTV HD depending on location.</t>
  </si>
  <si>
    <t>1 hour timeshift of ITV, STV or UTV. Made up of 10 ITV +1 regions, 2 STV regions plus UTV +1. Branded ITV +1, STV +1 or UTV +1 depending on location.</t>
  </si>
  <si>
    <t>1 hour timeshift of ITV2.</t>
  </si>
  <si>
    <t>1 hour timeshift of ITVBe.</t>
  </si>
  <si>
    <t>07:00 – 04:00</t>
  </si>
  <si>
    <t>06:00 – 03:00</t>
  </si>
  <si>
    <t>Alibi</t>
  </si>
  <si>
    <t>04:00 – 02:00</t>
  </si>
  <si>
    <t>Alibi +1</t>
  </si>
  <si>
    <t>1 hour timeshift of Alibi.</t>
  </si>
  <si>
    <t>08:00 – 05:00</t>
  </si>
  <si>
    <t>1 hour timeshift of W.</t>
  </si>
  <si>
    <t>1 hour timeshift of Comedy Central.</t>
  </si>
  <si>
    <t>09:00 – 06:00</t>
  </si>
  <si>
    <t>NBCUniversal International Networks</t>
  </si>
  <si>
    <t>11:00 – 08:00</t>
  </si>
  <si>
    <t>1 hour timeshift of Syfy.</t>
  </si>
  <si>
    <t>12:00 – 09:00</t>
  </si>
  <si>
    <t>08:00 – 07:00</t>
  </si>
  <si>
    <t>1 hour timeshift of Universal TV.</t>
  </si>
  <si>
    <t>09:00 – 08:00</t>
  </si>
  <si>
    <t>1 hour timeshift of Sky Witness.</t>
  </si>
  <si>
    <t>1 hour timeshift of Channel 4.</t>
  </si>
  <si>
    <t>09:00 – 05:00</t>
  </si>
  <si>
    <t>1 hour timeshift of E4.</t>
  </si>
  <si>
    <t>09:00 – 04:00</t>
  </si>
  <si>
    <t>CBS AMC Networks UK Channels Partnership</t>
  </si>
  <si>
    <t>2.0 PLII Digital</t>
  </si>
  <si>
    <t>5SELECT</t>
  </si>
  <si>
    <t>5USA</t>
  </si>
  <si>
    <t>1 hour timeshift of Channel 5.</t>
  </si>
  <si>
    <t>07:00 – 05:00</t>
  </si>
  <si>
    <t>Fox</t>
  </si>
  <si>
    <t>Fox +1</t>
  </si>
  <si>
    <t>1 hour timeshift of Fox.</t>
  </si>
  <si>
    <t>Local TV</t>
  </si>
  <si>
    <t>Regional differences – see separate table below.</t>
  </si>
  <si>
    <t>Programmes in Scottish Gaelic. BBC iPlayer via the red button.</t>
  </si>
  <si>
    <t>BBC/MG Alba</t>
  </si>
  <si>
    <t>Programmes in Welsh; see also channel 856. Alternative language selection via the red button.</t>
  </si>
  <si>
    <t>S4C Authority</t>
  </si>
  <si>
    <t>07:00 – 00:00</t>
  </si>
  <si>
    <t>Discovery, Inc</t>
  </si>
  <si>
    <t>1 hour timeshift of TLC.</t>
  </si>
  <si>
    <t>1 hour timeshift of Investigation Discovery.</t>
  </si>
  <si>
    <t>1 hour timeshift of Quest.</t>
  </si>
  <si>
    <t>1 hour timeshift of ITV3.</t>
  </si>
  <si>
    <t>1 hour timeshift of ITV4.</t>
  </si>
  <si>
    <t>1 hour timeshift of Challenge.</t>
  </si>
  <si>
    <t>Fun</t>
  </si>
  <si>
    <t>5USA +1</t>
  </si>
  <si>
    <t>1 hour timeshift of 5USA.</t>
  </si>
  <si>
    <t>10:00 – 05:00</t>
  </si>
  <si>
    <t>1 hour timeshift of 5STAR.</t>
  </si>
  <si>
    <t>Columbia Pictures Corporation Ltd</t>
  </si>
  <si>
    <t>1 hour timeshift of Gold.</t>
  </si>
  <si>
    <t>Sony Crime</t>
  </si>
  <si>
    <t>1 hour timeshift of More4.</t>
  </si>
  <si>
    <t>Access to the YouTube app on TiVo via the red button.</t>
  </si>
  <si>
    <t>Google</t>
  </si>
  <si>
    <t>Fox HD</t>
  </si>
  <si>
    <t>Alibi HD</t>
  </si>
  <si>
    <t>1 hour timeshift of CBS Reality.</t>
  </si>
  <si>
    <t>10:00 – 07:00</t>
  </si>
  <si>
    <t>1 hour timeshift of Horror Channel.</t>
  </si>
  <si>
    <t>Access to the Netflix app on TiVo via the red button.</t>
  </si>
  <si>
    <t>Netflix, Inc.</t>
  </si>
  <si>
    <t>Premium</t>
  </si>
  <si>
    <t>1 hour timeshift of Real Lives.</t>
  </si>
  <si>
    <t>Hayu</t>
  </si>
  <si>
    <t>Access to the Hayu app on TiVo via the red button.</t>
  </si>
  <si>
    <t>1 hour timeshift of Dave.</t>
  </si>
  <si>
    <t>1 hour timeshift of DMAX.</t>
  </si>
  <si>
    <t>07:00 – 03:00</t>
  </si>
  <si>
    <t>Vice Media</t>
  </si>
  <si>
    <t>1 hour timeshift of True Entertainment.</t>
  </si>
  <si>
    <t>Temporary duplicate version also appears at channel 272</t>
  </si>
  <si>
    <t>Temporary duplicate version also appears at channel 275</t>
  </si>
  <si>
    <t>05:00 – 04:00</t>
  </si>
  <si>
    <t>Temporary duplicate version also appears at channel 295. 1 hour timeshift of Crime + Investiagtion.</t>
  </si>
  <si>
    <t>1 hour timeshift of Lifetime.</t>
  </si>
  <si>
    <t>Virgin TV Ultra HD channel</t>
  </si>
  <si>
    <t>Prime time to early hours</t>
  </si>
  <si>
    <t>2160p UHDTV</t>
  </si>
  <si>
    <t>That’s TV Humber</t>
  </si>
  <si>
    <t>Lincolnshire &amp; North Yorkshire.</t>
  </si>
  <si>
    <t>That’s TV</t>
  </si>
  <si>
    <t>06:00 – 00:00</t>
  </si>
  <si>
    <t>London Live</t>
  </si>
  <si>
    <t>London and surrounding areas.</t>
  </si>
  <si>
    <t>Notts TV</t>
  </si>
  <si>
    <t>Nottingham and surrounding areas.</t>
  </si>
  <si>
    <t>Confetti Media Group</t>
  </si>
  <si>
    <t>16:00 – 00:0</t>
  </si>
  <si>
    <t>Latest TV</t>
  </si>
  <si>
    <t>Brighton, Hove and surrounding areas.</t>
  </si>
  <si>
    <t>Latest TV Ltd</t>
  </si>
  <si>
    <t>Sheffield Live TV</t>
  </si>
  <si>
    <t>Sheffield and surrounding areas.</t>
  </si>
  <si>
    <t>Sheffield Community Media Ltd</t>
  </si>
  <si>
    <t>NVTV</t>
  </si>
  <si>
    <t>Belfast and surrounding areas.</t>
  </si>
  <si>
    <t>Northern Visions Ltd</t>
  </si>
  <si>
    <t>Bristol TV</t>
  </si>
  <si>
    <t>Bristol and surrounding areas.</t>
  </si>
  <si>
    <t>Local Television Ltd</t>
  </si>
  <si>
    <t>Cardiff TV</t>
  </si>
  <si>
    <t>Cardiff and surrounding areas.</t>
  </si>
  <si>
    <t>Leeds TV</t>
  </si>
  <si>
    <t>Leeds and surrounding areas.</t>
  </si>
  <si>
    <t>Tyne &amp; Wear TV</t>
  </si>
  <si>
    <t>Newcastle and surrounding areas.</t>
  </si>
  <si>
    <t>Liverpool TV</t>
  </si>
  <si>
    <t>Liverpool and surrounding areas.</t>
  </si>
  <si>
    <t>Birmingham TV</t>
  </si>
  <si>
    <t>Birmingham and surrounding areas.</t>
  </si>
  <si>
    <t>That's TV Swansea Bay</t>
  </si>
  <si>
    <t>Swansea and surrounding areas.</t>
  </si>
  <si>
    <t>That's TV</t>
  </si>
  <si>
    <t>That's TV Cambridge</t>
  </si>
  <si>
    <t>Cambridge and surrounding areas.</t>
  </si>
  <si>
    <t>Teeside TV</t>
  </si>
  <si>
    <t>Middlesbrough and surrounding areas.</t>
  </si>
  <si>
    <t>KMTV</t>
  </si>
  <si>
    <t>Maidstone and Tonbridge.</t>
  </si>
  <si>
    <t>KMTV Television</t>
  </si>
  <si>
    <t>That's TV Norfolk</t>
  </si>
  <si>
    <t>Norwich.</t>
  </si>
  <si>
    <t>1 hour timeshift of Yesterday.</t>
  </si>
  <si>
    <t>1 hour timeshift of Eden.</t>
  </si>
  <si>
    <t>Discovery Channel</t>
  </si>
  <si>
    <t>Discovery Channel +1</t>
  </si>
  <si>
    <t>1 hour timeshift of Discovery Channel.</t>
  </si>
  <si>
    <t>1 hour timeshift of Animal Planet.</t>
  </si>
  <si>
    <t>1 hour timeshift of Discovery Science.</t>
  </si>
  <si>
    <t>1 hour timeshift of Discovery History.</t>
  </si>
  <si>
    <t>National Geographic Channel</t>
  </si>
  <si>
    <t>National Geographic Channel +1</t>
  </si>
  <si>
    <t>1 hour timeshift of National Geographic Channel.</t>
  </si>
  <si>
    <t>National Geographic Channel HD</t>
  </si>
  <si>
    <t>Community Channel</t>
  </si>
  <si>
    <t>1 hour timeshift of History.</t>
  </si>
  <si>
    <t>Temporary duplicate version also appears at channel 222</t>
  </si>
  <si>
    <t>Temporary duplicate version also appears at channel 223</t>
  </si>
  <si>
    <t>PBS UK LLC</t>
  </si>
  <si>
    <t>Services Sound &amp; Vision Corporation</t>
  </si>
  <si>
    <t>Blue Ant Media</t>
  </si>
  <si>
    <t>Temporary duplicate version also appears at channel 224. 1 hour timeshift of Crime + Investiagtion.</t>
  </si>
  <si>
    <t>05:00 – 02:00</t>
  </si>
  <si>
    <t>1 hour timeshift of Good Food.</t>
  </si>
  <si>
    <t>1 hour timeshift of Home.</t>
  </si>
  <si>
    <t>1 hour timeshift of Discovery Home &amp; Health.</t>
  </si>
  <si>
    <t>The Angel Foundation</t>
  </si>
  <si>
    <t>09:00 – 03:00</t>
  </si>
  <si>
    <t>H&amp;C TV Ltd.</t>
  </si>
  <si>
    <t>New Music on Demand</t>
  </si>
  <si>
    <t>Access to the Vevo app on TiVo via the red button.</t>
  </si>
  <si>
    <t>Club MTV</t>
  </si>
  <si>
    <t>Vevo UK Ltd</t>
  </si>
  <si>
    <t>Clubland</t>
  </si>
  <si>
    <t>Also access to streams of Now 90s and Now 80s on TiVo via the red button.</t>
  </si>
  <si>
    <t>All Around the World Productions</t>
  </si>
  <si>
    <t>Virgin Movies &amp; Store</t>
  </si>
  <si>
    <t>1 hour timeshift of Sky Cinema Premiere.</t>
  </si>
  <si>
    <t>Sky Cinema Sci Fi &amp; Horror HD</t>
  </si>
  <si>
    <t>1 hour timeshift of TCM.</t>
  </si>
  <si>
    <t>Movies 24+</t>
  </si>
  <si>
    <t>08:00 – 06:00</t>
  </si>
  <si>
    <t>06:00 – 04:00</t>
  </si>
  <si>
    <t>11:00 – 03:00</t>
  </si>
  <si>
    <t>1 hour timeshift of Film4.</t>
  </si>
  <si>
    <t>12:00 – 04:00</t>
  </si>
  <si>
    <t>Sky Cinema Sci Fi &amp; Horror</t>
  </si>
  <si>
    <t>Talking Pictures TV Ltd</t>
  </si>
  <si>
    <t>Manchester United F.C.</t>
  </si>
  <si>
    <t>Also available as a premium channel.</t>
  </si>
  <si>
    <t>BT Group plc</t>
  </si>
  <si>
    <t>At the Races</t>
  </si>
  <si>
    <t>LFCTV</t>
  </si>
  <si>
    <t>Liverpool F.C.</t>
  </si>
  <si>
    <t>Boxing Channel Media Ltd</t>
  </si>
  <si>
    <t>Premier Media S.à r.l.</t>
  </si>
  <si>
    <t>CNN International</t>
  </si>
  <si>
    <t>Bloomberg Television HD</t>
  </si>
  <si>
    <t>Bloomberg L.P.</t>
  </si>
  <si>
    <t>CNBC Europe</t>
  </si>
  <si>
    <t>Media Globe Networks/NBC News International</t>
  </si>
  <si>
    <t>New Delhi Television Ltd.</t>
  </si>
  <si>
    <t>4:3 SDTV</t>
  </si>
  <si>
    <t>Al Jazeera</t>
  </si>
  <si>
    <t>France Médias Monde</t>
  </si>
  <si>
    <t>NHK World HD</t>
  </si>
  <si>
    <t>NHK</t>
  </si>
  <si>
    <t>Kids TV on Demand</t>
  </si>
  <si>
    <t>Access to Virgin TV Kids portal via the red button.</t>
  </si>
  <si>
    <t>07:00 – 21:00</t>
  </si>
  <si>
    <t>06:00 – 18:58</t>
  </si>
  <si>
    <t>BabyTV</t>
  </si>
  <si>
    <t>1 hour timeshift of Cartoon Network.</t>
  </si>
  <si>
    <t>04:00 – 21:00</t>
  </si>
  <si>
    <t>Disney–ABC Television Group</t>
  </si>
  <si>
    <t>03:00 – 00:00</t>
  </si>
  <si>
    <t>Nickelodeon +1</t>
  </si>
  <si>
    <t>1 hour timeshift of Nickelodeon.</t>
  </si>
  <si>
    <t>04:00 – 01:00</t>
  </si>
  <si>
    <t>Nickelodeon HD</t>
  </si>
  <si>
    <t>1 hour timeshift of Disney Channel.</t>
  </si>
  <si>
    <t>07:00 – 01:00</t>
  </si>
  <si>
    <t>1 hour timeshift of Boomerang.</t>
  </si>
  <si>
    <t>06:00 – 21:00</t>
  </si>
  <si>
    <t>Ideal Shopping Direct Ltd</t>
  </si>
  <si>
    <t>The Genuine Gemstone Company Ltd</t>
  </si>
  <si>
    <t>The Jewellery Channel Ltd</t>
  </si>
  <si>
    <t>Programmes in Hindi.</t>
  </si>
  <si>
    <t>Sony Entertainment Television Asia HD</t>
  </si>
  <si>
    <t>Sony Pictures Television</t>
  </si>
  <si>
    <t>Sony Max HD</t>
  </si>
  <si>
    <t>Sony SAB</t>
  </si>
  <si>
    <t>Zee Entertainment Enterprises</t>
  </si>
  <si>
    <t>B4U</t>
  </si>
  <si>
    <t>Programmes in Hindi, English &amp; Arabic.</t>
  </si>
  <si>
    <t>TV5MONDE Europe</t>
  </si>
  <si>
    <t>Programmes in French.</t>
  </si>
  <si>
    <t>TV5MONDE, S.A.</t>
  </si>
  <si>
    <t>Rishtey</t>
  </si>
  <si>
    <t>Programmes in Arabic.</t>
  </si>
  <si>
    <t>Programmes in Urdu.</t>
  </si>
  <si>
    <t>Hum Network Ltd</t>
  </si>
  <si>
    <t>Access to the Worldbox app on TiVo via the red button.</t>
  </si>
  <si>
    <t>Mohamed Ali Harrath</t>
  </si>
  <si>
    <t>Islam Channel (Urdu) Ltd</t>
  </si>
  <si>
    <t>Brit Asia TV</t>
  </si>
  <si>
    <t>Britasia TV Limited</t>
  </si>
  <si>
    <t>Programmes in Hindi and English.</t>
  </si>
  <si>
    <t>ABN TV</t>
  </si>
  <si>
    <t>Audio description. London region.</t>
  </si>
  <si>
    <t>Audio description. England region.</t>
  </si>
  <si>
    <t>Audio description.</t>
  </si>
  <si>
    <t>Audio description. Programmes in Welsh.</t>
  </si>
  <si>
    <t>Alternative regional variation, select regions only.</t>
  </si>
  <si>
    <t>BBC One London</t>
  </si>
  <si>
    <t>BBC One Northern Ireland</t>
  </si>
  <si>
    <t>Northern Ireland only.</t>
  </si>
  <si>
    <t>Raidió Teilifís Éireann</t>
  </si>
  <si>
    <t>RTÉ 2</t>
  </si>
  <si>
    <t>Teilifís na Gaeilge</t>
  </si>
  <si>
    <t>BBCi eRadio via the red button.</t>
  </si>
  <si>
    <t>BBC Radio 1Xtra</t>
  </si>
  <si>
    <t>BBC Radio 5 Live Sports Extra</t>
  </si>
  <si>
    <t>Bauer Radio</t>
  </si>
  <si>
    <t>Global Radio</t>
  </si>
  <si>
    <t>RTÉ Radio 1</t>
  </si>
  <si>
    <t>Heart London</t>
  </si>
  <si>
    <t>WRN Broadcast</t>
  </si>
  <si>
    <t>Wireless Group</t>
  </si>
  <si>
    <t>Programmes mainly in English, but also in Irish and in Ulster Scots. BBCi eRadio via the red button.</t>
  </si>
  <si>
    <t>BBC Radio nan Gàidheal</t>
  </si>
  <si>
    <t>Programmes in Scottish Gaelic. BBCi eRadio via the red button.</t>
  </si>
  <si>
    <t>Programmes in Welsh. BBCi eRadio via the red button.</t>
  </si>
  <si>
    <t>Capital London</t>
  </si>
  <si>
    <t>Capital Xtra</t>
  </si>
  <si>
    <t>Adult Previews</t>
  </si>
  <si>
    <t>Television X Nightly</t>
  </si>
  <si>
    <t>Portland TV</t>
  </si>
  <si>
    <t>Adult Channel Nightly</t>
  </si>
  <si>
    <t>Playboy TV UK/Benelux Ltd</t>
  </si>
  <si>
    <t>XXX Brits Nightly</t>
  </si>
  <si>
    <t>xrated40+ Nightly</t>
  </si>
  <si>
    <t>TVXPornstars Nightly</t>
  </si>
  <si>
    <t>Television X 2 Nightly</t>
  </si>
  <si>
    <t>22:00 – 05:30</t>
  </si>
  <si>
    <t>XXX Brits</t>
  </si>
  <si>
    <t>Babenation</t>
  </si>
  <si>
    <t>Cellcast Group</t>
  </si>
  <si>
    <t>A Message for Parents</t>
  </si>
  <si>
    <t>Virgin TV for Newbies</t>
  </si>
  <si>
    <t>BBC Red Button 1</t>
  </si>
  <si>
    <r>
      <t>Virgin Media </t>
    </r>
    <r>
      <rPr>
        <sz val="7.5"/>
        <color rgb="FF222222"/>
        <rFont val="Arial"/>
        <family val="2"/>
      </rPr>
      <t>(Liberty Global)</t>
    </r>
  </si>
  <si>
    <t>4 national variations. BBC iPlayer via the red button.</t>
  </si>
  <si>
    <t>15 English regional variations; see also channels 851 and 861 (BBC One London). National versions of BBC One are on 862-864. BBC iPlayer via the red button.</t>
  </si>
  <si>
    <t>3 regional variations (No Scottish version). English version is shown in Scotland. BBC iPlayer via the red button.</t>
  </si>
  <si>
    <r>
      <t>ITV Network Ltd </t>
    </r>
    <r>
      <rPr>
        <sz val="7.5"/>
        <color rgb="FF222222"/>
        <rFont val="Arial"/>
        <family val="2"/>
      </rPr>
      <t>(ITV plc/STV Group plc)</t>
    </r>
  </si>
  <si>
    <r>
      <t>ITV Digital Channels Ltd </t>
    </r>
    <r>
      <rPr>
        <sz val="7.5"/>
        <color rgb="FF222222"/>
        <rFont val="Arial"/>
        <family val="2"/>
      </rPr>
      <t>(ITV plc)</t>
    </r>
  </si>
  <si>
    <r>
      <t>UKTV </t>
    </r>
    <r>
      <rPr>
        <sz val="7.5"/>
        <color rgb="FF222222"/>
        <rFont val="Arial"/>
        <family val="2"/>
      </rPr>
      <t>(BBC Studios/Discovery, Inc)</t>
    </r>
  </si>
  <si>
    <r>
      <t>Paramount UK Partnership </t>
    </r>
    <r>
      <rPr>
        <sz val="7.5"/>
        <color rgb="FF222222"/>
        <rFont val="Arial"/>
        <family val="2"/>
      </rPr>
      <t>(Paramount British Pictures/Sky plc)</t>
    </r>
  </si>
  <si>
    <r>
      <t>Fox Networks Group </t>
    </r>
    <r>
      <rPr>
        <sz val="7.5"/>
        <color rgb="FF222222"/>
        <rFont val="Arial"/>
        <family val="2"/>
      </rPr>
      <t>(21st Century Fox)</t>
    </r>
  </si>
  <si>
    <r>
      <t>17:00 – 00:00 </t>
    </r>
    <r>
      <rPr>
        <sz val="7.5"/>
        <color rgb="FF222222"/>
        <rFont val="Arial"/>
        <family val="2"/>
      </rPr>
      <t>(Monday–Friday)</t>
    </r>
  </si>
  <si>
    <r>
      <t>16:00 – 01:00 </t>
    </r>
    <r>
      <rPr>
        <sz val="7.5"/>
        <color rgb="FF222222"/>
        <rFont val="Arial"/>
        <family val="2"/>
      </rPr>
      <t>(Saturday)</t>
    </r>
  </si>
  <si>
    <r>
      <t>16:00 – 00:00 </t>
    </r>
    <r>
      <rPr>
        <sz val="7.5"/>
        <color rgb="FF222222"/>
        <rFont val="Arial"/>
        <family val="2"/>
      </rPr>
      <t>(Sunday)</t>
    </r>
  </si>
  <si>
    <t>CBS Justice</t>
  </si>
  <si>
    <r>
      <t>A&amp;E Networks UK </t>
    </r>
    <r>
      <rPr>
        <sz val="7.5"/>
        <color rgb="FF222222"/>
        <rFont val="Arial"/>
        <family val="2"/>
      </rPr>
      <t>(A&amp;E Networks/Sky plc)</t>
    </r>
  </si>
  <si>
    <r>
      <t>ESTV </t>
    </r>
    <r>
      <rPr>
        <sz val="7.5"/>
        <color rgb="FF222222"/>
        <rFont val="Arial"/>
        <family val="2"/>
      </rPr>
      <t>(Lebedev Holdings Ltd)</t>
    </r>
  </si>
  <si>
    <r>
      <t>17:30 – 22:30 </t>
    </r>
    <r>
      <rPr>
        <sz val="7.5"/>
        <color rgb="FF222222"/>
        <rFont val="Arial"/>
        <family val="2"/>
      </rPr>
      <t>(Monday–Friday)</t>
    </r>
  </si>
  <si>
    <r>
      <t>NGC-UK Partnership </t>
    </r>
    <r>
      <rPr>
        <sz val="7.5"/>
        <color rgb="FF222222"/>
        <rFont val="Arial"/>
        <family val="2"/>
      </rPr>
      <t>(National Geographic Society/Fox Networks Group)</t>
    </r>
  </si>
  <si>
    <r>
      <t>The Box Plus Network </t>
    </r>
    <r>
      <rPr>
        <sz val="7.5"/>
        <color rgb="FF222222"/>
        <rFont val="Arial"/>
        <family val="2"/>
      </rPr>
      <t>(Bauer Media Group/Channel Four Television Corporation)</t>
    </r>
  </si>
  <si>
    <r>
      <t>FilmFlex/Virgin Media </t>
    </r>
    <r>
      <rPr>
        <sz val="7.5"/>
        <color rgb="FF222222"/>
        <rFont val="Arial"/>
        <family val="2"/>
      </rPr>
      <t>(Liberty Global)</t>
    </r>
  </si>
  <si>
    <r>
      <t>Turner Broadcasting System Europe </t>
    </r>
    <r>
      <rPr>
        <sz val="7.5"/>
        <color rgb="FF222222"/>
        <rFont val="Arial"/>
        <family val="2"/>
      </rPr>
      <t>(WarnerMedia)</t>
    </r>
  </si>
  <si>
    <r>
      <t>Attheraces Ltd </t>
    </r>
    <r>
      <rPr>
        <sz val="7.5"/>
        <color rgb="FF222222"/>
        <rFont val="Arial"/>
        <family val="2"/>
      </rPr>
      <t>(Sky plc/Arena Racing Company)</t>
    </r>
  </si>
  <si>
    <t>Racing TV HD</t>
  </si>
  <si>
    <t>Racing TV</t>
  </si>
  <si>
    <r>
      <t>CNBC Europe </t>
    </r>
    <r>
      <rPr>
        <sz val="7.5"/>
        <color rgb="FF222222"/>
        <rFont val="Arial"/>
        <family val="2"/>
      </rPr>
      <t>(NBCUniversal)</t>
    </r>
  </si>
  <si>
    <r>
      <t>Nickelodeon UK </t>
    </r>
    <r>
      <rPr>
        <sz val="7.5"/>
        <color rgb="FF222222"/>
        <rFont val="Arial"/>
        <family val="2"/>
      </rPr>
      <t>(Viacom International Media Networks Europe/Sky plc)</t>
    </r>
  </si>
  <si>
    <r>
      <t>QVC </t>
    </r>
    <r>
      <rPr>
        <sz val="7.5"/>
        <color rgb="FF222222"/>
        <rFont val="Arial"/>
        <family val="2"/>
      </rPr>
      <t>(Liberty Interactive)</t>
    </r>
  </si>
  <si>
    <r>
      <t>Star TV </t>
    </r>
    <r>
      <rPr>
        <sz val="7.5"/>
        <color rgb="FF222222"/>
        <rFont val="Arial"/>
        <family val="2"/>
      </rPr>
      <t>(21st Century Fox)</t>
    </r>
  </si>
  <si>
    <r>
      <t>Star India </t>
    </r>
    <r>
      <rPr>
        <sz val="7.5"/>
        <color rgb="FF222222"/>
        <rFont val="Arial"/>
        <family val="2"/>
      </rPr>
      <t>(21st Century Fox)</t>
    </r>
  </si>
  <si>
    <r>
      <t>Viacom 18 Media Pvt. Ltd </t>
    </r>
    <r>
      <rPr>
        <sz val="7.5"/>
        <color rgb="FF222222"/>
        <rFont val="Arial"/>
        <family val="2"/>
      </rPr>
      <t>(Viacom/TV18)</t>
    </r>
  </si>
  <si>
    <r>
      <t>Viacom 18 Media Pvt. Ltd </t>
    </r>
    <r>
      <rPr>
        <sz val="7.5"/>
        <color rgb="FF222222"/>
        <rFont val="Arial"/>
        <family val="2"/>
      </rPr>
      <t>Viacom/TV18)</t>
    </r>
  </si>
  <si>
    <r>
      <t>ITV Network Ltd </t>
    </r>
    <r>
      <rPr>
        <sz val="7.5"/>
        <color rgb="FF222222"/>
        <rFont val="Arial"/>
        <family val="2"/>
      </rPr>
      <t>(ITV plc)</t>
    </r>
  </si>
  <si>
    <t>Babes &amp; Brazzers</t>
  </si>
  <si>
    <t>BBC One HD England</t>
  </si>
  <si>
    <t>BBC Two HD Scotland</t>
  </si>
  <si>
    <t>PLUSONE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</si>
</sst>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10"/>
      <color rgb="FF222222"/>
      <name val="Calibri"/>
      <family val="2"/>
      <scheme val="minor"/>
    </font>
    <font>
      <sz val="10"/>
      <color rgb="FF222222"/>
      <name val="Calibri"/>
      <family val="2"/>
      <scheme val="minor"/>
    </font>
    <font>
      <sz val="10"/>
      <color rgb="FF222222"/>
      <name val="Arial"/>
      <family val="2"/>
    </font>
    <font>
      <sz val="7.5"/>
      <color rgb="FF222222"/>
      <name val="Arial"/>
      <family val="2"/>
    </font>
    <font>
      <i/>
      <sz val="10"/>
      <color rgb="FF222222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8F9FA"/>
        <bgColor indexed="64"/>
      </patternFill>
    </fill>
    <fill>
      <patternFill patternType="solid">
        <fgColor rgb="FFEAECF0"/>
        <bgColor indexed="64"/>
      </patternFill>
    </fill>
    <fill>
      <patternFill patternType="solid">
        <fgColor rgb="FFFA8072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D2B48C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FF33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D3D3D3"/>
        <bgColor indexed="64"/>
      </patternFill>
    </fill>
  </fills>
  <borders count="5">
    <border>
      <left/>
      <right/>
      <top/>
      <bottom/>
      <diagonal/>
    </border>
    <border>
      <left style="medium">
        <color rgb="FFA2A9B1"/>
      </left>
      <right style="medium">
        <color rgb="FFA2A9B1"/>
      </right>
      <top style="medium">
        <color rgb="FFA2A9B1"/>
      </top>
      <bottom style="medium">
        <color rgb="FFA2A9B1"/>
      </bottom>
      <diagonal/>
    </border>
    <border>
      <left style="medium">
        <color rgb="FFA2A9B1"/>
      </left>
      <right style="medium">
        <color rgb="FFA2A9B1"/>
      </right>
      <top style="medium">
        <color rgb="FFA2A9B1"/>
      </top>
      <bottom/>
      <diagonal/>
    </border>
    <border>
      <left style="medium">
        <color rgb="FFA2A9B1"/>
      </left>
      <right style="medium">
        <color rgb="FFA2A9B1"/>
      </right>
      <top/>
      <bottom style="medium">
        <color rgb="FFA2A9B1"/>
      </bottom>
      <diagonal/>
    </border>
    <border>
      <left style="medium">
        <color rgb="FFA2A9B1"/>
      </left>
      <right style="medium">
        <color rgb="FFA2A9B1"/>
      </right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0">
    <xf numFmtId="0" fontId="0" fillId="0" borderId="0" xfId="0"/>
    <xf numFmtId="0" fontId="1" fillId="0" borderId="0" xfId="0" applyFont="1"/>
    <xf numFmtId="0" fontId="0" fillId="0" borderId="0" xfId="0" quotePrefix="1"/>
    <xf numFmtId="0" fontId="2" fillId="0" borderId="0" xfId="1"/>
    <xf numFmtId="49" fontId="0" fillId="0" borderId="0" xfId="0" applyNumberFormat="1"/>
    <xf numFmtId="0" fontId="4" fillId="3" borderId="2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vertical="center" wrapText="1"/>
    </xf>
    <xf numFmtId="0" fontId="5" fillId="5" borderId="1" xfId="0" applyFont="1" applyFill="1" applyBorder="1" applyAlignment="1">
      <alignment vertical="center" wrapText="1"/>
    </xf>
    <xf numFmtId="0" fontId="2" fillId="2" borderId="1" xfId="1" applyFill="1" applyBorder="1" applyAlignment="1">
      <alignment vertical="center" wrapText="1"/>
    </xf>
    <xf numFmtId="0" fontId="5" fillId="6" borderId="1" xfId="0" applyFont="1" applyFill="1" applyBorder="1" applyAlignment="1">
      <alignment vertical="center" wrapText="1"/>
    </xf>
    <xf numFmtId="0" fontId="5" fillId="7" borderId="1" xfId="0" applyFont="1" applyFill="1" applyBorder="1" applyAlignment="1">
      <alignment vertical="center" wrapText="1"/>
    </xf>
    <xf numFmtId="0" fontId="5" fillId="8" borderId="1" xfId="0" applyFont="1" applyFill="1" applyBorder="1" applyAlignment="1">
      <alignment vertical="center" wrapText="1"/>
    </xf>
    <xf numFmtId="0" fontId="5" fillId="9" borderId="1" xfId="0" applyFont="1" applyFill="1" applyBorder="1" applyAlignment="1">
      <alignment vertical="center" wrapText="1"/>
    </xf>
    <xf numFmtId="0" fontId="5" fillId="10" borderId="1" xfId="0" applyFont="1" applyFill="1" applyBorder="1" applyAlignment="1">
      <alignment vertical="center" wrapText="1"/>
    </xf>
    <xf numFmtId="0" fontId="6" fillId="2" borderId="1" xfId="0" applyFont="1" applyFill="1" applyBorder="1" applyAlignment="1">
      <alignment vertical="center" wrapText="1"/>
    </xf>
    <xf numFmtId="0" fontId="6" fillId="5" borderId="1" xfId="0" applyFont="1" applyFill="1" applyBorder="1" applyAlignment="1">
      <alignment vertical="center" wrapText="1"/>
    </xf>
    <xf numFmtId="14" fontId="6" fillId="2" borderId="1" xfId="0" applyNumberFormat="1" applyFont="1" applyFill="1" applyBorder="1" applyAlignment="1">
      <alignment vertical="center" wrapText="1"/>
    </xf>
    <xf numFmtId="0" fontId="6" fillId="2" borderId="2" xfId="0" applyFont="1" applyFill="1" applyBorder="1" applyAlignment="1">
      <alignment vertical="center" wrapText="1"/>
    </xf>
    <xf numFmtId="0" fontId="6" fillId="7" borderId="2" xfId="0" applyFont="1" applyFill="1" applyBorder="1" applyAlignment="1">
      <alignment vertical="center" wrapText="1"/>
    </xf>
    <xf numFmtId="14" fontId="6" fillId="2" borderId="2" xfId="0" applyNumberFormat="1" applyFont="1" applyFill="1" applyBorder="1" applyAlignment="1">
      <alignment vertical="center" wrapText="1"/>
    </xf>
    <xf numFmtId="0" fontId="6" fillId="6" borderId="1" xfId="0" applyFont="1" applyFill="1" applyBorder="1" applyAlignment="1">
      <alignment vertical="center" wrapText="1"/>
    </xf>
    <xf numFmtId="0" fontId="6" fillId="7" borderId="1" xfId="0" applyFont="1" applyFill="1" applyBorder="1" applyAlignment="1">
      <alignment vertical="center" wrapText="1"/>
    </xf>
    <xf numFmtId="0" fontId="6" fillId="8" borderId="1" xfId="0" applyFont="1" applyFill="1" applyBorder="1" applyAlignment="1">
      <alignment vertical="center" wrapText="1"/>
    </xf>
    <xf numFmtId="0" fontId="8" fillId="2" borderId="1" xfId="0" applyFont="1" applyFill="1" applyBorder="1" applyAlignment="1">
      <alignment vertical="center" wrapText="1"/>
    </xf>
    <xf numFmtId="0" fontId="6" fillId="2" borderId="4" xfId="0" applyFont="1" applyFill="1" applyBorder="1" applyAlignment="1">
      <alignment vertical="center" wrapText="1"/>
    </xf>
    <xf numFmtId="0" fontId="6" fillId="2" borderId="3" xfId="0" applyFont="1" applyFill="1" applyBorder="1" applyAlignment="1">
      <alignment vertical="center" wrapText="1"/>
    </xf>
    <xf numFmtId="0" fontId="6" fillId="9" borderId="1" xfId="0" applyFont="1" applyFill="1" applyBorder="1" applyAlignment="1">
      <alignment vertical="center" wrapText="1"/>
    </xf>
    <xf numFmtId="0" fontId="6" fillId="10" borderId="1" xfId="0" applyFont="1" applyFill="1" applyBorder="1" applyAlignment="1">
      <alignment vertical="center" wrapText="1"/>
    </xf>
    <xf numFmtId="0" fontId="6" fillId="11" borderId="1" xfId="0" applyFont="1" applyFill="1" applyBorder="1" applyAlignment="1">
      <alignment vertical="center" wrapText="1"/>
    </xf>
    <xf numFmtId="0" fontId="6" fillId="2" borderId="2" xfId="0" applyFont="1" applyFill="1" applyBorder="1" applyAlignment="1">
      <alignment vertical="center" wrapText="1"/>
    </xf>
    <xf numFmtId="0" fontId="6" fillId="2" borderId="3" xfId="0" applyFont="1" applyFill="1" applyBorder="1" applyAlignment="1">
      <alignment vertical="center" wrapText="1"/>
    </xf>
    <xf numFmtId="14" fontId="6" fillId="2" borderId="2" xfId="0" applyNumberFormat="1" applyFont="1" applyFill="1" applyBorder="1" applyAlignment="1">
      <alignment vertical="center" wrapText="1"/>
    </xf>
    <xf numFmtId="14" fontId="6" fillId="2" borderId="3" xfId="0" applyNumberFormat="1" applyFont="1" applyFill="1" applyBorder="1" applyAlignment="1">
      <alignment vertical="center" wrapText="1"/>
    </xf>
    <xf numFmtId="0" fontId="6" fillId="2" borderId="4" xfId="0" applyFont="1" applyFill="1" applyBorder="1" applyAlignment="1">
      <alignment vertical="center" wrapText="1"/>
    </xf>
    <xf numFmtId="0" fontId="6" fillId="6" borderId="2" xfId="0" applyFont="1" applyFill="1" applyBorder="1" applyAlignment="1">
      <alignment vertical="center" wrapText="1"/>
    </xf>
    <xf numFmtId="0" fontId="6" fillId="6" borderId="4" xfId="0" applyFont="1" applyFill="1" applyBorder="1" applyAlignment="1">
      <alignment vertical="center" wrapText="1"/>
    </xf>
    <xf numFmtId="0" fontId="6" fillId="6" borderId="3" xfId="0" applyFont="1" applyFill="1" applyBorder="1" applyAlignment="1">
      <alignment vertical="center" wrapText="1"/>
    </xf>
    <xf numFmtId="14" fontId="6" fillId="2" borderId="4" xfId="0" applyNumberFormat="1" applyFont="1" applyFill="1" applyBorder="1" applyAlignment="1">
      <alignment vertical="center" wrapText="1"/>
    </xf>
    <xf numFmtId="0" fontId="6" fillId="12" borderId="1" xfId="0" applyFont="1" applyFill="1" applyBorder="1" applyAlignment="1">
      <alignment vertical="center" wrapText="1"/>
    </xf>
    <xf numFmtId="0" fontId="6" fillId="4" borderId="1" xfId="0" applyFont="1" applyFill="1" applyBorder="1" applyAlignment="1">
      <alignment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0</xdr:row>
          <xdr:rowOff>28575</xdr:rowOff>
        </xdr:from>
        <xdr:to>
          <xdr:col>16</xdr:col>
          <xdr:colOff>581025</xdr:colOff>
          <xdr:row>0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freeview.co.uk/app/themes/freeview/assets/images/channels/entertainment/rtetwo.png" TargetMode="External"/><Relationship Id="rId1" Type="http://schemas.openxmlformats.org/officeDocument/2006/relationships/hyperlink" Target="https://www.freeview.co.uk/app/themes/freeview/assets/images/channels/entertainment/rteone.png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en.wikipedia.org/wiki/Channel_5_(UK)" TargetMode="External"/><Relationship Id="rId2" Type="http://schemas.openxmlformats.org/officeDocument/2006/relationships/hyperlink" Target="https://en.wikipedia.org/wiki/Channel_4" TargetMode="External"/><Relationship Id="rId1" Type="http://schemas.openxmlformats.org/officeDocument/2006/relationships/hyperlink" Target="https://en.wikipedia.org/wiki/ITV_(TV_network)" TargetMode="External"/><Relationship Id="rId6" Type="http://schemas.openxmlformats.org/officeDocument/2006/relationships/hyperlink" Target="https://en.wikipedia.org/wiki/CNBC_Europe" TargetMode="External"/><Relationship Id="rId5" Type="http://schemas.openxmlformats.org/officeDocument/2006/relationships/hyperlink" Target="https://en.wikipedia.org/wiki/Sky_News" TargetMode="External"/><Relationship Id="rId4" Type="http://schemas.openxmlformats.org/officeDocument/2006/relationships/hyperlink" Target="https://en.wikipedia.org/wiki/BBC_News_(TV_channel)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416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2" max="2" width="36.140625" bestFit="1" customWidth="1"/>
    <col min="3" max="3" width="20.85546875" customWidth="1"/>
  </cols>
  <sheetData>
    <row r="1" spans="1:16" s="1" customFormat="1" x14ac:dyDescent="0.25">
      <c r="A1" s="1" t="s">
        <v>2</v>
      </c>
      <c r="B1" s="1" t="s">
        <v>1</v>
      </c>
      <c r="C1" s="1" t="s">
        <v>3</v>
      </c>
      <c r="D1" s="1" t="s">
        <v>4</v>
      </c>
      <c r="E1" s="1" t="s">
        <v>6</v>
      </c>
      <c r="F1" s="1" t="s">
        <v>5</v>
      </c>
      <c r="G1" s="1" t="s">
        <v>7</v>
      </c>
      <c r="H1" s="1" t="s">
        <v>8</v>
      </c>
      <c r="I1" s="1" t="s">
        <v>363</v>
      </c>
      <c r="M1" s="1" t="s">
        <v>280</v>
      </c>
      <c r="N1" s="1" t="str">
        <f>"+1 Auto"</f>
        <v>+1 Auto</v>
      </c>
      <c r="P1" s="1" t="s">
        <v>281</v>
      </c>
    </row>
    <row r="2" spans="1:16" x14ac:dyDescent="0.25">
      <c r="A2">
        <v>100</v>
      </c>
      <c r="B2" t="s">
        <v>377</v>
      </c>
      <c r="E2" t="s">
        <v>279</v>
      </c>
      <c r="I2" t="str">
        <f t="shared" ref="I2:I65" si="0">VLOOKUP(A2,PACKAGES,6,FALSE)</f>
        <v>Mix</v>
      </c>
      <c r="K2" t="str">
        <f>IF(IFERROR(FIND("&amp;",B2),0)=0,B2,CONCATENATE("'",B2,"'"))</f>
        <v>Virgin Media Highlights</v>
      </c>
      <c r="L2">
        <f>A2</f>
        <v>100</v>
      </c>
      <c r="M2" t="str">
        <f>IF(NOT(ISERROR(VLOOKUP(B2&amp;" HD",B:B,1,FALSE))),VLOOKUP(B2&amp;" HD",K:L,2,FALSE),"")</f>
        <v/>
      </c>
      <c r="N2" t="str">
        <f>IF(NOT(ISERROR(VLOOKUP(B2&amp;" +1",B:B,1,FALSE))),VLOOKUP(B2&amp;" +1",K:L,2,FALSE),"")</f>
        <v/>
      </c>
      <c r="P2" t="str">
        <f>SUBSTITUTE(CONCATENATE("      ",A2,":","\nname: ",K2,IF(C2&lt;&gt;"","\nshow: "&amp;C2,""),IF(I2&lt;&gt;"","\npackage: "&amp;I2,""),IF(D2&lt;&gt;"","\nhd_channel: "&amp;D2,""),IF(E2&lt;&gt;"","\nplus_one: "&amp;E2,""),IF(F2&lt;&gt;"","\nlogo: "&amp;F2,""),IF(G2&lt;&gt;"","\ntarget: "&amp;G2,""),IF(H2&lt;&gt;"","\nsource: "&amp;H2,"")),"\n",CHAR(10)&amp;"        ")</f>
        <v xml:space="preserve">      100:
        name: Virgin Media Highlights
        package: Mix</v>
      </c>
    </row>
    <row r="3" spans="1:16" x14ac:dyDescent="0.25">
      <c r="A3">
        <v>101</v>
      </c>
      <c r="B3" t="s">
        <v>18</v>
      </c>
      <c r="C3" t="str">
        <f t="shared" ref="C3:C8" si="1">"true"</f>
        <v>true</v>
      </c>
      <c r="E3" t="s">
        <v>279</v>
      </c>
      <c r="I3" t="str">
        <f t="shared" si="0"/>
        <v>Player</v>
      </c>
      <c r="K3" t="str">
        <f t="shared" ref="K3:K66" si="2">IF(IFERROR(FIND("&amp;",B3),0)=0,B3,CONCATENATE("'",B3,"'"))</f>
        <v>BBC One HD</v>
      </c>
      <c r="L3">
        <f t="shared" ref="L3:L66" si="3">A3</f>
        <v>101</v>
      </c>
      <c r="M3" t="str">
        <f>IF(NOT(ISERROR(VLOOKUP(B3&amp;" HD",B:B,1,FALSE))),VLOOKUP(B3&amp;" HD",K:L,2,FALSE),"")</f>
        <v/>
      </c>
      <c r="N3" t="str">
        <f>IF(NOT(ISERROR(VLOOKUP(B3&amp;" +1",B:B,1,FALSE))),VLOOKUP(B3&amp;" +1",K:L,2,FALSE),"")</f>
        <v/>
      </c>
      <c r="P3" t="str">
        <f t="shared" ref="P3:P66" si="4">SUBSTITUTE(CONCATENATE("      ",A3,":","\nname: ",K3,IF(C3&lt;&gt;"","\nshow: "&amp;C3,""),IF(I3&lt;&gt;"","\npackage: "&amp;I3,""),IF(D3&lt;&gt;"","\nhd_channel: "&amp;D3,""),IF(E3&lt;&gt;"","\nplus_one: "&amp;E3,""),IF(F3&lt;&gt;"","\nlogo: "&amp;F3,""),IF(G3&lt;&gt;"","\ntarget: "&amp;G3,""),IF(H3&lt;&gt;"","\nsource: "&amp;H3,"")),"\n",CHAR(10)&amp;"        ")</f>
        <v xml:space="preserve">      101:
        name: BBC One HD
        show: true
        package: Player</v>
      </c>
    </row>
    <row r="4" spans="1:16" x14ac:dyDescent="0.25">
      <c r="A4">
        <v>102</v>
      </c>
      <c r="B4" t="s">
        <v>58</v>
      </c>
      <c r="C4" t="str">
        <f t="shared" si="1"/>
        <v>true</v>
      </c>
      <c r="E4" t="s">
        <v>279</v>
      </c>
      <c r="I4" t="str">
        <f t="shared" si="0"/>
        <v>Player</v>
      </c>
      <c r="K4" t="str">
        <f t="shared" si="2"/>
        <v>BBC Two HD</v>
      </c>
      <c r="L4">
        <f t="shared" si="3"/>
        <v>102</v>
      </c>
      <c r="M4" t="str">
        <f>IF(NOT(ISERROR(VLOOKUP(B4&amp;" HD",B:B,1,FALSE))),VLOOKUP(B4&amp;" HD",K:L,2,FALSE),"")</f>
        <v/>
      </c>
      <c r="N4" t="str">
        <f>IF(NOT(ISERROR(VLOOKUP(B4&amp;" +1",B:B,1,FALSE))),VLOOKUP(B4&amp;" +1",K:L,2,FALSE),"")</f>
        <v/>
      </c>
      <c r="P4" t="str">
        <f t="shared" si="4"/>
        <v xml:space="preserve">      102:
        name: BBC Two HD
        show: true
        package: Player</v>
      </c>
    </row>
    <row r="5" spans="1:16" x14ac:dyDescent="0.25">
      <c r="A5">
        <v>103</v>
      </c>
      <c r="B5" t="s">
        <v>13</v>
      </c>
      <c r="C5" t="str">
        <f t="shared" si="1"/>
        <v>true</v>
      </c>
      <c r="D5">
        <v>113</v>
      </c>
      <c r="E5">
        <v>114</v>
      </c>
      <c r="I5" t="str">
        <f t="shared" si="0"/>
        <v>Free-to-air</v>
      </c>
      <c r="K5" t="str">
        <f t="shared" si="2"/>
        <v>ITV</v>
      </c>
      <c r="L5">
        <f t="shared" si="3"/>
        <v>103</v>
      </c>
      <c r="M5">
        <f>IF(NOT(ISERROR(VLOOKUP(B5&amp;" HD",B:B,1,FALSE))),VLOOKUP(B5&amp;" HD",K:L,2,FALSE),"")</f>
        <v>113</v>
      </c>
      <c r="N5">
        <f>IF(NOT(ISERROR(VLOOKUP(B5&amp;" +1",B:B,1,FALSE))),VLOOKUP(B5&amp;" +1",K:L,2,FALSE),"")</f>
        <v>114</v>
      </c>
      <c r="P5" t="str">
        <f t="shared" si="4"/>
        <v xml:space="preserve">      103:
        name: ITV
        show: true
        package: Free-to-air
        hd_channel: 113
        plus_one: 114</v>
      </c>
    </row>
    <row r="6" spans="1:16" x14ac:dyDescent="0.25">
      <c r="A6">
        <v>104</v>
      </c>
      <c r="B6" t="s">
        <v>14</v>
      </c>
      <c r="C6" t="str">
        <f t="shared" si="1"/>
        <v>true</v>
      </c>
      <c r="D6">
        <v>141</v>
      </c>
      <c r="E6">
        <v>142</v>
      </c>
      <c r="I6" t="str">
        <f t="shared" si="0"/>
        <v>Free-to-air</v>
      </c>
      <c r="K6" t="str">
        <f t="shared" si="2"/>
        <v>Channel 4</v>
      </c>
      <c r="L6">
        <f t="shared" si="3"/>
        <v>104</v>
      </c>
      <c r="M6">
        <f>IF(NOT(ISERROR(VLOOKUP(B6&amp;" HD",B:B,1,FALSE))),VLOOKUP(B6&amp;" HD",K:L,2,FALSE),"")</f>
        <v>141</v>
      </c>
      <c r="N6">
        <f>IF(NOT(ISERROR(VLOOKUP(B6&amp;" +1",B:B,1,FALSE))),VLOOKUP(B6&amp;" +1",K:L,2,FALSE),"")</f>
        <v>142</v>
      </c>
      <c r="P6" t="str">
        <f t="shared" si="4"/>
        <v xml:space="preserve">      104:
        name: Channel 4
        show: true
        package: Free-to-air
        hd_channel: 141
        plus_one: 142</v>
      </c>
    </row>
    <row r="7" spans="1:16" x14ac:dyDescent="0.25">
      <c r="A7">
        <v>105</v>
      </c>
      <c r="B7" t="s">
        <v>15</v>
      </c>
      <c r="C7" t="str">
        <f t="shared" si="1"/>
        <v>true</v>
      </c>
      <c r="D7">
        <v>150</v>
      </c>
      <c r="E7">
        <v>155</v>
      </c>
      <c r="I7" t="str">
        <f t="shared" si="0"/>
        <v>Free-to-air</v>
      </c>
      <c r="K7" t="str">
        <f t="shared" si="2"/>
        <v>Channel 5</v>
      </c>
      <c r="L7">
        <f t="shared" si="3"/>
        <v>105</v>
      </c>
      <c r="M7">
        <f>IF(NOT(ISERROR(VLOOKUP(B7&amp;" HD",B:B,1,FALSE))),VLOOKUP(B7&amp;" HD",K:L,2,FALSE),"")</f>
        <v>150</v>
      </c>
      <c r="N7">
        <f>IF(NOT(ISERROR(VLOOKUP(B7&amp;" +1",B:B,1,FALSE))),VLOOKUP(B7&amp;" +1",K:L,2,FALSE),"")</f>
        <v>155</v>
      </c>
      <c r="P7" t="str">
        <f t="shared" si="4"/>
        <v xml:space="preserve">      105:
        name: Channel 5
        show: true
        package: Free-to-air
        hd_channel: 150
        plus_one: 155</v>
      </c>
    </row>
    <row r="8" spans="1:16" x14ac:dyDescent="0.25">
      <c r="A8">
        <v>106</v>
      </c>
      <c r="B8" t="s">
        <v>16</v>
      </c>
      <c r="C8" t="str">
        <f t="shared" si="1"/>
        <v>true</v>
      </c>
      <c r="D8">
        <v>145</v>
      </c>
      <c r="E8">
        <v>146</v>
      </c>
      <c r="I8" t="str">
        <f t="shared" si="0"/>
        <v>Player</v>
      </c>
      <c r="K8" t="str">
        <f t="shared" si="2"/>
        <v>E4</v>
      </c>
      <c r="L8">
        <f t="shared" si="3"/>
        <v>106</v>
      </c>
      <c r="M8">
        <f>IF(NOT(ISERROR(VLOOKUP(B8&amp;" HD",B:B,1,FALSE))),VLOOKUP(B8&amp;" HD",K:L,2,FALSE),"")</f>
        <v>145</v>
      </c>
      <c r="N8">
        <f>IF(NOT(ISERROR(VLOOKUP(B8&amp;" +1",B:B,1,FALSE))),VLOOKUP(B8&amp;" +1",K:L,2,FALSE),"")</f>
        <v>146</v>
      </c>
      <c r="P8" t="str">
        <f t="shared" si="4"/>
        <v xml:space="preserve">      106:
        name: E4
        show: true
        package: Player
        hd_channel: 145
        plus_one: 146</v>
      </c>
    </row>
    <row r="9" spans="1:16" x14ac:dyDescent="0.25">
      <c r="A9">
        <v>107</v>
      </c>
      <c r="B9" t="s">
        <v>17</v>
      </c>
      <c r="D9">
        <v>163</v>
      </c>
      <c r="E9" t="s">
        <v>279</v>
      </c>
      <c r="I9" t="str">
        <f t="shared" si="0"/>
        <v>Free-to-air</v>
      </c>
      <c r="K9" t="str">
        <f t="shared" si="2"/>
        <v>BBC Four</v>
      </c>
      <c r="L9">
        <f t="shared" si="3"/>
        <v>107</v>
      </c>
      <c r="M9">
        <f>IF(NOT(ISERROR(VLOOKUP(B9&amp;" HD",B:B,1,FALSE))),VLOOKUP(B9&amp;" HD",K:L,2,FALSE),"")</f>
        <v>163</v>
      </c>
      <c r="N9" t="str">
        <f>IF(NOT(ISERROR(VLOOKUP(B9&amp;" +1",B:B,1,FALSE))),VLOOKUP(B9&amp;" +1",K:L,2,FALSE),"")</f>
        <v/>
      </c>
      <c r="P9" t="str">
        <f t="shared" si="4"/>
        <v xml:space="preserve">      107:
        name: BBC Four
        package: Free-to-air
        hd_channel: 163</v>
      </c>
    </row>
    <row r="10" spans="1:16" x14ac:dyDescent="0.25">
      <c r="A10">
        <v>108</v>
      </c>
      <c r="B10" t="s">
        <v>704</v>
      </c>
      <c r="D10" t="s">
        <v>279</v>
      </c>
      <c r="E10" t="s">
        <v>279</v>
      </c>
      <c r="I10" t="str">
        <f t="shared" si="0"/>
        <v>Free-to-air</v>
      </c>
      <c r="K10" t="str">
        <f t="shared" si="2"/>
        <v>BBC One HD England</v>
      </c>
      <c r="L10">
        <f t="shared" si="3"/>
        <v>108</v>
      </c>
      <c r="M10" t="str">
        <f>IF(NOT(ISERROR(VLOOKUP(B10&amp;" HD",B:B,1,FALSE))),VLOOKUP(B10&amp;" HD",K:L,2,FALSE),"")</f>
        <v/>
      </c>
      <c r="N10" t="str">
        <f>IF(NOT(ISERROR(VLOOKUP(B10&amp;" +1",B:B,1,FALSE))),VLOOKUP(B10&amp;" +1",K:L,2,FALSE),"")</f>
        <v/>
      </c>
      <c r="P10" t="str">
        <f t="shared" si="4"/>
        <v xml:space="preserve">      108:
        name: BBC One HD England
        package: Free-to-air</v>
      </c>
    </row>
    <row r="11" spans="1:16" x14ac:dyDescent="0.25">
      <c r="A11">
        <v>109</v>
      </c>
      <c r="B11" t="s">
        <v>289</v>
      </c>
      <c r="D11" t="s">
        <v>279</v>
      </c>
      <c r="E11" t="s">
        <v>279</v>
      </c>
      <c r="I11" t="str">
        <f t="shared" si="0"/>
        <v>Full House</v>
      </c>
      <c r="K11" t="str">
        <f t="shared" si="2"/>
        <v>Sky One HD</v>
      </c>
      <c r="L11">
        <f t="shared" si="3"/>
        <v>109</v>
      </c>
      <c r="M11" t="str">
        <f>IF(NOT(ISERROR(VLOOKUP(B11&amp;" HD",B:B,1,FALSE))),VLOOKUP(B11&amp;" HD",K:L,2,FALSE),"")</f>
        <v/>
      </c>
      <c r="N11" t="str">
        <f>IF(NOT(ISERROR(VLOOKUP(B11&amp;" +1",B:B,1,FALSE))),VLOOKUP(B11&amp;" +1",K:L,2,FALSE),"")</f>
        <v/>
      </c>
      <c r="P11" t="str">
        <f t="shared" si="4"/>
        <v xml:space="preserve">      109:
        name: Sky One HD
        package: Full House</v>
      </c>
    </row>
    <row r="12" spans="1:16" x14ac:dyDescent="0.25">
      <c r="A12">
        <v>110</v>
      </c>
      <c r="B12" t="s">
        <v>290</v>
      </c>
      <c r="C12" t="str">
        <f>"true"</f>
        <v>true</v>
      </c>
      <c r="D12">
        <v>109</v>
      </c>
      <c r="E12" t="s">
        <v>279</v>
      </c>
      <c r="I12" t="str">
        <f t="shared" si="0"/>
        <v>Mix</v>
      </c>
      <c r="K12" t="str">
        <f t="shared" si="2"/>
        <v>Sky One</v>
      </c>
      <c r="L12">
        <f t="shared" si="3"/>
        <v>110</v>
      </c>
      <c r="M12">
        <f>IF(NOT(ISERROR(VLOOKUP(B12&amp;" HD",B:B,1,FALSE))),VLOOKUP(B12&amp;" HD",K:L,2,FALSE),"")</f>
        <v>109</v>
      </c>
      <c r="N12" t="str">
        <f>IF(NOT(ISERROR(VLOOKUP(B12&amp;" +1",B:B,1,FALSE))),VLOOKUP(B12&amp;" +1",K:L,2,FALSE),"")</f>
        <v/>
      </c>
      <c r="P12" t="str">
        <f t="shared" si="4"/>
        <v xml:space="preserve">      110:
        name: Sky One
        show: true
        package: Mix
        hd_channel: 109</v>
      </c>
    </row>
    <row r="13" spans="1:16" x14ac:dyDescent="0.25">
      <c r="A13">
        <v>111</v>
      </c>
      <c r="B13" t="s">
        <v>291</v>
      </c>
      <c r="D13" t="s">
        <v>279</v>
      </c>
      <c r="E13" t="s">
        <v>279</v>
      </c>
      <c r="I13" t="str">
        <f t="shared" si="0"/>
        <v>Full House</v>
      </c>
      <c r="K13" t="str">
        <f t="shared" si="2"/>
        <v>Sky Witness HD</v>
      </c>
      <c r="L13">
        <f t="shared" si="3"/>
        <v>111</v>
      </c>
      <c r="M13" t="str">
        <f>IF(NOT(ISERROR(VLOOKUP(B13&amp;" HD",B:B,1,FALSE))),VLOOKUP(B13&amp;" HD",K:L,2,FALSE),"")</f>
        <v/>
      </c>
      <c r="N13" t="str">
        <f>IF(NOT(ISERROR(VLOOKUP(B13&amp;" +1",B:B,1,FALSE))),VLOOKUP(B13&amp;" +1",K:L,2,FALSE),"")</f>
        <v/>
      </c>
      <c r="P13" t="str">
        <f t="shared" si="4"/>
        <v xml:space="preserve">      111:
        name: Sky Witness HD
        package: Full House</v>
      </c>
    </row>
    <row r="14" spans="1:16" x14ac:dyDescent="0.25">
      <c r="A14">
        <v>112</v>
      </c>
      <c r="B14" t="s">
        <v>292</v>
      </c>
      <c r="D14">
        <v>111</v>
      </c>
      <c r="E14">
        <v>140</v>
      </c>
      <c r="I14" t="str">
        <f t="shared" si="0"/>
        <v>Mix</v>
      </c>
      <c r="K14" t="str">
        <f t="shared" si="2"/>
        <v>Sky Witness</v>
      </c>
      <c r="L14">
        <f t="shared" si="3"/>
        <v>112</v>
      </c>
      <c r="M14">
        <f>IF(NOT(ISERROR(VLOOKUP(B14&amp;" HD",B:B,1,FALSE))),VLOOKUP(B14&amp;" HD",K:L,2,FALSE),"")</f>
        <v>111</v>
      </c>
      <c r="N14">
        <f>IF(NOT(ISERROR(VLOOKUP(B14&amp;" +1",B:B,1,FALSE))),VLOOKUP(B14&amp;" +1",K:L,2,FALSE),"")</f>
        <v>140</v>
      </c>
      <c r="P14" t="str">
        <f t="shared" si="4"/>
        <v xml:space="preserve">      112:
        name: Sky Witness
        package: Mix
        hd_channel: 111
        plus_one: 140</v>
      </c>
    </row>
    <row r="15" spans="1:16" x14ac:dyDescent="0.25">
      <c r="A15">
        <v>113</v>
      </c>
      <c r="B15" t="s">
        <v>19</v>
      </c>
      <c r="D15" t="s">
        <v>279</v>
      </c>
      <c r="E15" t="s">
        <v>279</v>
      </c>
      <c r="I15" t="str">
        <f t="shared" si="0"/>
        <v>Player</v>
      </c>
      <c r="K15" t="str">
        <f t="shared" si="2"/>
        <v>ITV HD</v>
      </c>
      <c r="L15">
        <f t="shared" si="3"/>
        <v>113</v>
      </c>
      <c r="M15" t="str">
        <f>IF(NOT(ISERROR(VLOOKUP(B15&amp;" HD",B:B,1,FALSE))),VLOOKUP(B15&amp;" HD",K:L,2,FALSE),"")</f>
        <v/>
      </c>
      <c r="N15" t="str">
        <f>IF(NOT(ISERROR(VLOOKUP(B15&amp;" +1",B:B,1,FALSE))),VLOOKUP(B15&amp;" +1",K:L,2,FALSE),"")</f>
        <v/>
      </c>
      <c r="P15" t="str">
        <f t="shared" si="4"/>
        <v xml:space="preserve">      113:
        name: ITV HD
        package: Player</v>
      </c>
    </row>
    <row r="16" spans="1:16" x14ac:dyDescent="0.25">
      <c r="A16">
        <v>114</v>
      </c>
      <c r="B16" t="s">
        <v>20</v>
      </c>
      <c r="D16" t="s">
        <v>279</v>
      </c>
      <c r="E16" t="s">
        <v>279</v>
      </c>
      <c r="I16" t="str">
        <f t="shared" si="0"/>
        <v>Player</v>
      </c>
      <c r="K16" t="str">
        <f t="shared" si="2"/>
        <v>ITV +1</v>
      </c>
      <c r="L16">
        <f t="shared" si="3"/>
        <v>114</v>
      </c>
      <c r="M16" t="str">
        <f>IF(NOT(ISERROR(VLOOKUP(B16&amp;" HD",B:B,1,FALSE))),VLOOKUP(B16&amp;" HD",K:L,2,FALSE),"")</f>
        <v/>
      </c>
      <c r="N16" t="str">
        <f>IF(NOT(ISERROR(VLOOKUP(B16&amp;" +1",B:B,1,FALSE))),VLOOKUP(B16&amp;" +1",K:L,2,FALSE),"")</f>
        <v/>
      </c>
      <c r="P16" t="str">
        <f t="shared" si="4"/>
        <v xml:space="preserve">      114:
        name: ITV +1
        package: Player</v>
      </c>
    </row>
    <row r="17" spans="1:16" x14ac:dyDescent="0.25">
      <c r="A17">
        <v>115</v>
      </c>
      <c r="B17" t="s">
        <v>21</v>
      </c>
      <c r="C17" t="str">
        <f>"true"</f>
        <v>true</v>
      </c>
      <c r="D17">
        <v>176</v>
      </c>
      <c r="E17">
        <v>116</v>
      </c>
      <c r="I17" t="str">
        <f t="shared" si="0"/>
        <v>Player</v>
      </c>
      <c r="K17" t="str">
        <f t="shared" si="2"/>
        <v>ITV2</v>
      </c>
      <c r="L17">
        <f t="shared" si="3"/>
        <v>115</v>
      </c>
      <c r="M17">
        <f>IF(NOT(ISERROR(VLOOKUP(B17&amp;" HD",B:B,1,FALSE))),VLOOKUP(B17&amp;" HD",K:L,2,FALSE),"")</f>
        <v>176</v>
      </c>
      <c r="N17">
        <f>IF(NOT(ISERROR(VLOOKUP(B17&amp;" +1",B:B,1,FALSE))),VLOOKUP(B17&amp;" +1",K:L,2,FALSE),"")</f>
        <v>116</v>
      </c>
      <c r="P17" t="str">
        <f t="shared" si="4"/>
        <v xml:space="preserve">      115:
        name: ITV2
        show: true
        package: Player
        hd_channel: 176
        plus_one: 116</v>
      </c>
    </row>
    <row r="18" spans="1:16" x14ac:dyDescent="0.25">
      <c r="A18">
        <v>116</v>
      </c>
      <c r="B18" t="s">
        <v>22</v>
      </c>
      <c r="D18" t="s">
        <v>279</v>
      </c>
      <c r="E18" t="s">
        <v>279</v>
      </c>
      <c r="I18" t="str">
        <f t="shared" si="0"/>
        <v>Player</v>
      </c>
      <c r="K18" t="str">
        <f t="shared" si="2"/>
        <v>ITV2 +1</v>
      </c>
      <c r="L18">
        <f t="shared" si="3"/>
        <v>116</v>
      </c>
      <c r="M18" t="str">
        <f>IF(NOT(ISERROR(VLOOKUP(B18&amp;" HD",B:B,1,FALSE))),VLOOKUP(B18&amp;" HD",K:L,2,FALSE),"")</f>
        <v/>
      </c>
      <c r="N18" t="str">
        <f>IF(NOT(ISERROR(VLOOKUP(B18&amp;" +1",B:B,1,FALSE))),VLOOKUP(B18&amp;" +1",K:L,2,FALSE),"")</f>
        <v/>
      </c>
      <c r="P18" t="str">
        <f t="shared" si="4"/>
        <v xml:space="preserve">      116:
        name: ITV2 +1
        package: Player</v>
      </c>
    </row>
    <row r="19" spans="1:16" x14ac:dyDescent="0.25">
      <c r="A19">
        <v>117</v>
      </c>
      <c r="B19" t="s">
        <v>23</v>
      </c>
      <c r="C19" t="str">
        <f>"true"</f>
        <v>true</v>
      </c>
      <c r="D19">
        <v>177</v>
      </c>
      <c r="E19">
        <v>174</v>
      </c>
      <c r="I19" t="str">
        <f t="shared" si="0"/>
        <v>Player</v>
      </c>
      <c r="K19" t="str">
        <f t="shared" si="2"/>
        <v>ITV3</v>
      </c>
      <c r="L19">
        <f t="shared" si="3"/>
        <v>117</v>
      </c>
      <c r="M19">
        <f>IF(NOT(ISERROR(VLOOKUP(B19&amp;" HD",B:B,1,FALSE))),VLOOKUP(B19&amp;" HD",K:L,2,FALSE),"")</f>
        <v>177</v>
      </c>
      <c r="N19">
        <f>IF(NOT(ISERROR(VLOOKUP(B19&amp;" +1",B:B,1,FALSE))),VLOOKUP(B19&amp;" +1",K:L,2,FALSE),"")</f>
        <v>174</v>
      </c>
      <c r="P19" t="str">
        <f t="shared" si="4"/>
        <v xml:space="preserve">      117:
        name: ITV3
        show: true
        package: Player
        hd_channel: 177
        plus_one: 174</v>
      </c>
    </row>
    <row r="20" spans="1:16" x14ac:dyDescent="0.25">
      <c r="A20">
        <v>118</v>
      </c>
      <c r="B20" t="s">
        <v>24</v>
      </c>
      <c r="C20" t="str">
        <f>"true"</f>
        <v>true</v>
      </c>
      <c r="D20">
        <v>178</v>
      </c>
      <c r="E20">
        <v>175</v>
      </c>
      <c r="I20" t="str">
        <f t="shared" si="0"/>
        <v>Player</v>
      </c>
      <c r="K20" t="str">
        <f t="shared" si="2"/>
        <v>ITV4</v>
      </c>
      <c r="L20">
        <f t="shared" si="3"/>
        <v>118</v>
      </c>
      <c r="M20">
        <f>IF(NOT(ISERROR(VLOOKUP(B20&amp;" HD",B:B,1,FALSE))),VLOOKUP(B20&amp;" HD",K:L,2,FALSE),"")</f>
        <v>178</v>
      </c>
      <c r="N20">
        <f>IF(NOT(ISERROR(VLOOKUP(B20&amp;" +1",B:B,1,FALSE))),VLOOKUP(B20&amp;" +1",K:L,2,FALSE),"")</f>
        <v>175</v>
      </c>
      <c r="P20" t="str">
        <f t="shared" si="4"/>
        <v xml:space="preserve">      118:
        name: ITV4
        show: true
        package: Player
        hd_channel: 178
        plus_one: 175</v>
      </c>
    </row>
    <row r="21" spans="1:16" x14ac:dyDescent="0.25">
      <c r="A21">
        <v>119</v>
      </c>
      <c r="B21" t="s">
        <v>25</v>
      </c>
      <c r="D21">
        <v>179</v>
      </c>
      <c r="E21">
        <v>120</v>
      </c>
      <c r="I21" t="str">
        <f t="shared" si="0"/>
        <v>Player</v>
      </c>
      <c r="K21" t="str">
        <f t="shared" si="2"/>
        <v>ITVBe</v>
      </c>
      <c r="L21">
        <f t="shared" si="3"/>
        <v>119</v>
      </c>
      <c r="M21">
        <f>IF(NOT(ISERROR(VLOOKUP(B21&amp;" HD",B:B,1,FALSE))),VLOOKUP(B21&amp;" HD",K:L,2,FALSE),"")</f>
        <v>179</v>
      </c>
      <c r="N21">
        <f>IF(NOT(ISERROR(VLOOKUP(B21&amp;" +1",B:B,1,FALSE))),VLOOKUP(B21&amp;" +1",K:L,2,FALSE),"")</f>
        <v>120</v>
      </c>
      <c r="P21" t="str">
        <f t="shared" si="4"/>
        <v xml:space="preserve">      119:
        name: ITVBe
        package: Player
        hd_channel: 179
        plus_one: 120</v>
      </c>
    </row>
    <row r="22" spans="1:16" x14ac:dyDescent="0.25">
      <c r="A22">
        <v>120</v>
      </c>
      <c r="B22" t="s">
        <v>26</v>
      </c>
      <c r="D22" t="s">
        <v>279</v>
      </c>
      <c r="E22" t="s">
        <v>279</v>
      </c>
      <c r="I22" t="str">
        <f t="shared" si="0"/>
        <v>Player</v>
      </c>
      <c r="K22" t="str">
        <f t="shared" si="2"/>
        <v>ITVBe +1</v>
      </c>
      <c r="L22">
        <f t="shared" si="3"/>
        <v>120</v>
      </c>
      <c r="M22" t="str">
        <f>IF(NOT(ISERROR(VLOOKUP(B22&amp;" HD",B:B,1,FALSE))),VLOOKUP(B22&amp;" HD",K:L,2,FALSE),"")</f>
        <v/>
      </c>
      <c r="N22" t="str">
        <f>IF(NOT(ISERROR(VLOOKUP(B22&amp;" +1",B:B,1,FALSE))),VLOOKUP(B22&amp;" +1",K:L,2,FALSE),"")</f>
        <v/>
      </c>
      <c r="P22" t="str">
        <f t="shared" si="4"/>
        <v xml:space="preserve">      120:
        name: ITVBe +1
        package: Player</v>
      </c>
    </row>
    <row r="23" spans="1:16" x14ac:dyDescent="0.25">
      <c r="A23">
        <v>121</v>
      </c>
      <c r="B23" t="s">
        <v>293</v>
      </c>
      <c r="C23" t="str">
        <f>"true"</f>
        <v>true</v>
      </c>
      <c r="D23" t="s">
        <v>279</v>
      </c>
      <c r="E23" t="s">
        <v>279</v>
      </c>
      <c r="I23" t="str">
        <f t="shared" si="0"/>
        <v>Mix</v>
      </c>
      <c r="K23" t="str">
        <f t="shared" si="2"/>
        <v>Sky Two</v>
      </c>
      <c r="L23">
        <f t="shared" si="3"/>
        <v>121</v>
      </c>
      <c r="M23" t="str">
        <f>IF(NOT(ISERROR(VLOOKUP(B23&amp;" HD",B:B,1,FALSE))),VLOOKUP(B23&amp;" HD",K:L,2,FALSE),"")</f>
        <v/>
      </c>
      <c r="N23" t="str">
        <f>IF(NOT(ISERROR(VLOOKUP(B23&amp;" +1",B:B,1,FALSE))),VLOOKUP(B23&amp;" +1",K:L,2,FALSE),"")</f>
        <v/>
      </c>
      <c r="P23" t="str">
        <f t="shared" si="4"/>
        <v xml:space="preserve">      121:
        name: Sky Two
        show: true
        package: Mix</v>
      </c>
    </row>
    <row r="24" spans="1:16" x14ac:dyDescent="0.25">
      <c r="A24">
        <v>122</v>
      </c>
      <c r="B24" t="s">
        <v>27</v>
      </c>
      <c r="D24">
        <v>206</v>
      </c>
      <c r="E24" t="s">
        <v>279</v>
      </c>
      <c r="I24" t="str">
        <f t="shared" si="0"/>
        <v>Mix</v>
      </c>
      <c r="K24" t="str">
        <f t="shared" si="2"/>
        <v>Sky Arts</v>
      </c>
      <c r="L24">
        <f t="shared" si="3"/>
        <v>122</v>
      </c>
      <c r="M24">
        <f>IF(NOT(ISERROR(VLOOKUP(B24&amp;" HD",B:B,1,FALSE))),VLOOKUP(B24&amp;" HD",K:L,2,FALSE),"")</f>
        <v>206</v>
      </c>
      <c r="N24" t="str">
        <f>IF(NOT(ISERROR(VLOOKUP(B24&amp;" +1",B:B,1,FALSE))),VLOOKUP(B24&amp;" +1",K:L,2,FALSE),"")</f>
        <v/>
      </c>
      <c r="P24" t="str">
        <f t="shared" si="4"/>
        <v xml:space="preserve">      122:
        name: Sky Arts
        package: Mix
        hd_channel: 206</v>
      </c>
    </row>
    <row r="25" spans="1:16" x14ac:dyDescent="0.25">
      <c r="A25">
        <v>123</v>
      </c>
      <c r="B25" t="s">
        <v>28</v>
      </c>
      <c r="D25" t="s">
        <v>279</v>
      </c>
      <c r="E25" t="s">
        <v>279</v>
      </c>
      <c r="I25" t="str">
        <f t="shared" si="0"/>
        <v>Player</v>
      </c>
      <c r="K25" t="str">
        <f t="shared" si="2"/>
        <v>Pick</v>
      </c>
      <c r="L25">
        <f t="shared" si="3"/>
        <v>123</v>
      </c>
      <c r="M25" t="str">
        <f>IF(NOT(ISERROR(VLOOKUP(B25&amp;" HD",B:B,1,FALSE))),VLOOKUP(B25&amp;" HD",K:L,2,FALSE),"")</f>
        <v/>
      </c>
      <c r="N25" t="str">
        <f>IF(NOT(ISERROR(VLOOKUP(B25&amp;" +1",B:B,1,FALSE))),VLOOKUP(B25&amp;" +1",K:L,2,FALSE),"")</f>
        <v/>
      </c>
      <c r="P25" t="str">
        <f t="shared" si="4"/>
        <v xml:space="preserve">      123:
        name: Pick
        package: Player</v>
      </c>
    </row>
    <row r="26" spans="1:16" x14ac:dyDescent="0.25">
      <c r="A26">
        <v>124</v>
      </c>
      <c r="B26" t="s">
        <v>294</v>
      </c>
      <c r="C26" t="str">
        <f>"true"</f>
        <v>true</v>
      </c>
      <c r="D26" t="s">
        <v>279</v>
      </c>
      <c r="E26">
        <v>194</v>
      </c>
      <c r="I26" t="str">
        <f t="shared" si="0"/>
        <v>Mix</v>
      </c>
      <c r="K26" t="str">
        <f t="shared" si="2"/>
        <v>Gold HD</v>
      </c>
      <c r="L26">
        <f t="shared" si="3"/>
        <v>124</v>
      </c>
      <c r="M26" t="str">
        <f>IF(NOT(ISERROR(VLOOKUP(B26&amp;" HD",B:B,1,FALSE))),VLOOKUP(B26&amp;" HD",K:L,2,FALSE),"")</f>
        <v/>
      </c>
      <c r="N26" t="str">
        <f>IF(NOT(ISERROR(VLOOKUP(B26&amp;" +1",B:B,1,FALSE))),VLOOKUP(B26&amp;" +1",K:L,2,FALSE),"")</f>
        <v/>
      </c>
      <c r="P26" t="str">
        <f t="shared" si="4"/>
        <v xml:space="preserve">      124:
        name: Gold HD
        show: true
        package: Mix
        plus_one: 194</v>
      </c>
    </row>
    <row r="27" spans="1:16" x14ac:dyDescent="0.25">
      <c r="A27">
        <v>125</v>
      </c>
      <c r="B27" t="s">
        <v>30</v>
      </c>
      <c r="D27">
        <v>211</v>
      </c>
      <c r="E27">
        <v>190</v>
      </c>
      <c r="I27" t="str">
        <f t="shared" si="0"/>
        <v>Mix</v>
      </c>
      <c r="K27" t="str">
        <f t="shared" si="2"/>
        <v>W</v>
      </c>
      <c r="L27">
        <f t="shared" si="3"/>
        <v>125</v>
      </c>
      <c r="M27">
        <f>IF(NOT(ISERROR(VLOOKUP(B27&amp;" HD",B:B,1,FALSE))),VLOOKUP(B27&amp;" HD",K:L,2,FALSE),"")</f>
        <v>211</v>
      </c>
      <c r="N27">
        <f>IF(NOT(ISERROR(VLOOKUP(B27&amp;" +1",B:B,1,FALSE))),VLOOKUP(B27&amp;" +1",K:L,2,FALSE),"")</f>
        <v>190</v>
      </c>
      <c r="P27" t="str">
        <f t="shared" si="4"/>
        <v xml:space="preserve">      125:
        name: W
        package: Mix
        hd_channel: 211
        plus_one: 190</v>
      </c>
    </row>
    <row r="28" spans="1:16" x14ac:dyDescent="0.25">
      <c r="A28">
        <v>126</v>
      </c>
      <c r="B28" t="s">
        <v>31</v>
      </c>
      <c r="C28" t="str">
        <f>"true"</f>
        <v>true</v>
      </c>
      <c r="D28">
        <v>226</v>
      </c>
      <c r="E28">
        <v>191</v>
      </c>
      <c r="I28" t="str">
        <f t="shared" si="0"/>
        <v>Mix</v>
      </c>
      <c r="K28" t="str">
        <f t="shared" si="2"/>
        <v>alibi</v>
      </c>
      <c r="L28">
        <f t="shared" si="3"/>
        <v>126</v>
      </c>
      <c r="M28">
        <f>IF(NOT(ISERROR(VLOOKUP(B28&amp;" HD",B:B,1,FALSE))),VLOOKUP(B28&amp;" HD",K:L,2,FALSE),"")</f>
        <v>226</v>
      </c>
      <c r="N28">
        <f>IF(NOT(ISERROR(VLOOKUP(B28&amp;" +1",B:B,1,FALSE))),VLOOKUP(B28&amp;" +1",K:L,2,FALSE),"")</f>
        <v>191</v>
      </c>
      <c r="P28" t="str">
        <f t="shared" si="4"/>
        <v xml:space="preserve">      126:
        name: alibi
        show: true
        package: Mix
        hd_channel: 226
        plus_one: 191</v>
      </c>
    </row>
    <row r="29" spans="1:16" x14ac:dyDescent="0.25">
      <c r="A29">
        <v>127</v>
      </c>
      <c r="B29" t="s">
        <v>32</v>
      </c>
      <c r="C29" t="str">
        <f>"true"</f>
        <v>true</v>
      </c>
      <c r="D29">
        <v>227</v>
      </c>
      <c r="E29">
        <v>131</v>
      </c>
      <c r="I29" t="str">
        <f t="shared" si="0"/>
        <v>Player</v>
      </c>
      <c r="K29" t="str">
        <f t="shared" si="2"/>
        <v>Dave</v>
      </c>
      <c r="L29">
        <f t="shared" si="3"/>
        <v>127</v>
      </c>
      <c r="M29">
        <f>IF(NOT(ISERROR(VLOOKUP(B29&amp;" HD",B:B,1,FALSE))),VLOOKUP(B29&amp;" HD",K:L,2,FALSE),"")</f>
        <v>227</v>
      </c>
      <c r="N29" t="str">
        <f>IF(NOT(ISERROR(VLOOKUP(B29&amp;" +1",B:B,1,FALSE))),VLOOKUP(B29&amp;" +1",K:L,2,FALSE),"")</f>
        <v/>
      </c>
      <c r="P29" t="str">
        <f t="shared" si="4"/>
        <v xml:space="preserve">      127:
        name: Dave
        show: true
        package: Player
        hd_channel: 227
        plus_one: 131</v>
      </c>
    </row>
    <row r="30" spans="1:16" x14ac:dyDescent="0.25">
      <c r="A30">
        <v>128</v>
      </c>
      <c r="B30" s="4" t="s">
        <v>34</v>
      </c>
      <c r="D30" t="s">
        <v>279</v>
      </c>
      <c r="E30" t="s">
        <v>279</v>
      </c>
      <c r="I30" t="str">
        <f t="shared" si="0"/>
        <v>Player</v>
      </c>
      <c r="K30" t="str">
        <f t="shared" si="2"/>
        <v>Really</v>
      </c>
      <c r="L30">
        <f t="shared" si="3"/>
        <v>128</v>
      </c>
      <c r="M30" t="str">
        <f>IF(NOT(ISERROR(VLOOKUP(B30&amp;" HD",B:B,1,FALSE))),VLOOKUP(B30&amp;" HD",K:L,2,FALSE),"")</f>
        <v/>
      </c>
      <c r="N30" t="str">
        <f>IF(NOT(ISERROR(VLOOKUP(B30&amp;" +1",B:B,1,FALSE))),VLOOKUP(B30&amp;" +1",K:L,2,FALSE),"")</f>
        <v/>
      </c>
      <c r="P30" t="str">
        <f t="shared" si="4"/>
        <v xml:space="preserve">      128:
        name: Really
        package: Player</v>
      </c>
    </row>
    <row r="31" spans="1:16" x14ac:dyDescent="0.25">
      <c r="A31">
        <v>129</v>
      </c>
      <c r="B31" s="4" t="s">
        <v>102</v>
      </c>
      <c r="D31" t="s">
        <v>279</v>
      </c>
      <c r="E31" t="s">
        <v>279</v>
      </c>
      <c r="I31" t="str">
        <f t="shared" si="0"/>
        <v>Player</v>
      </c>
      <c r="K31" t="str">
        <f t="shared" si="2"/>
        <v>Yesterday</v>
      </c>
      <c r="L31">
        <f t="shared" si="3"/>
        <v>129</v>
      </c>
      <c r="M31" t="str">
        <f>IF(NOT(ISERROR(VLOOKUP(B31&amp;" HD",B:B,1,FALSE))),VLOOKUP(B31&amp;" HD",K:L,2,FALSE),"")</f>
        <v/>
      </c>
      <c r="N31">
        <f>IF(NOT(ISERROR(VLOOKUP(B31&amp;" +1",B:B,1,FALSE))),VLOOKUP(B31&amp;" +1",K:L,2,FALSE),"")</f>
        <v>200</v>
      </c>
      <c r="P31" t="str">
        <f t="shared" si="4"/>
        <v xml:space="preserve">      129:
        name: Yesterday
        package: Player</v>
      </c>
    </row>
    <row r="32" spans="1:16" x14ac:dyDescent="0.25">
      <c r="A32">
        <v>130</v>
      </c>
      <c r="B32" s="4" t="s">
        <v>33</v>
      </c>
      <c r="D32" t="s">
        <v>279</v>
      </c>
      <c r="E32" t="s">
        <v>279</v>
      </c>
      <c r="I32" t="str">
        <f t="shared" si="0"/>
        <v>Player</v>
      </c>
      <c r="K32" t="str">
        <f t="shared" si="2"/>
        <v>Drama</v>
      </c>
      <c r="L32">
        <f t="shared" si="3"/>
        <v>130</v>
      </c>
      <c r="M32" t="str">
        <f>IF(NOT(ISERROR(VLOOKUP(B32&amp;" HD",B:B,1,FALSE))),VLOOKUP(B32&amp;" HD",K:L,2,FALSE),"")</f>
        <v/>
      </c>
      <c r="N32" t="str">
        <f>IF(NOT(ISERROR(VLOOKUP(B32&amp;" +1",B:B,1,FALSE))),VLOOKUP(B32&amp;" +1",K:L,2,FALSE),"")</f>
        <v/>
      </c>
      <c r="P32" t="str">
        <f t="shared" si="4"/>
        <v xml:space="preserve">      130:
        name: Drama
        package: Player</v>
      </c>
    </row>
    <row r="33" spans="1:16" x14ac:dyDescent="0.25">
      <c r="A33">
        <v>131</v>
      </c>
      <c r="B33" s="4" t="s">
        <v>96</v>
      </c>
      <c r="D33" t="s">
        <v>279</v>
      </c>
      <c r="E33" t="s">
        <v>279</v>
      </c>
      <c r="I33" t="str">
        <f t="shared" si="0"/>
        <v>Player</v>
      </c>
      <c r="K33" t="str">
        <f t="shared" si="2"/>
        <v>Dave ja vu</v>
      </c>
      <c r="L33">
        <f t="shared" si="3"/>
        <v>131</v>
      </c>
      <c r="M33" t="str">
        <f>IF(NOT(ISERROR(VLOOKUP(B33&amp;" HD",B:B,1,FALSE))),VLOOKUP(B33&amp;" HD",K:L,2,FALSE),"")</f>
        <v/>
      </c>
      <c r="N33" t="str">
        <f>IF(NOT(ISERROR(VLOOKUP(B33&amp;" +1",B:B,1,FALSE))),VLOOKUP(B33&amp;" +1",K:L,2,FALSE),"")</f>
        <v/>
      </c>
      <c r="P33" t="str">
        <f t="shared" si="4"/>
        <v xml:space="preserve">      131:
        name: Dave ja vu
        package: Player</v>
      </c>
    </row>
    <row r="34" spans="1:16" x14ac:dyDescent="0.25">
      <c r="A34">
        <v>132</v>
      </c>
      <c r="B34" t="s">
        <v>36</v>
      </c>
      <c r="C34" t="str">
        <f>"true"</f>
        <v>true</v>
      </c>
      <c r="D34">
        <v>181</v>
      </c>
      <c r="E34">
        <v>133</v>
      </c>
      <c r="I34" t="str">
        <f t="shared" si="0"/>
        <v>Mix</v>
      </c>
      <c r="K34" t="str">
        <f t="shared" si="2"/>
        <v>Comedy Central</v>
      </c>
      <c r="L34">
        <f t="shared" si="3"/>
        <v>132</v>
      </c>
      <c r="M34">
        <f>IF(NOT(ISERROR(VLOOKUP(B34&amp;" HD",B:B,1,FALSE))),VLOOKUP(B34&amp;" HD",K:L,2,FALSE),"")</f>
        <v>181</v>
      </c>
      <c r="N34">
        <f>IF(NOT(ISERROR(VLOOKUP(B34&amp;" +1",B:B,1,FALSE))),VLOOKUP(B34&amp;" +1",K:L,2,FALSE),"")</f>
        <v>133</v>
      </c>
      <c r="P34" t="str">
        <f t="shared" si="4"/>
        <v xml:space="preserve">      132:
        name: Comedy Central
        show: true
        package: Mix
        hd_channel: 181
        plus_one: 133</v>
      </c>
    </row>
    <row r="35" spans="1:16" x14ac:dyDescent="0.25">
      <c r="A35">
        <v>133</v>
      </c>
      <c r="B35" t="s">
        <v>37</v>
      </c>
      <c r="D35" t="s">
        <v>279</v>
      </c>
      <c r="E35" t="s">
        <v>279</v>
      </c>
      <c r="I35" t="str">
        <f t="shared" si="0"/>
        <v>Mix</v>
      </c>
      <c r="K35" t="str">
        <f t="shared" si="2"/>
        <v>Comedy Central +1</v>
      </c>
      <c r="L35">
        <f t="shared" si="3"/>
        <v>133</v>
      </c>
      <c r="M35" t="str">
        <f>IF(NOT(ISERROR(VLOOKUP(B35&amp;" HD",B:B,1,FALSE))),VLOOKUP(B35&amp;" HD",K:L,2,FALSE),"")</f>
        <v/>
      </c>
      <c r="N35" t="str">
        <f>IF(NOT(ISERROR(VLOOKUP(B35&amp;" +1",B:B,1,FALSE))),VLOOKUP(B35&amp;" +1",K:L,2,FALSE),"")</f>
        <v/>
      </c>
      <c r="P35" t="str">
        <f t="shared" si="4"/>
        <v xml:space="preserve">      133:
        name: Comedy Central +1
        package: Mix</v>
      </c>
    </row>
    <row r="36" spans="1:16" x14ac:dyDescent="0.25">
      <c r="A36">
        <v>134</v>
      </c>
      <c r="B36" t="s">
        <v>38</v>
      </c>
      <c r="D36">
        <v>183</v>
      </c>
      <c r="E36" t="s">
        <v>279</v>
      </c>
      <c r="I36" t="str">
        <f t="shared" si="0"/>
        <v>Mix</v>
      </c>
      <c r="K36" t="str">
        <f t="shared" si="2"/>
        <v>MTV</v>
      </c>
      <c r="L36">
        <f t="shared" si="3"/>
        <v>134</v>
      </c>
      <c r="M36">
        <f>IF(NOT(ISERROR(VLOOKUP(B36&amp;" HD",B:B,1,FALSE))),VLOOKUP(B36&amp;" HD",K:L,2,FALSE),"")</f>
        <v>183</v>
      </c>
      <c r="N36" t="str">
        <f>IF(NOT(ISERROR(VLOOKUP(B36&amp;" +1",B:B,1,FALSE))),VLOOKUP(B36&amp;" +1",K:L,2,FALSE),"")</f>
        <v/>
      </c>
      <c r="P36" t="str">
        <f t="shared" si="4"/>
        <v xml:space="preserve">      134:
        name: MTV
        package: Mix
        hd_channel: 183</v>
      </c>
    </row>
    <row r="37" spans="1:16" x14ac:dyDescent="0.25">
      <c r="A37">
        <v>135</v>
      </c>
      <c r="B37" t="s">
        <v>39</v>
      </c>
      <c r="C37" t="str">
        <f>"true"</f>
        <v>true</v>
      </c>
      <c r="D37">
        <v>165</v>
      </c>
      <c r="E37">
        <v>136</v>
      </c>
      <c r="I37" t="str">
        <f t="shared" si="0"/>
        <v>Mix</v>
      </c>
      <c r="K37" t="str">
        <f t="shared" si="2"/>
        <v>Syfy</v>
      </c>
      <c r="L37">
        <f t="shared" si="3"/>
        <v>135</v>
      </c>
      <c r="M37">
        <f>IF(NOT(ISERROR(VLOOKUP(B37&amp;" HD",B:B,1,FALSE))),VLOOKUP(B37&amp;" HD",K:L,2,FALSE),"")</f>
        <v>165</v>
      </c>
      <c r="N37">
        <f>IF(NOT(ISERROR(VLOOKUP(B37&amp;" +1",B:B,1,FALSE))),VLOOKUP(B37&amp;" +1",K:L,2,FALSE),"")</f>
        <v>136</v>
      </c>
      <c r="P37" t="str">
        <f t="shared" si="4"/>
        <v xml:space="preserve">      135:
        name: Syfy
        show: true
        package: Mix
        hd_channel: 165
        plus_one: 136</v>
      </c>
    </row>
    <row r="38" spans="1:16" x14ac:dyDescent="0.25">
      <c r="A38">
        <v>136</v>
      </c>
      <c r="B38" t="s">
        <v>40</v>
      </c>
      <c r="D38" t="s">
        <v>279</v>
      </c>
      <c r="E38" t="s">
        <v>279</v>
      </c>
      <c r="I38" t="str">
        <f t="shared" si="0"/>
        <v>Mix</v>
      </c>
      <c r="K38" t="str">
        <f t="shared" si="2"/>
        <v>Syfy +1</v>
      </c>
      <c r="L38">
        <f t="shared" si="3"/>
        <v>136</v>
      </c>
      <c r="M38" t="str">
        <f>IF(NOT(ISERROR(VLOOKUP(B38&amp;" HD",B:B,1,FALSE))),VLOOKUP(B38&amp;" HD",K:L,2,FALSE),"")</f>
        <v/>
      </c>
      <c r="N38" t="str">
        <f>IF(NOT(ISERROR(VLOOKUP(B38&amp;" +1",B:B,1,FALSE))),VLOOKUP(B38&amp;" +1",K:L,2,FALSE),"")</f>
        <v/>
      </c>
      <c r="P38" t="str">
        <f t="shared" si="4"/>
        <v xml:space="preserve">      136:
        name: Syfy +1
        package: Mix</v>
      </c>
    </row>
    <row r="39" spans="1:16" x14ac:dyDescent="0.25">
      <c r="A39">
        <v>137</v>
      </c>
      <c r="B39" t="s">
        <v>295</v>
      </c>
      <c r="D39">
        <v>164</v>
      </c>
      <c r="E39">
        <v>138</v>
      </c>
      <c r="I39" t="str">
        <f t="shared" si="0"/>
        <v>Mix</v>
      </c>
      <c r="K39" t="str">
        <f t="shared" si="2"/>
        <v>Universal TV</v>
      </c>
      <c r="L39">
        <f t="shared" si="3"/>
        <v>137</v>
      </c>
      <c r="M39">
        <f>IF(NOT(ISERROR(VLOOKUP(B39&amp;" HD",B:B,1,FALSE))),VLOOKUP(B39&amp;" HD",K:L,2,FALSE),"")</f>
        <v>164</v>
      </c>
      <c r="N39">
        <f>IF(NOT(ISERROR(VLOOKUP(B39&amp;" +1",B:B,1,FALSE))),VLOOKUP(B39&amp;" +1",K:L,2,FALSE),"")</f>
        <v>138</v>
      </c>
      <c r="P39" t="str">
        <f t="shared" si="4"/>
        <v xml:space="preserve">      137:
        name: Universal TV
        package: Mix
        hd_channel: 164
        plus_one: 138</v>
      </c>
    </row>
    <row r="40" spans="1:16" x14ac:dyDescent="0.25">
      <c r="A40">
        <v>138</v>
      </c>
      <c r="B40" t="s">
        <v>296</v>
      </c>
      <c r="D40" t="s">
        <v>279</v>
      </c>
      <c r="E40" t="s">
        <v>279</v>
      </c>
      <c r="I40" t="str">
        <f t="shared" si="0"/>
        <v>Mix</v>
      </c>
      <c r="K40" t="str">
        <f t="shared" si="2"/>
        <v>Universal TV +1</v>
      </c>
      <c r="L40">
        <f t="shared" si="3"/>
        <v>138</v>
      </c>
      <c r="M40" t="str">
        <f>IF(NOT(ISERROR(VLOOKUP(B40&amp;" HD",B:B,1,FALSE))),VLOOKUP(B40&amp;" HD",K:L,2,FALSE),"")</f>
        <v/>
      </c>
      <c r="N40" t="str">
        <f>IF(NOT(ISERROR(VLOOKUP(B40&amp;" +1",B:B,1,FALSE))),VLOOKUP(B40&amp;" +1",K:L,2,FALSE),"")</f>
        <v/>
      </c>
      <c r="P40" t="str">
        <f t="shared" si="4"/>
        <v xml:space="preserve">      138:
        name: Universal TV +1
        package: Mix</v>
      </c>
    </row>
    <row r="41" spans="1:16" x14ac:dyDescent="0.25">
      <c r="A41">
        <v>139</v>
      </c>
      <c r="B41" t="s">
        <v>41</v>
      </c>
      <c r="C41" t="str">
        <f>"true"</f>
        <v>true</v>
      </c>
      <c r="D41" t="s">
        <v>279</v>
      </c>
      <c r="E41">
        <v>180</v>
      </c>
      <c r="I41" t="str">
        <f t="shared" si="0"/>
        <v>Player</v>
      </c>
      <c r="K41" t="str">
        <f t="shared" si="2"/>
        <v>Challenge</v>
      </c>
      <c r="L41">
        <f t="shared" si="3"/>
        <v>139</v>
      </c>
      <c r="M41" t="str">
        <f>IF(NOT(ISERROR(VLOOKUP(B41&amp;" HD",B:B,1,FALSE))),VLOOKUP(B41&amp;" HD",K:L,2,FALSE),"")</f>
        <v/>
      </c>
      <c r="N41">
        <f>IF(NOT(ISERROR(VLOOKUP(B41&amp;" +1",B:B,1,FALSE))),VLOOKUP(B41&amp;" +1",K:L,2,FALSE),"")</f>
        <v>180</v>
      </c>
      <c r="P41" t="str">
        <f t="shared" si="4"/>
        <v xml:space="preserve">      139:
        name: Challenge
        show: true
        package: Player
        plus_one: 180</v>
      </c>
    </row>
    <row r="42" spans="1:16" x14ac:dyDescent="0.25">
      <c r="A42">
        <v>140</v>
      </c>
      <c r="B42" t="s">
        <v>297</v>
      </c>
      <c r="D42" t="s">
        <v>279</v>
      </c>
      <c r="E42" t="s">
        <v>279</v>
      </c>
      <c r="I42" t="str">
        <f t="shared" si="0"/>
        <v>Mix</v>
      </c>
      <c r="K42" t="str">
        <f t="shared" si="2"/>
        <v>Sky Witness +1</v>
      </c>
      <c r="L42">
        <f t="shared" si="3"/>
        <v>140</v>
      </c>
      <c r="M42" t="str">
        <f>IF(NOT(ISERROR(VLOOKUP(B42&amp;" HD",B:B,1,FALSE))),VLOOKUP(B42&amp;" HD",K:L,2,FALSE),"")</f>
        <v/>
      </c>
      <c r="N42" t="str">
        <f>IF(NOT(ISERROR(VLOOKUP(B42&amp;" +1",B:B,1,FALSE))),VLOOKUP(B42&amp;" +1",K:L,2,FALSE),"")</f>
        <v/>
      </c>
      <c r="P42" t="str">
        <f t="shared" si="4"/>
        <v xml:space="preserve">      140:
        name: Sky Witness +1
        package: Mix</v>
      </c>
    </row>
    <row r="43" spans="1:16" x14ac:dyDescent="0.25">
      <c r="A43">
        <v>141</v>
      </c>
      <c r="B43" t="s">
        <v>42</v>
      </c>
      <c r="D43" t="s">
        <v>279</v>
      </c>
      <c r="E43" t="s">
        <v>279</v>
      </c>
      <c r="I43" t="str">
        <f t="shared" si="0"/>
        <v>Player</v>
      </c>
      <c r="K43" t="str">
        <f t="shared" si="2"/>
        <v>Channel 4 HD</v>
      </c>
      <c r="L43">
        <f t="shared" si="3"/>
        <v>141</v>
      </c>
      <c r="M43" t="str">
        <f>IF(NOT(ISERROR(VLOOKUP(B43&amp;" HD",B:B,1,FALSE))),VLOOKUP(B43&amp;" HD",K:L,2,FALSE),"")</f>
        <v/>
      </c>
      <c r="N43" t="str">
        <f>IF(NOT(ISERROR(VLOOKUP(B43&amp;" +1",B:B,1,FALSE))),VLOOKUP(B43&amp;" +1",K:L,2,FALSE),"")</f>
        <v/>
      </c>
      <c r="P43" t="str">
        <f t="shared" si="4"/>
        <v xml:space="preserve">      141:
        name: Channel 4 HD
        package: Player</v>
      </c>
    </row>
    <row r="44" spans="1:16" x14ac:dyDescent="0.25">
      <c r="A44">
        <v>142</v>
      </c>
      <c r="B44" t="s">
        <v>43</v>
      </c>
      <c r="D44" t="s">
        <v>279</v>
      </c>
      <c r="E44" t="s">
        <v>279</v>
      </c>
      <c r="I44" t="str">
        <f t="shared" si="0"/>
        <v>Free-to-air</v>
      </c>
      <c r="K44" t="str">
        <f t="shared" si="2"/>
        <v>Channel 4 +1</v>
      </c>
      <c r="L44">
        <f t="shared" si="3"/>
        <v>142</v>
      </c>
      <c r="M44" t="str">
        <f>IF(NOT(ISERROR(VLOOKUP(B44&amp;" HD",B:B,1,FALSE))),VLOOKUP(B44&amp;" HD",K:L,2,FALSE),"")</f>
        <v/>
      </c>
      <c r="N44" t="str">
        <f>IF(NOT(ISERROR(VLOOKUP(B44&amp;" +1",B:B,1,FALSE))),VLOOKUP(B44&amp;" +1",K:L,2,FALSE),"")</f>
        <v/>
      </c>
      <c r="P44" t="str">
        <f t="shared" si="4"/>
        <v xml:space="preserve">      142:
        name: Channel 4 +1
        package: Free-to-air</v>
      </c>
    </row>
    <row r="45" spans="1:16" x14ac:dyDescent="0.25">
      <c r="A45">
        <v>143</v>
      </c>
      <c r="B45" t="s">
        <v>44</v>
      </c>
      <c r="D45">
        <v>203</v>
      </c>
      <c r="E45" t="s">
        <v>279</v>
      </c>
      <c r="I45" t="str">
        <f t="shared" si="0"/>
        <v>Player</v>
      </c>
      <c r="K45" t="str">
        <f t="shared" si="2"/>
        <v>4seven</v>
      </c>
      <c r="L45">
        <f t="shared" si="3"/>
        <v>143</v>
      </c>
      <c r="M45">
        <f>IF(NOT(ISERROR(VLOOKUP(B45&amp;" HD",B:B,1,FALSE))),VLOOKUP(B45&amp;" HD",K:L,2,FALSE),"")</f>
        <v>203</v>
      </c>
      <c r="N45" t="str">
        <f>IF(NOT(ISERROR(VLOOKUP(B45&amp;" +1",B:B,1,FALSE))),VLOOKUP(B45&amp;" +1",K:L,2,FALSE),"")</f>
        <v/>
      </c>
      <c r="P45" t="str">
        <f t="shared" si="4"/>
        <v xml:space="preserve">      143:
        name: 4seven
        package: Player
        hd_channel: 203</v>
      </c>
    </row>
    <row r="46" spans="1:16" x14ac:dyDescent="0.25">
      <c r="A46">
        <v>145</v>
      </c>
      <c r="B46" t="s">
        <v>45</v>
      </c>
      <c r="D46" t="s">
        <v>279</v>
      </c>
      <c r="E46" t="s">
        <v>279</v>
      </c>
      <c r="I46" t="str">
        <f t="shared" si="0"/>
        <v>Full House</v>
      </c>
      <c r="K46" t="str">
        <f t="shared" si="2"/>
        <v>E4 HD</v>
      </c>
      <c r="L46">
        <f t="shared" si="3"/>
        <v>145</v>
      </c>
      <c r="M46" t="str">
        <f>IF(NOT(ISERROR(VLOOKUP(B46&amp;" HD",B:B,1,FALSE))),VLOOKUP(B46&amp;" HD",K:L,2,FALSE),"")</f>
        <v/>
      </c>
      <c r="N46" t="str">
        <f>IF(NOT(ISERROR(VLOOKUP(B46&amp;" +1",B:B,1,FALSE))),VLOOKUP(B46&amp;" +1",K:L,2,FALSE),"")</f>
        <v/>
      </c>
      <c r="P46" t="str">
        <f t="shared" si="4"/>
        <v xml:space="preserve">      145:
        name: E4 HD
        package: Full House</v>
      </c>
    </row>
    <row r="47" spans="1:16" x14ac:dyDescent="0.25">
      <c r="A47">
        <v>146</v>
      </c>
      <c r="B47" t="s">
        <v>46</v>
      </c>
      <c r="D47" t="s">
        <v>279</v>
      </c>
      <c r="E47" t="s">
        <v>279</v>
      </c>
      <c r="I47" t="str">
        <f t="shared" si="0"/>
        <v>Player</v>
      </c>
      <c r="K47" t="str">
        <f t="shared" si="2"/>
        <v>E4 +1</v>
      </c>
      <c r="L47">
        <f t="shared" si="3"/>
        <v>146</v>
      </c>
      <c r="M47" t="str">
        <f>IF(NOT(ISERROR(VLOOKUP(B47&amp;" HD",B:B,1,FALSE))),VLOOKUP(B47&amp;" HD",K:L,2,FALSE),"")</f>
        <v/>
      </c>
      <c r="N47" t="str">
        <f>IF(NOT(ISERROR(VLOOKUP(B47&amp;" +1",B:B,1,FALSE))),VLOOKUP(B47&amp;" +1",K:L,2,FALSE),"")</f>
        <v/>
      </c>
      <c r="P47" t="str">
        <f t="shared" si="4"/>
        <v xml:space="preserve">      146:
        name: E4 +1
        package: Player</v>
      </c>
    </row>
    <row r="48" spans="1:16" x14ac:dyDescent="0.25">
      <c r="A48">
        <v>147</v>
      </c>
      <c r="B48" t="s">
        <v>47</v>
      </c>
      <c r="C48" t="str">
        <f>"true"</f>
        <v>true</v>
      </c>
      <c r="D48">
        <v>195</v>
      </c>
      <c r="E48">
        <v>196</v>
      </c>
      <c r="I48" t="str">
        <f t="shared" si="0"/>
        <v>Player</v>
      </c>
      <c r="K48" t="str">
        <f t="shared" si="2"/>
        <v>More4</v>
      </c>
      <c r="L48">
        <f t="shared" si="3"/>
        <v>147</v>
      </c>
      <c r="M48">
        <f>IF(NOT(ISERROR(VLOOKUP(B48&amp;" HD",B:B,1,FALSE))),VLOOKUP(B48&amp;" HD",K:L,2,FALSE),"")</f>
        <v>195</v>
      </c>
      <c r="N48">
        <f>IF(NOT(ISERROR(VLOOKUP(B48&amp;" +1",B:B,1,FALSE))),VLOOKUP(B48&amp;" +1",K:L,2,FALSE),"")</f>
        <v>196</v>
      </c>
      <c r="P48" t="str">
        <f t="shared" si="4"/>
        <v xml:space="preserve">      147:
        name: More4
        show: true
        package: Player
        hd_channel: 195
        plus_one: 196</v>
      </c>
    </row>
    <row r="49" spans="1:16" x14ac:dyDescent="0.25">
      <c r="A49">
        <v>148</v>
      </c>
      <c r="B49" t="s">
        <v>48</v>
      </c>
      <c r="D49" t="s">
        <v>279</v>
      </c>
      <c r="E49">
        <v>201</v>
      </c>
      <c r="I49" t="str">
        <f t="shared" si="0"/>
        <v>Player</v>
      </c>
      <c r="K49" t="str">
        <f t="shared" si="2"/>
        <v>CBS Reality</v>
      </c>
      <c r="L49">
        <f t="shared" si="3"/>
        <v>148</v>
      </c>
      <c r="M49" t="str">
        <f>IF(NOT(ISERROR(VLOOKUP(B49&amp;" HD",B:B,1,FALSE))),VLOOKUP(B49&amp;" HD",K:L,2,FALSE),"")</f>
        <v/>
      </c>
      <c r="N49">
        <f>IF(NOT(ISERROR(VLOOKUP(B49&amp;" +1",B:B,1,FALSE))),VLOOKUP(B49&amp;" +1",K:L,2,FALSE),"")</f>
        <v>201</v>
      </c>
      <c r="P49" t="str">
        <f t="shared" si="4"/>
        <v xml:space="preserve">      148:
        name: CBS Reality
        package: Player
        plus_one: 201</v>
      </c>
    </row>
    <row r="50" spans="1:16" x14ac:dyDescent="0.25">
      <c r="A50">
        <v>149</v>
      </c>
      <c r="B50" t="s">
        <v>49</v>
      </c>
      <c r="D50" t="s">
        <v>279</v>
      </c>
      <c r="E50">
        <v>202</v>
      </c>
      <c r="I50" t="str">
        <f t="shared" si="0"/>
        <v>Player</v>
      </c>
      <c r="K50" t="str">
        <f t="shared" si="2"/>
        <v>Horror Channel</v>
      </c>
      <c r="L50">
        <f t="shared" si="3"/>
        <v>149</v>
      </c>
      <c r="M50" t="str">
        <f>IF(NOT(ISERROR(VLOOKUP(B50&amp;" HD",B:B,1,FALSE))),VLOOKUP(B50&amp;" HD",K:L,2,FALSE),"")</f>
        <v/>
      </c>
      <c r="N50">
        <f>IF(NOT(ISERROR(VLOOKUP(B50&amp;" +1",B:B,1,FALSE))),VLOOKUP(B50&amp;" +1",K:L,2,FALSE),"")</f>
        <v>202</v>
      </c>
      <c r="P50" t="str">
        <f t="shared" si="4"/>
        <v xml:space="preserve">      149:
        name: Horror Channel
        package: Player
        plus_one: 202</v>
      </c>
    </row>
    <row r="51" spans="1:16" x14ac:dyDescent="0.25">
      <c r="A51">
        <v>150</v>
      </c>
      <c r="B51" t="s">
        <v>50</v>
      </c>
      <c r="D51" t="s">
        <v>279</v>
      </c>
      <c r="E51" t="s">
        <v>279</v>
      </c>
      <c r="I51" t="str">
        <f t="shared" si="0"/>
        <v>Player</v>
      </c>
      <c r="K51" t="str">
        <f t="shared" si="2"/>
        <v>Channel 5 HD</v>
      </c>
      <c r="L51">
        <f t="shared" si="3"/>
        <v>150</v>
      </c>
      <c r="M51" t="str">
        <f>IF(NOT(ISERROR(VLOOKUP(B51&amp;" HD",B:B,1,FALSE))),VLOOKUP(B51&amp;" HD",K:L,2,FALSE),"")</f>
        <v/>
      </c>
      <c r="N51" t="str">
        <f>IF(NOT(ISERROR(VLOOKUP(B51&amp;" +1",B:B,1,FALSE))),VLOOKUP(B51&amp;" +1",K:L,2,FALSE),"")</f>
        <v/>
      </c>
      <c r="P51" t="str">
        <f t="shared" si="4"/>
        <v xml:space="preserve">      150:
        name: Channel 5 HD
        package: Player</v>
      </c>
    </row>
    <row r="52" spans="1:16" x14ac:dyDescent="0.25">
      <c r="A52">
        <v>151</v>
      </c>
      <c r="B52" t="s">
        <v>51</v>
      </c>
      <c r="D52" t="s">
        <v>279</v>
      </c>
      <c r="E52">
        <v>186</v>
      </c>
      <c r="I52" t="str">
        <f t="shared" si="0"/>
        <v>Player</v>
      </c>
      <c r="K52" t="str">
        <f t="shared" si="2"/>
        <v>5STAR</v>
      </c>
      <c r="L52">
        <f t="shared" si="3"/>
        <v>151</v>
      </c>
      <c r="M52" t="str">
        <f>IF(NOT(ISERROR(VLOOKUP(B52&amp;" HD",B:B,1,FALSE))),VLOOKUP(B52&amp;" HD",K:L,2,FALSE),"")</f>
        <v/>
      </c>
      <c r="N52">
        <f>IF(NOT(ISERROR(VLOOKUP(B52&amp;" +1",B:B,1,FALSE))),VLOOKUP(B52&amp;" +1",K:L,2,FALSE),"")</f>
        <v>186</v>
      </c>
      <c r="P52" t="str">
        <f t="shared" si="4"/>
        <v xml:space="preserve">      151:
        name: 5STAR
        package: Player
        plus_one: 186</v>
      </c>
    </row>
    <row r="53" spans="1:16" x14ac:dyDescent="0.25">
      <c r="A53">
        <v>152</v>
      </c>
      <c r="B53" t="s">
        <v>298</v>
      </c>
      <c r="D53" t="s">
        <v>279</v>
      </c>
      <c r="E53" t="s">
        <v>279</v>
      </c>
      <c r="I53" t="str">
        <f t="shared" si="0"/>
        <v>Player</v>
      </c>
      <c r="K53" t="str">
        <f t="shared" si="2"/>
        <v>5Select</v>
      </c>
      <c r="L53">
        <f t="shared" si="3"/>
        <v>152</v>
      </c>
      <c r="M53" t="str">
        <f>IF(NOT(ISERROR(VLOOKUP(B53&amp;" HD",B:B,1,FALSE))),VLOOKUP(B53&amp;" HD",K:L,2,FALSE),"")</f>
        <v/>
      </c>
      <c r="N53" t="str">
        <f>IF(NOT(ISERROR(VLOOKUP(B53&amp;" +1",B:B,1,FALSE))),VLOOKUP(B53&amp;" +1",K:L,2,FALSE),"")</f>
        <v/>
      </c>
      <c r="P53" t="str">
        <f t="shared" si="4"/>
        <v xml:space="preserve">      152:
        name: 5Select
        package: Player</v>
      </c>
    </row>
    <row r="54" spans="1:16" x14ac:dyDescent="0.25">
      <c r="A54">
        <v>153</v>
      </c>
      <c r="B54" t="s">
        <v>424</v>
      </c>
      <c r="D54" t="s">
        <v>279</v>
      </c>
      <c r="E54">
        <v>185</v>
      </c>
      <c r="I54" t="str">
        <f t="shared" si="0"/>
        <v>Player</v>
      </c>
      <c r="K54" t="str">
        <f t="shared" si="2"/>
        <v>5USA</v>
      </c>
      <c r="L54">
        <f t="shared" si="3"/>
        <v>153</v>
      </c>
      <c r="M54" t="str">
        <f>IF(NOT(ISERROR(VLOOKUP(B54&amp;" HD",B:B,1,FALSE))),VLOOKUP(B54&amp;" HD",K:L,2,FALSE),"")</f>
        <v/>
      </c>
      <c r="N54">
        <f>IF(NOT(ISERROR(VLOOKUP(B54&amp;" +1",B:B,1,FALSE))),VLOOKUP(B54&amp;" +1",K:L,2,FALSE),"")</f>
        <v>185</v>
      </c>
      <c r="P54" t="str">
        <f t="shared" si="4"/>
        <v xml:space="preserve">      153:
        name: 5USA
        package: Player
        plus_one: 185</v>
      </c>
    </row>
    <row r="55" spans="1:16" x14ac:dyDescent="0.25">
      <c r="A55">
        <v>154</v>
      </c>
      <c r="B55" t="s">
        <v>299</v>
      </c>
      <c r="D55" t="s">
        <v>279</v>
      </c>
      <c r="E55" t="s">
        <v>279</v>
      </c>
      <c r="I55" t="str">
        <f t="shared" si="0"/>
        <v>Player</v>
      </c>
      <c r="K55" t="str">
        <f t="shared" si="2"/>
        <v>5Spike</v>
      </c>
      <c r="L55">
        <f t="shared" si="3"/>
        <v>154</v>
      </c>
      <c r="M55" t="str">
        <f>IF(NOT(ISERROR(VLOOKUP(B55&amp;" HD",B:B,1,FALSE))),VLOOKUP(B55&amp;" HD",K:L,2,FALSE),"")</f>
        <v/>
      </c>
      <c r="N55" t="str">
        <f>IF(NOT(ISERROR(VLOOKUP(B55&amp;" +1",B:B,1,FALSE))),VLOOKUP(B55&amp;" +1",K:L,2,FALSE),"")</f>
        <v/>
      </c>
      <c r="P55" t="str">
        <f t="shared" si="4"/>
        <v xml:space="preserve">      154:
        name: 5Spike
        package: Player</v>
      </c>
    </row>
    <row r="56" spans="1:16" x14ac:dyDescent="0.25">
      <c r="A56">
        <v>155</v>
      </c>
      <c r="B56" t="s">
        <v>52</v>
      </c>
      <c r="D56" t="s">
        <v>279</v>
      </c>
      <c r="E56" t="s">
        <v>279</v>
      </c>
      <c r="I56" t="str">
        <f t="shared" si="0"/>
        <v>Player</v>
      </c>
      <c r="K56" t="str">
        <f t="shared" si="2"/>
        <v>Channel 5 +1</v>
      </c>
      <c r="L56">
        <f t="shared" si="3"/>
        <v>155</v>
      </c>
      <c r="M56" t="str">
        <f>IF(NOT(ISERROR(VLOOKUP(B56&amp;" HD",B:B,1,FALSE))),VLOOKUP(B56&amp;" HD",K:L,2,FALSE),"")</f>
        <v/>
      </c>
      <c r="N56" t="str">
        <f>IF(NOT(ISERROR(VLOOKUP(B56&amp;" +1",B:B,1,FALSE))),VLOOKUP(B56&amp;" +1",K:L,2,FALSE),"")</f>
        <v/>
      </c>
      <c r="P56" t="str">
        <f t="shared" si="4"/>
        <v xml:space="preserve">      155:
        name: Channel 5 +1
        package: Player</v>
      </c>
    </row>
    <row r="57" spans="1:16" x14ac:dyDescent="0.25">
      <c r="A57">
        <v>156</v>
      </c>
      <c r="B57" t="s">
        <v>53</v>
      </c>
      <c r="D57" t="s">
        <v>279</v>
      </c>
      <c r="E57" t="s">
        <v>279</v>
      </c>
      <c r="I57" t="str">
        <f t="shared" si="0"/>
        <v>Mix</v>
      </c>
      <c r="K57" t="str">
        <f t="shared" si="2"/>
        <v>E!</v>
      </c>
      <c r="L57">
        <f t="shared" si="3"/>
        <v>156</v>
      </c>
      <c r="M57" t="str">
        <f>IF(NOT(ISERROR(VLOOKUP(B57&amp;" HD",B:B,1,FALSE))),VLOOKUP(B57&amp;" HD",K:L,2,FALSE),"")</f>
        <v/>
      </c>
      <c r="N57" t="str">
        <f>IF(NOT(ISERROR(VLOOKUP(B57&amp;" +1",B:B,1,FALSE))),VLOOKUP(B57&amp;" +1",K:L,2,FALSE),"")</f>
        <v/>
      </c>
      <c r="P57" t="str">
        <f t="shared" si="4"/>
        <v xml:space="preserve">      156:
        name: E!
        package: Mix</v>
      </c>
    </row>
    <row r="58" spans="1:16" x14ac:dyDescent="0.25">
      <c r="A58">
        <v>157</v>
      </c>
      <c r="B58" t="s">
        <v>54</v>
      </c>
      <c r="D58">
        <v>199</v>
      </c>
      <c r="E58">
        <v>158</v>
      </c>
      <c r="I58" t="str">
        <f t="shared" si="0"/>
        <v>Mix</v>
      </c>
      <c r="K58" t="str">
        <f t="shared" si="2"/>
        <v>FOX</v>
      </c>
      <c r="L58">
        <f t="shared" si="3"/>
        <v>157</v>
      </c>
      <c r="M58">
        <f>IF(NOT(ISERROR(VLOOKUP(B58&amp;" HD",B:B,1,FALSE))),VLOOKUP(B58&amp;" HD",K:L,2,FALSE),"")</f>
        <v>199</v>
      </c>
      <c r="N58">
        <f>IF(NOT(ISERROR(VLOOKUP(B58&amp;" +1",B:B,1,FALSE))),VLOOKUP(B58&amp;" +1",K:L,2,FALSE),"")</f>
        <v>158</v>
      </c>
      <c r="P58" t="str">
        <f t="shared" si="4"/>
        <v xml:space="preserve">      157:
        name: FOX
        package: Mix
        hd_channel: 199
        plus_one: 158</v>
      </c>
    </row>
    <row r="59" spans="1:16" x14ac:dyDescent="0.25">
      <c r="A59">
        <v>158</v>
      </c>
      <c r="B59" t="s">
        <v>55</v>
      </c>
      <c r="D59" t="s">
        <v>279</v>
      </c>
      <c r="E59" t="s">
        <v>279</v>
      </c>
      <c r="I59" t="str">
        <f t="shared" si="0"/>
        <v>Mix</v>
      </c>
      <c r="K59" t="str">
        <f t="shared" si="2"/>
        <v>FOX +1</v>
      </c>
      <c r="L59">
        <f t="shared" si="3"/>
        <v>158</v>
      </c>
      <c r="M59" t="str">
        <f>IF(NOT(ISERROR(VLOOKUP(B59&amp;" HD",B:B,1,FALSE))),VLOOKUP(B59&amp;" HD",K:L,2,FALSE),"")</f>
        <v/>
      </c>
      <c r="N59" t="str">
        <f>IF(NOT(ISERROR(VLOOKUP(B59&amp;" +1",B:B,1,FALSE))),VLOOKUP(B59&amp;" +1",K:L,2,FALSE),"")</f>
        <v/>
      </c>
      <c r="P59" t="str">
        <f t="shared" si="4"/>
        <v xml:space="preserve">      158:
        name: FOX +1
        package: Mix</v>
      </c>
    </row>
    <row r="60" spans="1:16" x14ac:dyDescent="0.25">
      <c r="A60">
        <v>159</v>
      </c>
      <c r="B60" t="s">
        <v>300</v>
      </c>
      <c r="D60" t="s">
        <v>279</v>
      </c>
      <c r="E60" t="s">
        <v>279</v>
      </c>
      <c r="I60" t="str">
        <f t="shared" si="0"/>
        <v>Free-to-air</v>
      </c>
      <c r="K60" t="str">
        <f t="shared" si="2"/>
        <v>Regional Channels</v>
      </c>
      <c r="L60">
        <f t="shared" si="3"/>
        <v>159</v>
      </c>
      <c r="M60" t="str">
        <f>IF(NOT(ISERROR(VLOOKUP(B60&amp;" HD",B:B,1,FALSE))),VLOOKUP(B60&amp;" HD",K:L,2,FALSE),"")</f>
        <v/>
      </c>
      <c r="N60" t="str">
        <f>IF(NOT(ISERROR(VLOOKUP(B60&amp;" +1",B:B,1,FALSE))),VLOOKUP(B60&amp;" +1",K:L,2,FALSE),"")</f>
        <v/>
      </c>
      <c r="P60" t="str">
        <f t="shared" si="4"/>
        <v xml:space="preserve">      159:
        name: Regional Channels
        package: Free-to-air</v>
      </c>
    </row>
    <row r="61" spans="1:16" x14ac:dyDescent="0.25">
      <c r="A61">
        <v>160</v>
      </c>
      <c r="B61" t="s">
        <v>56</v>
      </c>
      <c r="D61" t="s">
        <v>279</v>
      </c>
      <c r="E61">
        <v>207</v>
      </c>
      <c r="I61" t="str">
        <f t="shared" si="0"/>
        <v>Mix</v>
      </c>
      <c r="K61" t="str">
        <f t="shared" si="2"/>
        <v>Real Lives</v>
      </c>
      <c r="L61">
        <f t="shared" si="3"/>
        <v>160</v>
      </c>
      <c r="M61" t="str">
        <f>IF(NOT(ISERROR(VLOOKUP(B61&amp;" HD",B:B,1,FALSE))),VLOOKUP(B61&amp;" HD",K:L,2,FALSE),"")</f>
        <v/>
      </c>
      <c r="N61">
        <f>IF(NOT(ISERROR(VLOOKUP(B61&amp;" +1",B:B,1,FALSE))),VLOOKUP(B61&amp;" +1",K:L,2,FALSE),"")</f>
        <v>207</v>
      </c>
      <c r="P61" t="str">
        <f t="shared" si="4"/>
        <v xml:space="preserve">      160:
        name: Real Lives
        package: Mix
        plus_one: 207</v>
      </c>
    </row>
    <row r="62" spans="1:16" x14ac:dyDescent="0.25">
      <c r="A62">
        <v>161</v>
      </c>
      <c r="B62" t="s">
        <v>57</v>
      </c>
      <c r="D62" t="s">
        <v>279</v>
      </c>
      <c r="E62" t="s">
        <v>279</v>
      </c>
      <c r="I62" t="str">
        <f t="shared" si="0"/>
        <v>Free-to-air</v>
      </c>
      <c r="K62" t="str">
        <f t="shared" si="2"/>
        <v>BBC Alba</v>
      </c>
      <c r="L62">
        <f t="shared" si="3"/>
        <v>161</v>
      </c>
      <c r="M62" t="str">
        <f>IF(NOT(ISERROR(VLOOKUP(B62&amp;" HD",B:B,1,FALSE))),VLOOKUP(B62&amp;" HD",K:L,2,FALSE),"")</f>
        <v/>
      </c>
      <c r="N62" t="str">
        <f>IF(NOT(ISERROR(VLOOKUP(B62&amp;" +1",B:B,1,FALSE))),VLOOKUP(B62&amp;" +1",K:L,2,FALSE),"")</f>
        <v/>
      </c>
      <c r="P62" t="str">
        <f t="shared" si="4"/>
        <v xml:space="preserve">      161:
        name: BBC Alba
        package: Free-to-air</v>
      </c>
    </row>
    <row r="63" spans="1:16" x14ac:dyDescent="0.25">
      <c r="A63">
        <v>162</v>
      </c>
      <c r="B63" t="s">
        <v>705</v>
      </c>
      <c r="D63" t="s">
        <v>279</v>
      </c>
      <c r="E63" t="s">
        <v>279</v>
      </c>
      <c r="I63" t="str">
        <f t="shared" si="0"/>
        <v>Player</v>
      </c>
      <c r="K63" t="str">
        <f t="shared" si="2"/>
        <v>BBC Two HD Scotland</v>
      </c>
      <c r="L63">
        <f t="shared" si="3"/>
        <v>162</v>
      </c>
      <c r="M63" t="str">
        <f>IF(NOT(ISERROR(VLOOKUP(B63&amp;" HD",B:B,1,FALSE))),VLOOKUP(B63&amp;" HD",K:L,2,FALSE),"")</f>
        <v/>
      </c>
      <c r="N63" t="str">
        <f>IF(NOT(ISERROR(VLOOKUP(B63&amp;" +1",B:B,1,FALSE))),VLOOKUP(B63&amp;" +1",K:L,2,FALSE),"")</f>
        <v/>
      </c>
      <c r="P63" t="str">
        <f t="shared" si="4"/>
        <v xml:space="preserve">      162:
        name: BBC Two HD Scotland
        package: Player</v>
      </c>
    </row>
    <row r="64" spans="1:16" x14ac:dyDescent="0.25">
      <c r="A64">
        <v>163</v>
      </c>
      <c r="B64" t="s">
        <v>59</v>
      </c>
      <c r="D64" t="s">
        <v>279</v>
      </c>
      <c r="E64" t="s">
        <v>279</v>
      </c>
      <c r="I64" t="str">
        <f t="shared" si="0"/>
        <v>Player</v>
      </c>
      <c r="K64" t="str">
        <f t="shared" si="2"/>
        <v>BBC Four HD</v>
      </c>
      <c r="L64">
        <f t="shared" si="3"/>
        <v>163</v>
      </c>
      <c r="M64" t="str">
        <f>IF(NOT(ISERROR(VLOOKUP(B64&amp;" HD",B:B,1,FALSE))),VLOOKUP(B64&amp;" HD",K:L,2,FALSE),"")</f>
        <v/>
      </c>
      <c r="N64" t="str">
        <f>IF(NOT(ISERROR(VLOOKUP(B64&amp;" +1",B:B,1,FALSE))),VLOOKUP(B64&amp;" +1",K:L,2,FALSE),"")</f>
        <v/>
      </c>
      <c r="P64" t="str">
        <f t="shared" si="4"/>
        <v xml:space="preserve">      163:
        name: BBC Four HD
        package: Player</v>
      </c>
    </row>
    <row r="65" spans="1:16" x14ac:dyDescent="0.25">
      <c r="A65">
        <v>164</v>
      </c>
      <c r="B65" t="s">
        <v>301</v>
      </c>
      <c r="D65" t="s">
        <v>279</v>
      </c>
      <c r="E65" t="s">
        <v>279</v>
      </c>
      <c r="I65" t="str">
        <f t="shared" si="0"/>
        <v>Full House</v>
      </c>
      <c r="K65" t="str">
        <f t="shared" si="2"/>
        <v>Universal TV HD</v>
      </c>
      <c r="L65">
        <f t="shared" si="3"/>
        <v>164</v>
      </c>
      <c r="M65" t="str">
        <f>IF(NOT(ISERROR(VLOOKUP(B65&amp;" HD",B:B,1,FALSE))),VLOOKUP(B65&amp;" HD",K:L,2,FALSE),"")</f>
        <v/>
      </c>
      <c r="N65" t="str">
        <f>IF(NOT(ISERROR(VLOOKUP(B65&amp;" +1",B:B,1,FALSE))),VLOOKUP(B65&amp;" +1",K:L,2,FALSE),"")</f>
        <v/>
      </c>
      <c r="P65" t="str">
        <f t="shared" si="4"/>
        <v xml:space="preserve">      164:
        name: Universal TV HD
        package: Full House</v>
      </c>
    </row>
    <row r="66" spans="1:16" x14ac:dyDescent="0.25">
      <c r="A66">
        <v>165</v>
      </c>
      <c r="B66" t="s">
        <v>60</v>
      </c>
      <c r="D66" t="s">
        <v>279</v>
      </c>
      <c r="E66" t="s">
        <v>279</v>
      </c>
      <c r="I66" t="str">
        <f t="shared" ref="I66:I131" si="5">VLOOKUP(A66,PACKAGES,6,FALSE)</f>
        <v>Full House</v>
      </c>
      <c r="K66" t="str">
        <f t="shared" si="2"/>
        <v>Syfy HD</v>
      </c>
      <c r="L66">
        <f t="shared" si="3"/>
        <v>165</v>
      </c>
      <c r="M66" t="str">
        <f>IF(NOT(ISERROR(VLOOKUP(B66&amp;" HD",B:B,1,FALSE))),VLOOKUP(B66&amp;" HD",K:L,2,FALSE),"")</f>
        <v/>
      </c>
      <c r="N66" t="str">
        <f>IF(NOT(ISERROR(VLOOKUP(B66&amp;" +1",B:B,1,FALSE))),VLOOKUP(B66&amp;" +1",K:L,2,FALSE),"")</f>
        <v/>
      </c>
      <c r="P66" t="str">
        <f t="shared" si="4"/>
        <v xml:space="preserve">      165:
        name: Syfy HD
        package: Full House</v>
      </c>
    </row>
    <row r="67" spans="1:16" x14ac:dyDescent="0.25">
      <c r="A67">
        <v>166</v>
      </c>
      <c r="B67" t="s">
        <v>61</v>
      </c>
      <c r="D67" t="s">
        <v>279</v>
      </c>
      <c r="E67" t="s">
        <v>279</v>
      </c>
      <c r="I67" t="str">
        <f t="shared" si="5"/>
        <v>Free-to-air</v>
      </c>
      <c r="K67" t="str">
        <f t="shared" ref="K67:K130" si="6">IF(IFERROR(FIND("&amp;",B67),0)=0,B67,CONCATENATE("'",B67,"'"))</f>
        <v>S4C</v>
      </c>
      <c r="L67">
        <f t="shared" ref="L67:L140" si="7">A67</f>
        <v>166</v>
      </c>
      <c r="M67" t="str">
        <f>IF(NOT(ISERROR(VLOOKUP(B67&amp;" HD",B:B,1,FALSE))),VLOOKUP(B67&amp;" HD",K:L,2,FALSE),"")</f>
        <v/>
      </c>
      <c r="N67" t="str">
        <f>IF(NOT(ISERROR(VLOOKUP(B67&amp;" +1",B:B,1,FALSE))),VLOOKUP(B67&amp;" +1",K:L,2,FALSE),"")</f>
        <v/>
      </c>
      <c r="P67" t="str">
        <f t="shared" ref="P67:P130" si="8">SUBSTITUTE(CONCATENATE("      ",A67,":","\nname: ",K67,IF(C67&lt;&gt;"","\nshow: "&amp;C67,""),IF(I67&lt;&gt;"","\npackage: "&amp;I67,""),IF(D67&lt;&gt;"","\nhd_channel: "&amp;D67,""),IF(E67&lt;&gt;"","\nplus_one: "&amp;E67,""),IF(F67&lt;&gt;"","\nlogo: "&amp;F67,""),IF(G67&lt;&gt;"","\ntarget: "&amp;G67,""),IF(H67&lt;&gt;"","\nsource: "&amp;H67,"")),"\n",CHAR(10)&amp;"        ")</f>
        <v xml:space="preserve">      166:
        name: S4C
        package: Free-to-air</v>
      </c>
    </row>
    <row r="68" spans="1:16" x14ac:dyDescent="0.25">
      <c r="A68">
        <v>167</v>
      </c>
      <c r="B68" t="s">
        <v>62</v>
      </c>
      <c r="D68">
        <v>168</v>
      </c>
      <c r="E68">
        <v>169</v>
      </c>
      <c r="I68" t="str">
        <f t="shared" si="5"/>
        <v>Mix</v>
      </c>
      <c r="K68" t="str">
        <f t="shared" si="6"/>
        <v>TLC</v>
      </c>
      <c r="L68">
        <f t="shared" si="7"/>
        <v>167</v>
      </c>
      <c r="M68">
        <f>IF(NOT(ISERROR(VLOOKUP(B68&amp;" HD",B:B,1,FALSE))),VLOOKUP(B68&amp;" HD",K:L,2,FALSE),"")</f>
        <v>168</v>
      </c>
      <c r="N68">
        <f>IF(NOT(ISERROR(VLOOKUP(B68&amp;" +1",B:B,1,FALSE))),VLOOKUP(B68&amp;" +1",K:L,2,FALSE),"")</f>
        <v>169</v>
      </c>
      <c r="P68" t="str">
        <f t="shared" si="8"/>
        <v xml:space="preserve">      167:
        name: TLC
        package: Mix
        hd_channel: 168
        plus_one: 169</v>
      </c>
    </row>
    <row r="69" spans="1:16" x14ac:dyDescent="0.25">
      <c r="A69">
        <v>168</v>
      </c>
      <c r="B69" t="s">
        <v>63</v>
      </c>
      <c r="D69" t="s">
        <v>279</v>
      </c>
      <c r="E69" t="s">
        <v>279</v>
      </c>
      <c r="I69" t="str">
        <f t="shared" si="5"/>
        <v>Full House</v>
      </c>
      <c r="K69" t="str">
        <f t="shared" si="6"/>
        <v>TLC HD</v>
      </c>
      <c r="L69">
        <f t="shared" si="7"/>
        <v>168</v>
      </c>
      <c r="M69" t="str">
        <f>IF(NOT(ISERROR(VLOOKUP(B69&amp;" HD",B:B,1,FALSE))),VLOOKUP(B69&amp;" HD",K:L,2,FALSE),"")</f>
        <v/>
      </c>
      <c r="N69" t="str">
        <f>IF(NOT(ISERROR(VLOOKUP(B69&amp;" +1",B:B,1,FALSE))),VLOOKUP(B69&amp;" +1",K:L,2,FALSE),"")</f>
        <v/>
      </c>
      <c r="P69" t="str">
        <f t="shared" si="8"/>
        <v xml:space="preserve">      168:
        name: TLC HD
        package: Full House</v>
      </c>
    </row>
    <row r="70" spans="1:16" x14ac:dyDescent="0.25">
      <c r="A70">
        <v>169</v>
      </c>
      <c r="B70" t="s">
        <v>64</v>
      </c>
      <c r="D70" t="s">
        <v>279</v>
      </c>
      <c r="E70" t="s">
        <v>279</v>
      </c>
      <c r="I70" t="str">
        <f t="shared" si="5"/>
        <v>Mix</v>
      </c>
      <c r="K70" t="str">
        <f t="shared" si="6"/>
        <v>TLC +1</v>
      </c>
      <c r="L70">
        <f t="shared" si="7"/>
        <v>169</v>
      </c>
      <c r="M70" t="str">
        <f>IF(NOT(ISERROR(VLOOKUP(B70&amp;" HD",B:B,1,FALSE))),VLOOKUP(B70&amp;" HD",K:L,2,FALSE),"")</f>
        <v/>
      </c>
      <c r="N70" t="str">
        <f>IF(NOT(ISERROR(VLOOKUP(B70&amp;" +1",B:B,1,FALSE))),VLOOKUP(B70&amp;" +1",K:L,2,FALSE),"")</f>
        <v/>
      </c>
      <c r="P70" t="str">
        <f t="shared" si="8"/>
        <v xml:space="preserve">      169:
        name: TLC +1
        package: Mix</v>
      </c>
    </row>
    <row r="71" spans="1:16" x14ac:dyDescent="0.25">
      <c r="A71">
        <v>170</v>
      </c>
      <c r="B71" t="s">
        <v>65</v>
      </c>
      <c r="D71" t="s">
        <v>279</v>
      </c>
      <c r="E71">
        <v>171</v>
      </c>
      <c r="I71" t="str">
        <f t="shared" si="5"/>
        <v>Mix</v>
      </c>
      <c r="K71" t="str">
        <f t="shared" si="6"/>
        <v>Investigation Discovery</v>
      </c>
      <c r="L71">
        <f t="shared" si="7"/>
        <v>170</v>
      </c>
      <c r="M71" t="str">
        <f>IF(NOT(ISERROR(VLOOKUP(B71&amp;" HD",B:B,1,FALSE))),VLOOKUP(B71&amp;" HD",K:L,2,FALSE),"")</f>
        <v/>
      </c>
      <c r="N71">
        <f>IF(NOT(ISERROR(VLOOKUP(B71&amp;" +1",B:B,1,FALSE))),VLOOKUP(B71&amp;" +1",K:L,2,FALSE),"")</f>
        <v>171</v>
      </c>
      <c r="P71" t="str">
        <f t="shared" si="8"/>
        <v xml:space="preserve">      170:
        name: Investigation Discovery
        package: Mix
        plus_one: 171</v>
      </c>
    </row>
    <row r="72" spans="1:16" x14ac:dyDescent="0.25">
      <c r="A72">
        <v>171</v>
      </c>
      <c r="B72" t="s">
        <v>66</v>
      </c>
      <c r="D72" t="s">
        <v>279</v>
      </c>
      <c r="E72" t="s">
        <v>279</v>
      </c>
      <c r="I72" t="str">
        <f t="shared" si="5"/>
        <v>Mix</v>
      </c>
      <c r="K72" t="str">
        <f t="shared" si="6"/>
        <v>Investigation Discovery +1</v>
      </c>
      <c r="L72">
        <f t="shared" si="7"/>
        <v>171</v>
      </c>
      <c r="M72" t="str">
        <f>IF(NOT(ISERROR(VLOOKUP(B72&amp;" HD",B:B,1,FALSE))),VLOOKUP(B72&amp;" HD",K:L,2,FALSE),"")</f>
        <v/>
      </c>
      <c r="N72" t="str">
        <f>IF(NOT(ISERROR(VLOOKUP(B72&amp;" +1",B:B,1,FALSE))),VLOOKUP(B72&amp;" +1",K:L,2,FALSE),"")</f>
        <v/>
      </c>
      <c r="P72" t="str">
        <f t="shared" si="8"/>
        <v xml:space="preserve">      171:
        name: Investigation Discovery +1
        package: Mix</v>
      </c>
    </row>
    <row r="73" spans="1:16" x14ac:dyDescent="0.25">
      <c r="A73">
        <v>172</v>
      </c>
      <c r="B73" t="s">
        <v>67</v>
      </c>
      <c r="D73">
        <v>217</v>
      </c>
      <c r="E73">
        <v>173</v>
      </c>
      <c r="I73" t="str">
        <f t="shared" si="5"/>
        <v>Player</v>
      </c>
      <c r="K73" t="str">
        <f t="shared" si="6"/>
        <v>Quest</v>
      </c>
      <c r="L73">
        <f t="shared" si="7"/>
        <v>172</v>
      </c>
      <c r="M73">
        <f>IF(NOT(ISERROR(VLOOKUP(B73&amp;" HD",B:B,1,FALSE))),VLOOKUP(B73&amp;" HD",K:L,2,FALSE),"")</f>
        <v>217</v>
      </c>
      <c r="N73">
        <f>IF(NOT(ISERROR(VLOOKUP(B73&amp;" +1",B:B,1,FALSE))),VLOOKUP(B73&amp;" +1",K:L,2,FALSE),"")</f>
        <v>173</v>
      </c>
      <c r="P73" t="str">
        <f t="shared" si="8"/>
        <v xml:space="preserve">      172:
        name: Quest
        package: Player
        hd_channel: 217
        plus_one: 173</v>
      </c>
    </row>
    <row r="74" spans="1:16" x14ac:dyDescent="0.25">
      <c r="A74">
        <v>173</v>
      </c>
      <c r="B74" t="s">
        <v>68</v>
      </c>
      <c r="D74" t="s">
        <v>279</v>
      </c>
      <c r="E74" t="s">
        <v>279</v>
      </c>
      <c r="I74" t="str">
        <f t="shared" si="5"/>
        <v>Player</v>
      </c>
      <c r="K74" t="str">
        <f t="shared" si="6"/>
        <v>Quest +1</v>
      </c>
      <c r="L74">
        <f t="shared" si="7"/>
        <v>173</v>
      </c>
      <c r="M74" t="str">
        <f>IF(NOT(ISERROR(VLOOKUP(B74&amp;" HD",B:B,1,FALSE))),VLOOKUP(B74&amp;" HD",K:L,2,FALSE),"")</f>
        <v/>
      </c>
      <c r="N74" t="str">
        <f>IF(NOT(ISERROR(VLOOKUP(B74&amp;" +1",B:B,1,FALSE))),VLOOKUP(B74&amp;" +1",K:L,2,FALSE),"")</f>
        <v/>
      </c>
      <c r="P74" t="str">
        <f t="shared" si="8"/>
        <v xml:space="preserve">      173:
        name: Quest +1
        package: Player</v>
      </c>
    </row>
    <row r="75" spans="1:16" x14ac:dyDescent="0.25">
      <c r="A75">
        <v>174</v>
      </c>
      <c r="B75" t="s">
        <v>69</v>
      </c>
      <c r="D75" t="s">
        <v>279</v>
      </c>
      <c r="E75" t="s">
        <v>279</v>
      </c>
      <c r="I75" t="str">
        <f t="shared" si="5"/>
        <v>Player</v>
      </c>
      <c r="K75" t="str">
        <f t="shared" si="6"/>
        <v>ITV3 +1</v>
      </c>
      <c r="L75">
        <f t="shared" si="7"/>
        <v>174</v>
      </c>
      <c r="M75" t="str">
        <f>IF(NOT(ISERROR(VLOOKUP(B75&amp;" HD",B:B,1,FALSE))),VLOOKUP(B75&amp;" HD",K:L,2,FALSE),"")</f>
        <v/>
      </c>
      <c r="N75" t="str">
        <f>IF(NOT(ISERROR(VLOOKUP(B75&amp;" +1",B:B,1,FALSE))),VLOOKUP(B75&amp;" +1",K:L,2,FALSE),"")</f>
        <v/>
      </c>
      <c r="P75" t="str">
        <f t="shared" si="8"/>
        <v xml:space="preserve">      174:
        name: ITV3 +1
        package: Player</v>
      </c>
    </row>
    <row r="76" spans="1:16" x14ac:dyDescent="0.25">
      <c r="A76">
        <v>175</v>
      </c>
      <c r="B76" t="s">
        <v>70</v>
      </c>
      <c r="D76" t="s">
        <v>279</v>
      </c>
      <c r="E76" t="s">
        <v>279</v>
      </c>
      <c r="I76" t="str">
        <f t="shared" si="5"/>
        <v>Player</v>
      </c>
      <c r="K76" t="str">
        <f t="shared" si="6"/>
        <v>ITV4 +1</v>
      </c>
      <c r="L76">
        <f t="shared" si="7"/>
        <v>175</v>
      </c>
      <c r="M76" t="str">
        <f>IF(NOT(ISERROR(VLOOKUP(B76&amp;" HD",B:B,1,FALSE))),VLOOKUP(B76&amp;" HD",K:L,2,FALSE),"")</f>
        <v/>
      </c>
      <c r="N76" t="str">
        <f>IF(NOT(ISERROR(VLOOKUP(B76&amp;" +1",B:B,1,FALSE))),VLOOKUP(B76&amp;" +1",K:L,2,FALSE),"")</f>
        <v/>
      </c>
      <c r="P76" t="str">
        <f t="shared" si="8"/>
        <v xml:space="preserve">      175:
        name: ITV4 +1
        package: Player</v>
      </c>
    </row>
    <row r="77" spans="1:16" x14ac:dyDescent="0.25">
      <c r="A77">
        <v>176</v>
      </c>
      <c r="B77" t="s">
        <v>71</v>
      </c>
      <c r="D77" t="s">
        <v>279</v>
      </c>
      <c r="E77" t="s">
        <v>279</v>
      </c>
      <c r="I77" t="str">
        <f t="shared" si="5"/>
        <v>Full House</v>
      </c>
      <c r="K77" t="str">
        <f t="shared" si="6"/>
        <v>ITV2 HD</v>
      </c>
      <c r="L77">
        <f t="shared" si="7"/>
        <v>176</v>
      </c>
      <c r="M77" t="str">
        <f>IF(NOT(ISERROR(VLOOKUP(B77&amp;" HD",B:B,1,FALSE))),VLOOKUP(B77&amp;" HD",K:L,2,FALSE),"")</f>
        <v/>
      </c>
      <c r="N77" t="str">
        <f>IF(NOT(ISERROR(VLOOKUP(B77&amp;" +1",B:B,1,FALSE))),VLOOKUP(B77&amp;" +1",K:L,2,FALSE),"")</f>
        <v/>
      </c>
      <c r="P77" t="str">
        <f t="shared" si="8"/>
        <v xml:space="preserve">      176:
        name: ITV2 HD
        package: Full House</v>
      </c>
    </row>
    <row r="78" spans="1:16" x14ac:dyDescent="0.25">
      <c r="A78">
        <v>177</v>
      </c>
      <c r="B78" t="s">
        <v>72</v>
      </c>
      <c r="D78" t="s">
        <v>279</v>
      </c>
      <c r="E78" t="s">
        <v>279</v>
      </c>
      <c r="I78" t="str">
        <f t="shared" si="5"/>
        <v>Full House</v>
      </c>
      <c r="K78" t="str">
        <f t="shared" si="6"/>
        <v>ITV3 HD</v>
      </c>
      <c r="L78">
        <f t="shared" si="7"/>
        <v>177</v>
      </c>
      <c r="M78" t="str">
        <f>IF(NOT(ISERROR(VLOOKUP(B78&amp;" HD",B:B,1,FALSE))),VLOOKUP(B78&amp;" HD",K:L,2,FALSE),"")</f>
        <v/>
      </c>
      <c r="N78" t="str">
        <f>IF(NOT(ISERROR(VLOOKUP(B78&amp;" +1",B:B,1,FALSE))),VLOOKUP(B78&amp;" +1",K:L,2,FALSE),"")</f>
        <v/>
      </c>
      <c r="P78" t="str">
        <f t="shared" si="8"/>
        <v xml:space="preserve">      177:
        name: ITV3 HD
        package: Full House</v>
      </c>
    </row>
    <row r="79" spans="1:16" x14ac:dyDescent="0.25">
      <c r="A79">
        <v>178</v>
      </c>
      <c r="B79" t="s">
        <v>73</v>
      </c>
      <c r="D79" t="s">
        <v>279</v>
      </c>
      <c r="E79" t="s">
        <v>279</v>
      </c>
      <c r="I79" t="str">
        <f t="shared" si="5"/>
        <v>Full House</v>
      </c>
      <c r="K79" t="str">
        <f t="shared" si="6"/>
        <v>ITV4 HD</v>
      </c>
      <c r="L79">
        <f t="shared" si="7"/>
        <v>178</v>
      </c>
      <c r="M79" t="str">
        <f>IF(NOT(ISERROR(VLOOKUP(B79&amp;" HD",B:B,1,FALSE))),VLOOKUP(B79&amp;" HD",K:L,2,FALSE),"")</f>
        <v/>
      </c>
      <c r="N79" t="str">
        <f>IF(NOT(ISERROR(VLOOKUP(B79&amp;" +1",B:B,1,FALSE))),VLOOKUP(B79&amp;" +1",K:L,2,FALSE),"")</f>
        <v/>
      </c>
      <c r="P79" t="str">
        <f t="shared" si="8"/>
        <v xml:space="preserve">      178:
        name: ITV4 HD
        package: Full House</v>
      </c>
    </row>
    <row r="80" spans="1:16" x14ac:dyDescent="0.25">
      <c r="A80">
        <v>179</v>
      </c>
      <c r="B80" t="s">
        <v>74</v>
      </c>
      <c r="D80" t="s">
        <v>279</v>
      </c>
      <c r="E80" t="s">
        <v>279</v>
      </c>
      <c r="I80" t="str">
        <f t="shared" si="5"/>
        <v>Full House</v>
      </c>
      <c r="K80" t="str">
        <f t="shared" si="6"/>
        <v>ITVBe HD</v>
      </c>
      <c r="L80">
        <f t="shared" si="7"/>
        <v>179</v>
      </c>
      <c r="M80" t="str">
        <f>IF(NOT(ISERROR(VLOOKUP(B80&amp;" HD",B:B,1,FALSE))),VLOOKUP(B80&amp;" HD",K:L,2,FALSE),"")</f>
        <v/>
      </c>
      <c r="N80" t="str">
        <f>IF(NOT(ISERROR(VLOOKUP(B80&amp;" +1",B:B,1,FALSE))),VLOOKUP(B80&amp;" +1",K:L,2,FALSE),"")</f>
        <v/>
      </c>
      <c r="P80" t="str">
        <f t="shared" si="8"/>
        <v xml:space="preserve">      179:
        name: ITVBe HD
        package: Full House</v>
      </c>
    </row>
    <row r="81" spans="1:16" x14ac:dyDescent="0.25">
      <c r="A81">
        <v>180</v>
      </c>
      <c r="B81" t="s">
        <v>75</v>
      </c>
      <c r="D81" t="s">
        <v>279</v>
      </c>
      <c r="E81" t="s">
        <v>279</v>
      </c>
      <c r="I81" t="str">
        <f t="shared" si="5"/>
        <v>Player</v>
      </c>
      <c r="K81" t="str">
        <f t="shared" si="6"/>
        <v>Challenge +1</v>
      </c>
      <c r="L81">
        <f t="shared" si="7"/>
        <v>180</v>
      </c>
      <c r="M81" t="str">
        <f>IF(NOT(ISERROR(VLOOKUP(B81&amp;" HD",B:B,1,FALSE))),VLOOKUP(B81&amp;" HD",K:L,2,FALSE),"")</f>
        <v/>
      </c>
      <c r="N81" t="str">
        <f>IF(NOT(ISERROR(VLOOKUP(B81&amp;" +1",B:B,1,FALSE))),VLOOKUP(B81&amp;" +1",K:L,2,FALSE),"")</f>
        <v/>
      </c>
      <c r="P81" t="str">
        <f t="shared" si="8"/>
        <v xml:space="preserve">      180:
        name: Challenge +1
        package: Player</v>
      </c>
    </row>
    <row r="82" spans="1:16" x14ac:dyDescent="0.25">
      <c r="A82">
        <v>181</v>
      </c>
      <c r="B82" t="s">
        <v>76</v>
      </c>
      <c r="D82" t="s">
        <v>279</v>
      </c>
      <c r="E82" t="s">
        <v>279</v>
      </c>
      <c r="I82" t="str">
        <f t="shared" si="5"/>
        <v>Full House</v>
      </c>
      <c r="K82" t="str">
        <f t="shared" si="6"/>
        <v>Comedy Central HD</v>
      </c>
      <c r="L82">
        <f t="shared" si="7"/>
        <v>181</v>
      </c>
      <c r="M82" t="str">
        <f>IF(NOT(ISERROR(VLOOKUP(B82&amp;" HD",B:B,1,FALSE))),VLOOKUP(B82&amp;" HD",K:L,2,FALSE),"")</f>
        <v/>
      </c>
      <c r="N82" t="str">
        <f>IF(NOT(ISERROR(VLOOKUP(B82&amp;" +1",B:B,1,FALSE))),VLOOKUP(B82&amp;" +1",K:L,2,FALSE),"")</f>
        <v/>
      </c>
      <c r="P82" t="str">
        <f t="shared" si="8"/>
        <v xml:space="preserve">      181:
        name: Comedy Central HD
        package: Full House</v>
      </c>
    </row>
    <row r="83" spans="1:16" x14ac:dyDescent="0.25">
      <c r="A83">
        <v>182</v>
      </c>
      <c r="B83" t="s">
        <v>77</v>
      </c>
      <c r="D83" t="s">
        <v>279</v>
      </c>
      <c r="E83" t="s">
        <v>279</v>
      </c>
      <c r="I83" t="str">
        <f t="shared" si="5"/>
        <v>Fun</v>
      </c>
      <c r="K83" t="str">
        <f t="shared" si="6"/>
        <v>Comedy Central Extra</v>
      </c>
      <c r="L83">
        <f t="shared" si="7"/>
        <v>182</v>
      </c>
      <c r="M83" t="str">
        <f>IF(NOT(ISERROR(VLOOKUP(B83&amp;" HD",B:B,1,FALSE))),VLOOKUP(B83&amp;" HD",K:L,2,FALSE),"")</f>
        <v/>
      </c>
      <c r="N83" t="str">
        <f>IF(NOT(ISERROR(VLOOKUP(B83&amp;" +1",B:B,1,FALSE))),VLOOKUP(B83&amp;" +1",K:L,2,FALSE),"")</f>
        <v/>
      </c>
      <c r="P83" t="str">
        <f t="shared" si="8"/>
        <v xml:space="preserve">      182:
        name: Comedy Central Extra
        package: Fun</v>
      </c>
    </row>
    <row r="84" spans="1:16" x14ac:dyDescent="0.25">
      <c r="A84">
        <v>183</v>
      </c>
      <c r="B84" t="s">
        <v>78</v>
      </c>
      <c r="D84" t="s">
        <v>279</v>
      </c>
      <c r="E84" t="s">
        <v>279</v>
      </c>
      <c r="I84" t="str">
        <f t="shared" si="5"/>
        <v>Full House</v>
      </c>
      <c r="K84" t="str">
        <f t="shared" si="6"/>
        <v>MTV HD</v>
      </c>
      <c r="L84">
        <f t="shared" si="7"/>
        <v>183</v>
      </c>
      <c r="M84" t="str">
        <f>IF(NOT(ISERROR(VLOOKUP(B84&amp;" HD",B:B,1,FALSE))),VLOOKUP(B84&amp;" HD",K:L,2,FALSE),"")</f>
        <v/>
      </c>
      <c r="N84" t="str">
        <f>IF(NOT(ISERROR(VLOOKUP(B84&amp;" +1",B:B,1,FALSE))),VLOOKUP(B84&amp;" +1",K:L,2,FALSE),"")</f>
        <v/>
      </c>
      <c r="P84" t="str">
        <f t="shared" si="8"/>
        <v xml:space="preserve">      183:
        name: MTV HD
        package: Full House</v>
      </c>
    </row>
    <row r="85" spans="1:16" x14ac:dyDescent="0.25">
      <c r="A85">
        <v>184</v>
      </c>
      <c r="B85" t="s">
        <v>79</v>
      </c>
      <c r="D85" t="s">
        <v>279</v>
      </c>
      <c r="E85" t="s">
        <v>279</v>
      </c>
      <c r="I85" t="str">
        <f t="shared" si="5"/>
        <v>Player</v>
      </c>
      <c r="K85" t="str">
        <f t="shared" si="6"/>
        <v>BET</v>
      </c>
      <c r="L85">
        <f t="shared" si="7"/>
        <v>184</v>
      </c>
      <c r="M85" t="str">
        <f>IF(NOT(ISERROR(VLOOKUP(B85&amp;" HD",B:B,1,FALSE))),VLOOKUP(B85&amp;" HD",K:L,2,FALSE),"")</f>
        <v/>
      </c>
      <c r="N85" t="str">
        <f>IF(NOT(ISERROR(VLOOKUP(B85&amp;" +1",B:B,1,FALSE))),VLOOKUP(B85&amp;" +1",K:L,2,FALSE),"")</f>
        <v/>
      </c>
      <c r="P85" t="str">
        <f t="shared" si="8"/>
        <v xml:space="preserve">      184:
        name: BET
        package: Player</v>
      </c>
    </row>
    <row r="86" spans="1:16" x14ac:dyDescent="0.25">
      <c r="A86">
        <v>185</v>
      </c>
      <c r="B86" t="s">
        <v>445</v>
      </c>
      <c r="D86" t="s">
        <v>279</v>
      </c>
      <c r="E86" t="s">
        <v>279</v>
      </c>
      <c r="I86" t="str">
        <f t="shared" si="5"/>
        <v>Player</v>
      </c>
      <c r="K86" t="str">
        <f t="shared" si="6"/>
        <v>5USA +1</v>
      </c>
      <c r="L86">
        <f t="shared" si="7"/>
        <v>185</v>
      </c>
      <c r="M86" t="str">
        <f>IF(NOT(ISERROR(VLOOKUP(B86&amp;" HD",B:B,1,FALSE))),VLOOKUP(B86&amp;" HD",K:L,2,FALSE),"")</f>
        <v/>
      </c>
      <c r="N86" t="str">
        <f>IF(NOT(ISERROR(VLOOKUP(B86&amp;" +1",B:B,1,FALSE))),VLOOKUP(B86&amp;" +1",K:L,2,FALSE),"")</f>
        <v/>
      </c>
      <c r="P86" t="str">
        <f t="shared" si="8"/>
        <v xml:space="preserve">      185:
        name: 5USA +1
        package: Player</v>
      </c>
    </row>
    <row r="87" spans="1:16" x14ac:dyDescent="0.25">
      <c r="A87">
        <v>186</v>
      </c>
      <c r="B87" t="s">
        <v>80</v>
      </c>
      <c r="D87" t="s">
        <v>279</v>
      </c>
      <c r="E87" t="s">
        <v>279</v>
      </c>
      <c r="I87" t="str">
        <f t="shared" si="5"/>
        <v>Player</v>
      </c>
      <c r="K87" t="str">
        <f t="shared" si="6"/>
        <v>5STAR +1</v>
      </c>
      <c r="L87">
        <f t="shared" si="7"/>
        <v>186</v>
      </c>
      <c r="M87" t="str">
        <f>IF(NOT(ISERROR(VLOOKUP(B87&amp;" HD",B:B,1,FALSE))),VLOOKUP(B87&amp;" HD",K:L,2,FALSE),"")</f>
        <v/>
      </c>
      <c r="N87" t="str">
        <f>IF(NOT(ISERROR(VLOOKUP(B87&amp;" +1",B:B,1,FALSE))),VLOOKUP(B87&amp;" +1",K:L,2,FALSE),"")</f>
        <v/>
      </c>
      <c r="P87" t="str">
        <f t="shared" si="8"/>
        <v xml:space="preserve">      186:
        name: 5STAR +1
        package: Player</v>
      </c>
    </row>
    <row r="88" spans="1:16" x14ac:dyDescent="0.25">
      <c r="A88">
        <v>187</v>
      </c>
      <c r="B88" t="s">
        <v>302</v>
      </c>
      <c r="D88" t="s">
        <v>279</v>
      </c>
      <c r="E88" t="s">
        <v>279</v>
      </c>
      <c r="I88" t="str">
        <f t="shared" si="5"/>
        <v>Player</v>
      </c>
      <c r="K88" t="str">
        <f t="shared" si="6"/>
        <v>Paramount Network HD</v>
      </c>
      <c r="L88">
        <f t="shared" ref="L88:L90" si="9">A88</f>
        <v>187</v>
      </c>
      <c r="M88" t="str">
        <f>IF(NOT(ISERROR(VLOOKUP(B88&amp;" HD",B:B,1,FALSE))),VLOOKUP(B88&amp;" HD",K:L,2,FALSE),"")</f>
        <v/>
      </c>
      <c r="N88" t="str">
        <f>IF(NOT(ISERROR(VLOOKUP(B88&amp;" +1",B:B,1,FALSE))),VLOOKUP(B88&amp;" +1",K:L,2,FALSE),"")</f>
        <v/>
      </c>
      <c r="P88" t="str">
        <f t="shared" si="8"/>
        <v xml:space="preserve">      187:
        name: Paramount Network HD
        package: Player</v>
      </c>
    </row>
    <row r="89" spans="1:16" x14ac:dyDescent="0.25">
      <c r="A89">
        <v>188</v>
      </c>
      <c r="B89" t="s">
        <v>303</v>
      </c>
      <c r="D89">
        <v>187</v>
      </c>
      <c r="E89" t="s">
        <v>279</v>
      </c>
      <c r="I89" t="str">
        <f t="shared" si="5"/>
        <v>Player</v>
      </c>
      <c r="K89" t="str">
        <f t="shared" si="6"/>
        <v>Paramount Network</v>
      </c>
      <c r="L89">
        <f t="shared" si="9"/>
        <v>188</v>
      </c>
      <c r="M89">
        <f>IF(NOT(ISERROR(VLOOKUP(B89&amp;" HD",B:B,1,FALSE))),VLOOKUP(B89&amp;" HD",K:L,2,FALSE),"")</f>
        <v>187</v>
      </c>
      <c r="N89" t="str">
        <f>IF(NOT(ISERROR(VLOOKUP(B89&amp;" +1",B:B,1,FALSE))),VLOOKUP(B89&amp;" +1",K:L,2,FALSE),"")</f>
        <v/>
      </c>
      <c r="P89" t="str">
        <f t="shared" si="8"/>
        <v xml:space="preserve">      188:
        name: Paramount Network
        package: Player
        hd_channel: 187</v>
      </c>
    </row>
    <row r="90" spans="1:16" x14ac:dyDescent="0.25">
      <c r="A90">
        <v>189</v>
      </c>
      <c r="B90" t="s">
        <v>304</v>
      </c>
      <c r="D90" t="s">
        <v>279</v>
      </c>
      <c r="E90">
        <v>220</v>
      </c>
      <c r="I90" t="str">
        <f t="shared" si="5"/>
        <v>Player</v>
      </c>
      <c r="K90" t="str">
        <f t="shared" si="6"/>
        <v>True Entertainment</v>
      </c>
      <c r="L90">
        <f t="shared" si="9"/>
        <v>189</v>
      </c>
      <c r="M90" t="str">
        <f>IF(NOT(ISERROR(VLOOKUP(B90&amp;" HD",B:B,1,FALSE))),VLOOKUP(B90&amp;" HD",K:L,2,FALSE),"")</f>
        <v/>
      </c>
      <c r="N90">
        <f>IF(NOT(ISERROR(VLOOKUP(B90&amp;" +1",B:B,1,FALSE))),VLOOKUP(B90&amp;" +1",K:L,2,FALSE),"")</f>
        <v>220</v>
      </c>
      <c r="P90" t="str">
        <f t="shared" si="8"/>
        <v xml:space="preserve">      189:
        name: True Entertainment
        package: Player
        plus_one: 220</v>
      </c>
    </row>
    <row r="91" spans="1:16" x14ac:dyDescent="0.25">
      <c r="A91">
        <v>190</v>
      </c>
      <c r="B91" t="s">
        <v>35</v>
      </c>
      <c r="D91" t="s">
        <v>279</v>
      </c>
      <c r="E91" t="s">
        <v>279</v>
      </c>
      <c r="I91" t="str">
        <f t="shared" si="5"/>
        <v>Mix</v>
      </c>
      <c r="K91" t="str">
        <f t="shared" si="6"/>
        <v>W +1</v>
      </c>
      <c r="L91">
        <f t="shared" si="7"/>
        <v>190</v>
      </c>
      <c r="M91" t="str">
        <f>IF(NOT(ISERROR(VLOOKUP(B91&amp;" HD",B:B,1,FALSE))),VLOOKUP(B91&amp;" HD",K:L,2,FALSE),"")</f>
        <v/>
      </c>
      <c r="N91" t="str">
        <f>IF(NOT(ISERROR(VLOOKUP(B91&amp;" +1",B:B,1,FALSE))),VLOOKUP(B91&amp;" +1",K:L,2,FALSE),"")</f>
        <v/>
      </c>
      <c r="P91" t="str">
        <f t="shared" si="8"/>
        <v xml:space="preserve">      190:
        name: W +1
        package: Mix</v>
      </c>
    </row>
    <row r="92" spans="1:16" x14ac:dyDescent="0.25">
      <c r="A92">
        <v>191</v>
      </c>
      <c r="B92" t="s">
        <v>403</v>
      </c>
      <c r="D92" t="s">
        <v>279</v>
      </c>
      <c r="E92" t="s">
        <v>279</v>
      </c>
      <c r="I92" t="str">
        <f t="shared" si="5"/>
        <v>Mix</v>
      </c>
      <c r="K92" t="str">
        <f t="shared" si="6"/>
        <v>Alibi +1</v>
      </c>
      <c r="L92">
        <f t="shared" si="7"/>
        <v>191</v>
      </c>
      <c r="M92" t="str">
        <f>IF(NOT(ISERROR(VLOOKUP(B92&amp;" HD",B:B,1,FALSE))),VLOOKUP(B92&amp;" HD",K:L,2,FALSE),"")</f>
        <v/>
      </c>
      <c r="N92" t="str">
        <f>IF(NOT(ISERROR(VLOOKUP(B92&amp;" +1",B:B,1,FALSE))),VLOOKUP(B92&amp;" +1",K:L,2,FALSE),"")</f>
        <v/>
      </c>
      <c r="P92" t="str">
        <f t="shared" si="8"/>
        <v xml:space="preserve">      191:
        name: Alibi +1
        package: Mix</v>
      </c>
    </row>
    <row r="93" spans="1:16" x14ac:dyDescent="0.25">
      <c r="A93">
        <v>192</v>
      </c>
      <c r="B93" t="s">
        <v>684</v>
      </c>
      <c r="D93" t="s">
        <v>279</v>
      </c>
      <c r="E93" t="s">
        <v>279</v>
      </c>
      <c r="I93" t="str">
        <f t="shared" si="5"/>
        <v>Player</v>
      </c>
      <c r="K93" t="str">
        <f t="shared" si="6"/>
        <v>CBS Justice</v>
      </c>
      <c r="L93">
        <f t="shared" si="7"/>
        <v>192</v>
      </c>
      <c r="M93" t="str">
        <f>IF(NOT(ISERROR(VLOOKUP(B93&amp;" HD",B:B,1,FALSE))),VLOOKUP(B93&amp;" HD",K:L,2,FALSE),"")</f>
        <v/>
      </c>
      <c r="N93" t="str">
        <f>IF(NOT(ISERROR(VLOOKUP(B93&amp;" +1",B:B,1,FALSE))),VLOOKUP(B93&amp;" +1",K:L,2,FALSE),"")</f>
        <v/>
      </c>
      <c r="P93" t="str">
        <f t="shared" si="8"/>
        <v xml:space="preserve">      192:
        name: CBS Justice
        package: Player</v>
      </c>
    </row>
    <row r="94" spans="1:16" x14ac:dyDescent="0.25">
      <c r="A94">
        <v>193</v>
      </c>
      <c r="B94" t="s">
        <v>451</v>
      </c>
      <c r="D94" t="s">
        <v>279</v>
      </c>
      <c r="E94" t="s">
        <v>279</v>
      </c>
      <c r="I94" t="str">
        <f t="shared" si="5"/>
        <v>Player</v>
      </c>
      <c r="K94" t="str">
        <f t="shared" si="6"/>
        <v>Sony Crime</v>
      </c>
      <c r="L94">
        <f t="shared" si="7"/>
        <v>193</v>
      </c>
      <c r="M94" t="str">
        <f>IF(NOT(ISERROR(VLOOKUP(B94&amp;" HD",B:B,1,FALSE))),VLOOKUP(B94&amp;" HD",K:L,2,FALSE),"")</f>
        <v/>
      </c>
      <c r="N94" t="str">
        <f>IF(NOT(ISERROR(VLOOKUP(B94&amp;" +1",B:B,1,FALSE))),VLOOKUP(B94&amp;" +1",K:L,2,FALSE),"")</f>
        <v/>
      </c>
      <c r="P94" t="str">
        <f t="shared" si="8"/>
        <v xml:space="preserve">      193:
        name: Sony Crime
        package: Player</v>
      </c>
    </row>
    <row r="95" spans="1:16" x14ac:dyDescent="0.25">
      <c r="A95">
        <v>194</v>
      </c>
      <c r="B95" t="s">
        <v>81</v>
      </c>
      <c r="D95" t="s">
        <v>279</v>
      </c>
      <c r="E95" t="s">
        <v>279</v>
      </c>
      <c r="I95" t="str">
        <f t="shared" si="5"/>
        <v>Mix</v>
      </c>
      <c r="K95" t="str">
        <f t="shared" si="6"/>
        <v>Gold +1</v>
      </c>
      <c r="L95">
        <f t="shared" si="7"/>
        <v>194</v>
      </c>
      <c r="M95" t="str">
        <f>IF(NOT(ISERROR(VLOOKUP(B95&amp;" HD",B:B,1,FALSE))),VLOOKUP(B95&amp;" HD",K:L,2,FALSE),"")</f>
        <v/>
      </c>
      <c r="N95" t="str">
        <f>IF(NOT(ISERROR(VLOOKUP(B95&amp;" +1",B:B,1,FALSE))),VLOOKUP(B95&amp;" +1",K:L,2,FALSE),"")</f>
        <v/>
      </c>
      <c r="P95" t="str">
        <f t="shared" si="8"/>
        <v xml:space="preserve">      194:
        name: Gold +1
        package: Mix</v>
      </c>
    </row>
    <row r="96" spans="1:16" x14ac:dyDescent="0.25">
      <c r="A96">
        <v>195</v>
      </c>
      <c r="B96" t="s">
        <v>84</v>
      </c>
      <c r="D96" t="s">
        <v>279</v>
      </c>
      <c r="E96" t="s">
        <v>279</v>
      </c>
      <c r="I96" t="str">
        <f t="shared" si="5"/>
        <v>Full House</v>
      </c>
      <c r="K96" t="str">
        <f t="shared" si="6"/>
        <v>More4 HD</v>
      </c>
      <c r="L96">
        <f t="shared" si="7"/>
        <v>195</v>
      </c>
      <c r="M96" t="str">
        <f>IF(NOT(ISERROR(VLOOKUP(B96&amp;" HD",B:B,1,FALSE))),VLOOKUP(B96&amp;" HD",K:L,2,FALSE),"")</f>
        <v/>
      </c>
      <c r="N96" t="str">
        <f>IF(NOT(ISERROR(VLOOKUP(B96&amp;" +1",B:B,1,FALSE))),VLOOKUP(B96&amp;" +1",K:L,2,FALSE),"")</f>
        <v/>
      </c>
      <c r="P96" t="str">
        <f t="shared" si="8"/>
        <v xml:space="preserve">      195:
        name: More4 HD
        package: Full House</v>
      </c>
    </row>
    <row r="97" spans="1:16" x14ac:dyDescent="0.25">
      <c r="A97">
        <v>196</v>
      </c>
      <c r="B97" t="s">
        <v>305</v>
      </c>
      <c r="D97" t="s">
        <v>279</v>
      </c>
      <c r="E97" t="s">
        <v>279</v>
      </c>
      <c r="I97" t="str">
        <f t="shared" si="5"/>
        <v>Mix</v>
      </c>
      <c r="K97" t="str">
        <f t="shared" si="6"/>
        <v>More4 +1</v>
      </c>
      <c r="L97">
        <f t="shared" si="7"/>
        <v>196</v>
      </c>
      <c r="M97" t="str">
        <f>IF(NOT(ISERROR(VLOOKUP(B97&amp;" HD",B:B,1,FALSE))),VLOOKUP(B97&amp;" HD",K:L,2,FALSE),"")</f>
        <v/>
      </c>
      <c r="N97" t="str">
        <f>IF(NOT(ISERROR(VLOOKUP(B97&amp;" +1",B:B,1,FALSE))),VLOOKUP(B97&amp;" +1",K:L,2,FALSE),"")</f>
        <v/>
      </c>
      <c r="P97" t="str">
        <f t="shared" si="8"/>
        <v xml:space="preserve">      196:
        name: More4 +1
        package: Mix</v>
      </c>
    </row>
    <row r="98" spans="1:16" x14ac:dyDescent="0.25">
      <c r="A98">
        <v>197</v>
      </c>
      <c r="B98" t="s">
        <v>85</v>
      </c>
      <c r="D98" t="s">
        <v>279</v>
      </c>
      <c r="E98" t="s">
        <v>279</v>
      </c>
      <c r="I98" t="str">
        <f t="shared" si="5"/>
        <v>Player</v>
      </c>
      <c r="K98" t="str">
        <f t="shared" si="6"/>
        <v>CBS Drama</v>
      </c>
      <c r="L98">
        <f t="shared" si="7"/>
        <v>197</v>
      </c>
      <c r="M98" t="str">
        <f>IF(NOT(ISERROR(VLOOKUP(B98&amp;" HD",B:B,1,FALSE))),VLOOKUP(B98&amp;" HD",K:L,2,FALSE),"")</f>
        <v/>
      </c>
      <c r="N98" t="str">
        <f>IF(NOT(ISERROR(VLOOKUP(B98&amp;" +1",B:B,1,FALSE))),VLOOKUP(B98&amp;" +1",K:L,2,FALSE),"")</f>
        <v/>
      </c>
      <c r="P98" t="str">
        <f t="shared" si="8"/>
        <v xml:space="preserve">      197:
        name: CBS Drama
        package: Player</v>
      </c>
    </row>
    <row r="99" spans="1:16" x14ac:dyDescent="0.25">
      <c r="A99">
        <v>198</v>
      </c>
      <c r="B99" t="s">
        <v>86</v>
      </c>
      <c r="D99" t="s">
        <v>279</v>
      </c>
      <c r="E99" t="s">
        <v>279</v>
      </c>
      <c r="I99" t="str">
        <f t="shared" si="5"/>
        <v>Player</v>
      </c>
      <c r="K99" t="str">
        <f t="shared" si="6"/>
        <v>YouTube</v>
      </c>
      <c r="L99">
        <f t="shared" si="7"/>
        <v>198</v>
      </c>
      <c r="M99" t="str">
        <f>IF(NOT(ISERROR(VLOOKUP(B99&amp;" HD",B:B,1,FALSE))),VLOOKUP(B99&amp;" HD",K:L,2,FALSE),"")</f>
        <v/>
      </c>
      <c r="N99" t="str">
        <f>IF(NOT(ISERROR(VLOOKUP(B99&amp;" +1",B:B,1,FALSE))),VLOOKUP(B99&amp;" +1",K:L,2,FALSE),"")</f>
        <v/>
      </c>
      <c r="P99" t="str">
        <f t="shared" si="8"/>
        <v xml:space="preserve">      198:
        name: YouTube
        package: Player</v>
      </c>
    </row>
    <row r="100" spans="1:16" x14ac:dyDescent="0.25">
      <c r="A100">
        <v>199</v>
      </c>
      <c r="B100" t="s">
        <v>87</v>
      </c>
      <c r="D100" t="s">
        <v>279</v>
      </c>
      <c r="E100" t="s">
        <v>279</v>
      </c>
      <c r="I100" t="str">
        <f t="shared" si="5"/>
        <v>Full House</v>
      </c>
      <c r="K100" t="str">
        <f t="shared" si="6"/>
        <v>FOX HD</v>
      </c>
      <c r="L100">
        <f t="shared" si="7"/>
        <v>199</v>
      </c>
      <c r="M100" t="str">
        <f>IF(NOT(ISERROR(VLOOKUP(B100&amp;" HD",B:B,1,FALSE))),VLOOKUP(B100&amp;" HD",K:L,2,FALSE),"")</f>
        <v/>
      </c>
      <c r="N100" t="str">
        <f>IF(NOT(ISERROR(VLOOKUP(B100&amp;" +1",B:B,1,FALSE))),VLOOKUP(B100&amp;" +1",K:L,2,FALSE),"")</f>
        <v/>
      </c>
      <c r="P100" t="str">
        <f t="shared" si="8"/>
        <v xml:space="preserve">      199:
        name: FOX HD
        package: Full House</v>
      </c>
    </row>
    <row r="101" spans="1:16" x14ac:dyDescent="0.25">
      <c r="A101">
        <v>200</v>
      </c>
      <c r="B101" t="s">
        <v>103</v>
      </c>
      <c r="D101" t="s">
        <v>279</v>
      </c>
      <c r="E101" t="s">
        <v>279</v>
      </c>
      <c r="I101" t="str">
        <f t="shared" si="5"/>
        <v>Player</v>
      </c>
      <c r="K101" t="str">
        <f t="shared" si="6"/>
        <v>Yesterday +1</v>
      </c>
      <c r="L101">
        <f t="shared" si="7"/>
        <v>200</v>
      </c>
      <c r="M101" t="str">
        <f>IF(NOT(ISERROR(VLOOKUP(B101&amp;" HD",B:B,1,FALSE))),VLOOKUP(B101&amp;" HD",K:L,2,FALSE),"")</f>
        <v/>
      </c>
      <c r="N101" t="str">
        <f>IF(NOT(ISERROR(VLOOKUP(B101&amp;" +1",B:B,1,FALSE))),VLOOKUP(B101&amp;" +1",K:L,2,FALSE),"")</f>
        <v/>
      </c>
      <c r="P101" t="str">
        <f t="shared" si="8"/>
        <v xml:space="preserve">      200:
        name: Yesterday +1
        package: Player</v>
      </c>
    </row>
    <row r="102" spans="1:16" x14ac:dyDescent="0.25">
      <c r="A102">
        <v>201</v>
      </c>
      <c r="B102" t="s">
        <v>88</v>
      </c>
      <c r="D102" t="s">
        <v>279</v>
      </c>
      <c r="E102" t="s">
        <v>279</v>
      </c>
      <c r="I102" t="str">
        <f t="shared" si="5"/>
        <v>Player</v>
      </c>
      <c r="K102" t="str">
        <f t="shared" si="6"/>
        <v>CBS Reality +1</v>
      </c>
      <c r="L102">
        <f t="shared" si="7"/>
        <v>201</v>
      </c>
      <c r="M102" t="str">
        <f>IF(NOT(ISERROR(VLOOKUP(B102&amp;" HD",B:B,1,FALSE))),VLOOKUP(B102&amp;" HD",K:L,2,FALSE),"")</f>
        <v/>
      </c>
      <c r="N102" t="str">
        <f>IF(NOT(ISERROR(VLOOKUP(B102&amp;" +1",B:B,1,FALSE))),VLOOKUP(B102&amp;" +1",K:L,2,FALSE),"")</f>
        <v/>
      </c>
      <c r="P102" t="str">
        <f t="shared" si="8"/>
        <v xml:space="preserve">      201:
        name: CBS Reality +1
        package: Player</v>
      </c>
    </row>
    <row r="103" spans="1:16" x14ac:dyDescent="0.25">
      <c r="A103">
        <v>202</v>
      </c>
      <c r="B103" t="s">
        <v>89</v>
      </c>
      <c r="D103" t="s">
        <v>279</v>
      </c>
      <c r="E103" t="s">
        <v>279</v>
      </c>
      <c r="I103" t="str">
        <f t="shared" si="5"/>
        <v>Player</v>
      </c>
      <c r="K103" t="str">
        <f t="shared" si="6"/>
        <v>Horror Channel +1</v>
      </c>
      <c r="L103">
        <f t="shared" si="7"/>
        <v>202</v>
      </c>
      <c r="M103" t="str">
        <f>IF(NOT(ISERROR(VLOOKUP(B103&amp;" HD",B:B,1,FALSE))),VLOOKUP(B103&amp;" HD",K:L,2,FALSE),"")</f>
        <v/>
      </c>
      <c r="N103" t="str">
        <f>IF(NOT(ISERROR(VLOOKUP(B103&amp;" +1",B:B,1,FALSE))),VLOOKUP(B103&amp;" +1",K:L,2,FALSE),"")</f>
        <v/>
      </c>
      <c r="P103" t="str">
        <f t="shared" si="8"/>
        <v xml:space="preserve">      202:
        name: Horror Channel +1
        package: Player</v>
      </c>
    </row>
    <row r="104" spans="1:16" x14ac:dyDescent="0.25">
      <c r="A104">
        <v>203</v>
      </c>
      <c r="B104" t="s">
        <v>90</v>
      </c>
      <c r="D104" t="s">
        <v>279</v>
      </c>
      <c r="E104" t="s">
        <v>279</v>
      </c>
      <c r="I104" t="str">
        <f t="shared" si="5"/>
        <v>Player</v>
      </c>
      <c r="K104" t="str">
        <f t="shared" si="6"/>
        <v>4seven HD</v>
      </c>
      <c r="L104">
        <f t="shared" si="7"/>
        <v>203</v>
      </c>
      <c r="M104" t="str">
        <f>IF(NOT(ISERROR(VLOOKUP(B104&amp;" HD",B:B,1,FALSE))),VLOOKUP(B104&amp;" HD",K:L,2,FALSE),"")</f>
        <v/>
      </c>
      <c r="N104" t="str">
        <f>IF(NOT(ISERROR(VLOOKUP(B104&amp;" +1",B:B,1,FALSE))),VLOOKUP(B104&amp;" +1",K:L,2,FALSE),"")</f>
        <v/>
      </c>
      <c r="P104" t="str">
        <f t="shared" si="8"/>
        <v xml:space="preserve">      203:
        name: 4seven HD
        package: Player</v>
      </c>
    </row>
    <row r="105" spans="1:16" x14ac:dyDescent="0.25">
      <c r="A105">
        <v>204</v>
      </c>
      <c r="B105" t="s">
        <v>91</v>
      </c>
      <c r="D105" t="s">
        <v>279</v>
      </c>
      <c r="E105" t="s">
        <v>279</v>
      </c>
      <c r="I105" t="str">
        <f t="shared" si="5"/>
        <v>Premium</v>
      </c>
      <c r="K105" t="str">
        <f t="shared" si="6"/>
        <v>Netflix</v>
      </c>
      <c r="L105">
        <f t="shared" si="7"/>
        <v>204</v>
      </c>
      <c r="M105" t="str">
        <f>IF(NOT(ISERROR(VLOOKUP(B105&amp;" HD",B:B,1,FALSE))),VLOOKUP(B105&amp;" HD",K:L,2,FALSE),"")</f>
        <v/>
      </c>
      <c r="N105" t="str">
        <f>IF(NOT(ISERROR(VLOOKUP(B105&amp;" +1",B:B,1,FALSE))),VLOOKUP(B105&amp;" +1",K:L,2,FALSE),"")</f>
        <v/>
      </c>
      <c r="P105" t="str">
        <f t="shared" si="8"/>
        <v xml:space="preserve">      204:
        name: Netflix
        package: Premium</v>
      </c>
    </row>
    <row r="106" spans="1:16" x14ac:dyDescent="0.25">
      <c r="A106">
        <v>206</v>
      </c>
      <c r="B106" t="s">
        <v>92</v>
      </c>
      <c r="D106" t="s">
        <v>279</v>
      </c>
      <c r="E106" t="s">
        <v>279</v>
      </c>
      <c r="I106" t="str">
        <f t="shared" si="5"/>
        <v>Full House</v>
      </c>
      <c r="K106" t="str">
        <f t="shared" si="6"/>
        <v>Sky Arts HD</v>
      </c>
      <c r="L106">
        <f t="shared" si="7"/>
        <v>206</v>
      </c>
      <c r="M106" t="str">
        <f>IF(NOT(ISERROR(VLOOKUP(B106&amp;" HD",B:B,1,FALSE))),VLOOKUP(B106&amp;" HD",K:L,2,FALSE),"")</f>
        <v/>
      </c>
      <c r="N106" t="str">
        <f>IF(NOT(ISERROR(VLOOKUP(B106&amp;" +1",B:B,1,FALSE))),VLOOKUP(B106&amp;" +1",K:L,2,FALSE),"")</f>
        <v/>
      </c>
      <c r="P106" t="str">
        <f t="shared" si="8"/>
        <v xml:space="preserve">      206:
        name: Sky Arts HD
        package: Full House</v>
      </c>
    </row>
    <row r="107" spans="1:16" x14ac:dyDescent="0.25">
      <c r="A107">
        <v>207</v>
      </c>
      <c r="B107" t="s">
        <v>93</v>
      </c>
      <c r="D107" t="s">
        <v>279</v>
      </c>
      <c r="E107" t="s">
        <v>279</v>
      </c>
      <c r="I107" t="str">
        <f t="shared" si="5"/>
        <v>Mix</v>
      </c>
      <c r="K107" t="str">
        <f t="shared" si="6"/>
        <v>Real Lives +1</v>
      </c>
      <c r="L107">
        <f t="shared" si="7"/>
        <v>207</v>
      </c>
      <c r="M107" t="str">
        <f>IF(NOT(ISERROR(VLOOKUP(B107&amp;" HD",B:B,1,FALSE))),VLOOKUP(B107&amp;" HD",K:L,2,FALSE),"")</f>
        <v/>
      </c>
      <c r="N107" t="str">
        <f>IF(NOT(ISERROR(VLOOKUP(B107&amp;" +1",B:B,1,FALSE))),VLOOKUP(B107&amp;" +1",K:L,2,FALSE),"")</f>
        <v/>
      </c>
      <c r="P107" t="str">
        <f t="shared" si="8"/>
        <v xml:space="preserve">      207:
        name: Real Lives +1
        package: Mix</v>
      </c>
    </row>
    <row r="108" spans="1:16" x14ac:dyDescent="0.25">
      <c r="A108">
        <v>208</v>
      </c>
      <c r="B108" t="s">
        <v>94</v>
      </c>
      <c r="D108">
        <v>209</v>
      </c>
      <c r="E108">
        <v>225</v>
      </c>
      <c r="I108" t="str">
        <f t="shared" si="5"/>
        <v>Mix</v>
      </c>
      <c r="K108" t="str">
        <f t="shared" si="6"/>
        <v>Lifetime</v>
      </c>
      <c r="L108">
        <f t="shared" si="7"/>
        <v>208</v>
      </c>
      <c r="M108">
        <f>IF(NOT(ISERROR(VLOOKUP(B108&amp;" HD",B:B,1,FALSE))),VLOOKUP(B108&amp;" HD",K:L,2,FALSE),"")</f>
        <v>209</v>
      </c>
      <c r="N108">
        <f>IF(NOT(ISERROR(VLOOKUP(B108&amp;" +1",B:B,1,FALSE))),VLOOKUP(B108&amp;" +1",K:L,2,FALSE),"")</f>
        <v>225</v>
      </c>
      <c r="P108" t="str">
        <f t="shared" si="8"/>
        <v xml:space="preserve">      208:
        name: Lifetime
        package: Mix
        hd_channel: 209
        plus_one: 225</v>
      </c>
    </row>
    <row r="109" spans="1:16" x14ac:dyDescent="0.25">
      <c r="A109">
        <v>209</v>
      </c>
      <c r="B109" t="s">
        <v>95</v>
      </c>
      <c r="D109" t="s">
        <v>279</v>
      </c>
      <c r="E109" t="s">
        <v>279</v>
      </c>
      <c r="I109" t="str">
        <f t="shared" si="5"/>
        <v>Full House</v>
      </c>
      <c r="K109" t="str">
        <f t="shared" si="6"/>
        <v>Lifetime HD</v>
      </c>
      <c r="L109">
        <f t="shared" si="7"/>
        <v>209</v>
      </c>
      <c r="M109" t="str">
        <f>IF(NOT(ISERROR(VLOOKUP(B109&amp;" HD",B:B,1,FALSE))),VLOOKUP(B109&amp;" HD",K:L,2,FALSE),"")</f>
        <v/>
      </c>
      <c r="N109" t="str">
        <f>IF(NOT(ISERROR(VLOOKUP(B109&amp;" +1",B:B,1,FALSE))),VLOOKUP(B109&amp;" +1",K:L,2,FALSE),"")</f>
        <v/>
      </c>
      <c r="P109" t="str">
        <f t="shared" si="8"/>
        <v xml:space="preserve">      209:
        name: Lifetime HD
        package: Full House</v>
      </c>
    </row>
    <row r="110" spans="1:16" x14ac:dyDescent="0.25">
      <c r="A110">
        <v>210</v>
      </c>
      <c r="B110" t="s">
        <v>10</v>
      </c>
      <c r="D110" t="s">
        <v>279</v>
      </c>
      <c r="E110" t="s">
        <v>279</v>
      </c>
      <c r="I110" t="str">
        <f t="shared" si="5"/>
        <v>Full House</v>
      </c>
      <c r="K110" t="str">
        <f t="shared" si="6"/>
        <v>hayu</v>
      </c>
      <c r="L110">
        <f t="shared" si="7"/>
        <v>210</v>
      </c>
      <c r="M110" t="str">
        <f>IF(NOT(ISERROR(VLOOKUP(B110&amp;" HD",B:B,1,FALSE))),VLOOKUP(B110&amp;" HD",K:L,2,FALSE),"")</f>
        <v/>
      </c>
      <c r="N110" t="str">
        <f>IF(NOT(ISERROR(VLOOKUP(B110&amp;" +1",B:B,1,FALSE))),VLOOKUP(B110&amp;" +1",K:L,2,FALSE),"")</f>
        <v/>
      </c>
      <c r="P110" t="str">
        <f t="shared" si="8"/>
        <v xml:space="preserve">      210:
        name: hayu
        package: Full House</v>
      </c>
    </row>
    <row r="111" spans="1:16" x14ac:dyDescent="0.25">
      <c r="A111">
        <v>211</v>
      </c>
      <c r="B111" t="s">
        <v>82</v>
      </c>
      <c r="D111" t="s">
        <v>279</v>
      </c>
      <c r="E111" t="s">
        <v>279</v>
      </c>
      <c r="I111" t="str">
        <f t="shared" si="5"/>
        <v>Full House</v>
      </c>
      <c r="K111" t="str">
        <f t="shared" si="6"/>
        <v>W HD</v>
      </c>
      <c r="L111">
        <f t="shared" si="7"/>
        <v>211</v>
      </c>
      <c r="M111" t="str">
        <f>IF(NOT(ISERROR(VLOOKUP(B111&amp;" HD",B:B,1,FALSE))),VLOOKUP(B111&amp;" HD",K:L,2,FALSE),"")</f>
        <v/>
      </c>
      <c r="N111" t="str">
        <f>IF(NOT(ISERROR(VLOOKUP(B111&amp;" +1",B:B,1,FALSE))),VLOOKUP(B111&amp;" +1",K:L,2,FALSE),"")</f>
        <v/>
      </c>
      <c r="P111" t="str">
        <f t="shared" si="8"/>
        <v xml:space="preserve">      211:
        name: W HD
        package: Full House</v>
      </c>
    </row>
    <row r="112" spans="1:16" x14ac:dyDescent="0.25">
      <c r="A112">
        <v>212</v>
      </c>
      <c r="B112" t="s">
        <v>97</v>
      </c>
      <c r="D112" t="s">
        <v>279</v>
      </c>
      <c r="E112" t="s">
        <v>279</v>
      </c>
      <c r="I112" t="str">
        <f t="shared" si="5"/>
        <v>Player</v>
      </c>
      <c r="K112" t="str">
        <f t="shared" si="6"/>
        <v>TruTV</v>
      </c>
      <c r="L112">
        <f t="shared" si="7"/>
        <v>212</v>
      </c>
      <c r="M112" t="str">
        <f>IF(NOT(ISERROR(VLOOKUP(B112&amp;" HD",B:B,1,FALSE))),VLOOKUP(B112&amp;" HD",K:L,2,FALSE),"")</f>
        <v/>
      </c>
      <c r="N112" t="str">
        <f>IF(NOT(ISERROR(VLOOKUP(B112&amp;" +1",B:B,1,FALSE))),VLOOKUP(B112&amp;" +1",K:L,2,FALSE),"")</f>
        <v/>
      </c>
      <c r="P112" t="str">
        <f t="shared" si="8"/>
        <v xml:space="preserve">      212:
        name: TruTV
        package: Player</v>
      </c>
    </row>
    <row r="113" spans="1:16" x14ac:dyDescent="0.25">
      <c r="A113">
        <v>213</v>
      </c>
      <c r="B113" t="s">
        <v>98</v>
      </c>
      <c r="D113" t="s">
        <v>279</v>
      </c>
      <c r="E113">
        <v>214</v>
      </c>
      <c r="I113" t="str">
        <f t="shared" si="5"/>
        <v>Mix</v>
      </c>
      <c r="K113" t="str">
        <f t="shared" si="6"/>
        <v>DMAX</v>
      </c>
      <c r="L113">
        <f t="shared" si="7"/>
        <v>213</v>
      </c>
      <c r="M113" t="str">
        <f>IF(NOT(ISERROR(VLOOKUP(B113&amp;" HD",B:B,1,FALSE))),VLOOKUP(B113&amp;" HD",K:L,2,FALSE),"")</f>
        <v/>
      </c>
      <c r="N113">
        <f>IF(NOT(ISERROR(VLOOKUP(B113&amp;" +1",B:B,1,FALSE))),VLOOKUP(B113&amp;" +1",K:L,2,FALSE),"")</f>
        <v>214</v>
      </c>
      <c r="P113" t="str">
        <f t="shared" si="8"/>
        <v xml:space="preserve">      213:
        name: DMAX
        package: Mix
        plus_one: 214</v>
      </c>
    </row>
    <row r="114" spans="1:16" x14ac:dyDescent="0.25">
      <c r="A114">
        <v>214</v>
      </c>
      <c r="B114" t="s">
        <v>99</v>
      </c>
      <c r="D114" t="s">
        <v>279</v>
      </c>
      <c r="E114" t="s">
        <v>279</v>
      </c>
      <c r="I114" t="str">
        <f t="shared" si="5"/>
        <v>Mix</v>
      </c>
      <c r="K114" t="str">
        <f t="shared" si="6"/>
        <v>DMAX +1</v>
      </c>
      <c r="L114">
        <f t="shared" si="7"/>
        <v>214</v>
      </c>
      <c r="M114" t="str">
        <f>IF(NOT(ISERROR(VLOOKUP(B114&amp;" HD",B:B,1,FALSE))),VLOOKUP(B114&amp;" HD",K:L,2,FALSE),"")</f>
        <v/>
      </c>
      <c r="N114" t="str">
        <f>IF(NOT(ISERROR(VLOOKUP(B114&amp;" +1",B:B,1,FALSE))),VLOOKUP(B114&amp;" +1",K:L,2,FALSE),"")</f>
        <v/>
      </c>
      <c r="P114" t="str">
        <f t="shared" si="8"/>
        <v xml:space="preserve">      214:
        name: DMAX +1
        package: Mix</v>
      </c>
    </row>
    <row r="115" spans="1:16" x14ac:dyDescent="0.25">
      <c r="A115">
        <v>215</v>
      </c>
      <c r="B115" t="s">
        <v>100</v>
      </c>
      <c r="D115" t="s">
        <v>279</v>
      </c>
      <c r="E115" t="s">
        <v>279</v>
      </c>
      <c r="I115" t="str">
        <f t="shared" si="5"/>
        <v>Player</v>
      </c>
      <c r="K115" t="str">
        <f t="shared" si="6"/>
        <v>Quest Red</v>
      </c>
      <c r="L115">
        <f t="shared" si="7"/>
        <v>215</v>
      </c>
      <c r="M115" t="str">
        <f>IF(NOT(ISERROR(VLOOKUP(B115&amp;" HD",B:B,1,FALSE))),VLOOKUP(B115&amp;" HD",K:L,2,FALSE),"")</f>
        <v/>
      </c>
      <c r="N115" t="str">
        <f>IF(NOT(ISERROR(VLOOKUP(B115&amp;" +1",B:B,1,FALSE))),VLOOKUP(B115&amp;" +1",K:L,2,FALSE),"")</f>
        <v/>
      </c>
      <c r="P115" t="str">
        <f t="shared" si="8"/>
        <v xml:space="preserve">      215:
        name: Quest Red
        package: Player</v>
      </c>
    </row>
    <row r="116" spans="1:16" x14ac:dyDescent="0.25">
      <c r="A116">
        <v>216</v>
      </c>
      <c r="B116" t="s">
        <v>101</v>
      </c>
      <c r="D116" t="s">
        <v>279</v>
      </c>
      <c r="E116" t="s">
        <v>279</v>
      </c>
      <c r="I116" t="str">
        <f t="shared" si="5"/>
        <v>Mix</v>
      </c>
      <c r="K116" t="str">
        <f t="shared" si="6"/>
        <v>Blaze</v>
      </c>
      <c r="L116">
        <f t="shared" si="7"/>
        <v>216</v>
      </c>
      <c r="M116" t="str">
        <f>IF(NOT(ISERROR(VLOOKUP(B116&amp;" HD",B:B,1,FALSE))),VLOOKUP(B116&amp;" HD",K:L,2,FALSE),"")</f>
        <v/>
      </c>
      <c r="N116" t="str">
        <f>IF(NOT(ISERROR(VLOOKUP(B116&amp;" +1",B:B,1,FALSE))),VLOOKUP(B116&amp;" +1",K:L,2,FALSE),"")</f>
        <v/>
      </c>
      <c r="P116" t="str">
        <f t="shared" si="8"/>
        <v xml:space="preserve">      216:
        name: Blaze
        package: Mix</v>
      </c>
    </row>
    <row r="117" spans="1:16" x14ac:dyDescent="0.25">
      <c r="A117">
        <v>217</v>
      </c>
      <c r="B117" t="s">
        <v>306</v>
      </c>
      <c r="D117" t="s">
        <v>279</v>
      </c>
      <c r="E117" t="s">
        <v>279</v>
      </c>
      <c r="I117" t="str">
        <f t="shared" si="5"/>
        <v>Player</v>
      </c>
      <c r="K117" t="str">
        <f t="shared" si="6"/>
        <v>Quest HD</v>
      </c>
      <c r="L117">
        <f t="shared" ref="L117:L122" si="10">A117</f>
        <v>217</v>
      </c>
      <c r="M117" t="str">
        <f>IF(NOT(ISERROR(VLOOKUP(B117&amp;" HD",B:B,1,FALSE))),VLOOKUP(B117&amp;" HD",K:L,2,FALSE),"")</f>
        <v/>
      </c>
      <c r="N117" t="str">
        <f>IF(NOT(ISERROR(VLOOKUP(B117&amp;" +1",B:B,1,FALSE))),VLOOKUP(B117&amp;" +1",K:L,2,FALSE),"")</f>
        <v/>
      </c>
      <c r="P117" t="str">
        <f t="shared" si="8"/>
        <v xml:space="preserve">      217:
        name: Quest HD
        package: Player</v>
      </c>
    </row>
    <row r="118" spans="1:16" x14ac:dyDescent="0.25">
      <c r="A118">
        <v>218</v>
      </c>
      <c r="B118" t="s">
        <v>307</v>
      </c>
      <c r="D118" t="s">
        <v>279</v>
      </c>
      <c r="E118" t="s">
        <v>279</v>
      </c>
      <c r="I118" t="str">
        <f t="shared" si="5"/>
        <v>Player</v>
      </c>
      <c r="K118" t="str">
        <f t="shared" si="6"/>
        <v>YourTV</v>
      </c>
      <c r="L118">
        <f t="shared" si="10"/>
        <v>218</v>
      </c>
      <c r="M118" t="str">
        <f>IF(NOT(ISERROR(VLOOKUP(B118&amp;" HD",B:B,1,FALSE))),VLOOKUP(B118&amp;" HD",K:L,2,FALSE),"")</f>
        <v/>
      </c>
      <c r="N118" t="str">
        <f>IF(NOT(ISERROR(VLOOKUP(B118&amp;" +1",B:B,1,FALSE))),VLOOKUP(B118&amp;" +1",K:L,2,FALSE),"")</f>
        <v/>
      </c>
      <c r="P118" t="str">
        <f t="shared" si="8"/>
        <v xml:space="preserve">      218:
        name: YourTV
        package: Player</v>
      </c>
    </row>
    <row r="119" spans="1:16" x14ac:dyDescent="0.25">
      <c r="A119">
        <v>219</v>
      </c>
      <c r="B119" t="s">
        <v>308</v>
      </c>
      <c r="D119" t="s">
        <v>279</v>
      </c>
      <c r="E119" t="s">
        <v>279</v>
      </c>
      <c r="I119" t="str">
        <f t="shared" si="5"/>
        <v>Player</v>
      </c>
      <c r="K119" t="str">
        <f t="shared" si="6"/>
        <v>Vice</v>
      </c>
      <c r="L119">
        <f t="shared" si="10"/>
        <v>219</v>
      </c>
      <c r="M119" t="str">
        <f>IF(NOT(ISERROR(VLOOKUP(B119&amp;" HD",B:B,1,FALSE))),VLOOKUP(B119&amp;" HD",K:L,2,FALSE),"")</f>
        <v/>
      </c>
      <c r="N119" t="str">
        <f>IF(NOT(ISERROR(VLOOKUP(B119&amp;" +1",B:B,1,FALSE))),VLOOKUP(B119&amp;" +1",K:L,2,FALSE),"")</f>
        <v/>
      </c>
      <c r="P119" t="str">
        <f t="shared" si="8"/>
        <v xml:space="preserve">      219:
        name: Vice
        package: Player</v>
      </c>
    </row>
    <row r="120" spans="1:16" x14ac:dyDescent="0.25">
      <c r="A120">
        <v>220</v>
      </c>
      <c r="B120" t="s">
        <v>309</v>
      </c>
      <c r="D120" t="s">
        <v>279</v>
      </c>
      <c r="E120" t="s">
        <v>279</v>
      </c>
      <c r="I120" t="str">
        <f t="shared" si="5"/>
        <v>Player</v>
      </c>
      <c r="K120" t="str">
        <f t="shared" si="6"/>
        <v>True Entertainment +1</v>
      </c>
      <c r="L120">
        <f t="shared" ref="L120:L121" si="11">A120</f>
        <v>220</v>
      </c>
      <c r="M120" t="str">
        <f>IF(NOT(ISERROR(VLOOKUP(B120&amp;" HD",B:B,1,FALSE))),VLOOKUP(B120&amp;" HD",K:L,2,FALSE),"")</f>
        <v/>
      </c>
      <c r="N120" t="str">
        <f>IF(NOT(ISERROR(VLOOKUP(B120&amp;" +1",B:B,1,FALSE))),VLOOKUP(B120&amp;" +1",K:L,2,FALSE),"")</f>
        <v/>
      </c>
      <c r="P120" t="str">
        <f t="shared" si="8"/>
        <v xml:space="preserve">      220:
        name: True Entertainment +1
        package: Player</v>
      </c>
    </row>
    <row r="121" spans="1:16" x14ac:dyDescent="0.25">
      <c r="A121">
        <v>222</v>
      </c>
      <c r="B121" t="s">
        <v>313</v>
      </c>
      <c r="E121">
        <v>224</v>
      </c>
      <c r="I121" t="str">
        <f t="shared" ref="I121" si="12">VLOOKUP(A121,PACKAGES,6,FALSE)</f>
        <v>Full House</v>
      </c>
      <c r="K121" t="str">
        <f t="shared" si="6"/>
        <v>Crime + Investigation HD</v>
      </c>
      <c r="L121">
        <f t="shared" si="11"/>
        <v>222</v>
      </c>
      <c r="M121" t="str">
        <f>IF(NOT(ISERROR(VLOOKUP(B121&amp;" HD",B:B,1,FALSE))),VLOOKUP(B121&amp;" HD",K:L,2,FALSE),"")</f>
        <v/>
      </c>
      <c r="N121" t="str">
        <f>IF(NOT(ISERROR(VLOOKUP(B121&amp;" +1",B:B,1,FALSE))),VLOOKUP(B121&amp;" +1",K:L,2,FALSE),"")</f>
        <v/>
      </c>
      <c r="P121" t="str">
        <f t="shared" si="8"/>
        <v xml:space="preserve">      222:
        name: Crime + Investigation HD
        package: Full House
        plus_one: 224</v>
      </c>
    </row>
    <row r="122" spans="1:16" x14ac:dyDescent="0.25">
      <c r="A122">
        <v>223</v>
      </c>
      <c r="B122" t="s">
        <v>121</v>
      </c>
      <c r="D122">
        <v>222</v>
      </c>
      <c r="E122">
        <v>224</v>
      </c>
      <c r="I122" t="str">
        <f t="shared" si="5"/>
        <v>Full House</v>
      </c>
      <c r="K122" t="str">
        <f t="shared" si="6"/>
        <v>Crime + Investigation</v>
      </c>
      <c r="L122">
        <f t="shared" si="10"/>
        <v>223</v>
      </c>
      <c r="M122">
        <f>IF(NOT(ISERROR(VLOOKUP(B122&amp;" HD",B:B,1,FALSE))),VLOOKUP(B122&amp;" HD",K:L,2,FALSE),"")</f>
        <v>222</v>
      </c>
      <c r="N122">
        <f>IF(NOT(ISERROR(VLOOKUP(B122&amp;" +1",B:B,1,FALSE))),VLOOKUP(B122&amp;" +1",K:L,2,FALSE),"")</f>
        <v>224</v>
      </c>
      <c r="P122" t="str">
        <f t="shared" si="8"/>
        <v xml:space="preserve">      223:
        name: Crime + Investigation
        package: Full House
        hd_channel: 222
        plus_one: 224</v>
      </c>
    </row>
    <row r="123" spans="1:16" x14ac:dyDescent="0.25">
      <c r="A123">
        <v>224</v>
      </c>
      <c r="B123" t="s">
        <v>317</v>
      </c>
      <c r="D123" t="s">
        <v>279</v>
      </c>
      <c r="E123" t="s">
        <v>279</v>
      </c>
      <c r="I123" t="str">
        <f>VLOOKUP(A123,PACKAGES,6,FALSE)</f>
        <v>Full House</v>
      </c>
      <c r="K123" t="str">
        <f t="shared" si="6"/>
        <v>Crime + Investigation +1</v>
      </c>
      <c r="L123">
        <f>A123</f>
        <v>224</v>
      </c>
      <c r="M123" t="str">
        <f>IF(NOT(ISERROR(VLOOKUP(B123&amp;" HD",B:B,1,FALSE))),VLOOKUP(B123&amp;" HD",K:L,2,FALSE),"")</f>
        <v/>
      </c>
      <c r="N123" t="str">
        <f>IF(NOT(ISERROR(VLOOKUP(B123&amp;" +1",B:B,1,FALSE))),VLOOKUP(B123&amp;" +1",K:L,2,FALSE),"")</f>
        <v/>
      </c>
      <c r="P123" t="str">
        <f t="shared" si="8"/>
        <v xml:space="preserve">      224:
        name: Crime + Investigation +1
        package: Full House</v>
      </c>
    </row>
    <row r="124" spans="1:16" x14ac:dyDescent="0.25">
      <c r="A124">
        <v>225</v>
      </c>
      <c r="B124" t="s">
        <v>310</v>
      </c>
      <c r="D124" t="s">
        <v>279</v>
      </c>
      <c r="E124" t="s">
        <v>279</v>
      </c>
      <c r="I124" t="str">
        <f t="shared" si="5"/>
        <v>Mix</v>
      </c>
      <c r="K124" t="str">
        <f t="shared" si="6"/>
        <v>Lifetime +1</v>
      </c>
      <c r="L124">
        <f t="shared" si="7"/>
        <v>225</v>
      </c>
      <c r="M124" t="str">
        <f>IF(NOT(ISERROR(VLOOKUP(B124&amp;" HD",B:B,1,FALSE))),VLOOKUP(B124&amp;" HD",K:L,2,FALSE),"")</f>
        <v/>
      </c>
      <c r="N124" t="str">
        <f>IF(NOT(ISERROR(VLOOKUP(B124&amp;" +1",B:B,1,FALSE))),VLOOKUP(B124&amp;" +1",K:L,2,FALSE),"")</f>
        <v/>
      </c>
      <c r="P124" t="str">
        <f t="shared" si="8"/>
        <v xml:space="preserve">      225:
        name: Lifetime +1
        package: Mix</v>
      </c>
    </row>
    <row r="125" spans="1:16" x14ac:dyDescent="0.25">
      <c r="A125">
        <v>226</v>
      </c>
      <c r="B125" t="s">
        <v>456</v>
      </c>
      <c r="D125" t="s">
        <v>279</v>
      </c>
      <c r="E125">
        <v>191</v>
      </c>
      <c r="I125" t="str">
        <f t="shared" ref="I125:I126" si="13">VLOOKUP(A125,PACKAGES,6,FALSE)</f>
        <v>Full House</v>
      </c>
      <c r="K125" t="str">
        <f t="shared" si="6"/>
        <v>Alibi HD</v>
      </c>
      <c r="L125">
        <f t="shared" ref="L125:L126" si="14">A125</f>
        <v>226</v>
      </c>
      <c r="M125" t="str">
        <f>IF(NOT(ISERROR(VLOOKUP(B125&amp;" HD",B:B,1,FALSE))),VLOOKUP(B125&amp;" HD",K:L,2,FALSE),"")</f>
        <v/>
      </c>
      <c r="N125" t="str">
        <f>IF(NOT(ISERROR(VLOOKUP(B125&amp;" +1",B:B,1,FALSE))),VLOOKUP(B125&amp;" +1",K:L,2,FALSE),"")</f>
        <v/>
      </c>
      <c r="P125" t="str">
        <f t="shared" si="8"/>
        <v xml:space="preserve">      226:
        name: Alibi HD
        package: Full House
        plus_one: 191</v>
      </c>
    </row>
    <row r="126" spans="1:16" x14ac:dyDescent="0.25">
      <c r="A126">
        <v>227</v>
      </c>
      <c r="B126" t="s">
        <v>83</v>
      </c>
      <c r="D126" t="s">
        <v>279</v>
      </c>
      <c r="E126">
        <v>131</v>
      </c>
      <c r="I126" t="str">
        <f t="shared" si="13"/>
        <v>Mix</v>
      </c>
      <c r="K126" t="str">
        <f t="shared" si="6"/>
        <v>Dave HD</v>
      </c>
      <c r="L126">
        <f t="shared" si="14"/>
        <v>227</v>
      </c>
      <c r="M126" t="str">
        <f>IF(NOT(ISERROR(VLOOKUP(B126&amp;" HD",B:B,1,FALSE))),VLOOKUP(B126&amp;" HD",K:L,2,FALSE),"")</f>
        <v/>
      </c>
      <c r="N126" t="str">
        <f>IF(NOT(ISERROR(VLOOKUP(B126&amp;" +1",B:B,1,FALSE))),VLOOKUP(B126&amp;" +1",K:L,2,FALSE),"")</f>
        <v/>
      </c>
      <c r="P126" t="str">
        <f t="shared" si="8"/>
        <v xml:space="preserve">      227:
        name: Dave HD
        package: Mix
        plus_one: 131</v>
      </c>
    </row>
    <row r="127" spans="1:16" x14ac:dyDescent="0.25">
      <c r="A127">
        <v>245</v>
      </c>
      <c r="B127" t="s">
        <v>104</v>
      </c>
      <c r="D127">
        <v>247</v>
      </c>
      <c r="E127">
        <v>246</v>
      </c>
      <c r="I127" t="str">
        <f t="shared" si="5"/>
        <v>Mix</v>
      </c>
      <c r="K127" t="str">
        <f t="shared" si="6"/>
        <v>Eden</v>
      </c>
      <c r="L127">
        <f t="shared" si="7"/>
        <v>245</v>
      </c>
      <c r="M127">
        <f>IF(NOT(ISERROR(VLOOKUP(B127&amp;" HD",B:B,1,FALSE))),VLOOKUP(B127&amp;" HD",K:L,2,FALSE),"")</f>
        <v>247</v>
      </c>
      <c r="N127">
        <f>IF(NOT(ISERROR(VLOOKUP(B127&amp;" +1",B:B,1,FALSE))),VLOOKUP(B127&amp;" +1",K:L,2,FALSE),"")</f>
        <v>246</v>
      </c>
      <c r="P127" t="str">
        <f t="shared" si="8"/>
        <v xml:space="preserve">      245:
        name: Eden
        package: Mix
        hd_channel: 247
        plus_one: 246</v>
      </c>
    </row>
    <row r="128" spans="1:16" x14ac:dyDescent="0.25">
      <c r="A128">
        <v>246</v>
      </c>
      <c r="B128" t="s">
        <v>105</v>
      </c>
      <c r="D128" t="s">
        <v>279</v>
      </c>
      <c r="E128" t="s">
        <v>279</v>
      </c>
      <c r="I128" t="str">
        <f t="shared" si="5"/>
        <v>Mix</v>
      </c>
      <c r="K128" t="str">
        <f t="shared" si="6"/>
        <v>Eden +1</v>
      </c>
      <c r="L128">
        <f t="shared" si="7"/>
        <v>246</v>
      </c>
      <c r="M128" t="str">
        <f>IF(NOT(ISERROR(VLOOKUP(B128&amp;" HD",B:B,1,FALSE))),VLOOKUP(B128&amp;" HD",K:L,2,FALSE),"")</f>
        <v/>
      </c>
      <c r="N128" t="str">
        <f>IF(NOT(ISERROR(VLOOKUP(B128&amp;" +1",B:B,1,FALSE))),VLOOKUP(B128&amp;" +1",K:L,2,FALSE),"")</f>
        <v/>
      </c>
      <c r="P128" t="str">
        <f t="shared" si="8"/>
        <v xml:space="preserve">      246:
        name: Eden +1
        package: Mix</v>
      </c>
    </row>
    <row r="129" spans="1:16" x14ac:dyDescent="0.25">
      <c r="A129">
        <v>247</v>
      </c>
      <c r="B129" t="s">
        <v>106</v>
      </c>
      <c r="E129">
        <v>246</v>
      </c>
      <c r="I129" t="str">
        <f t="shared" si="5"/>
        <v>Full House</v>
      </c>
      <c r="K129" t="str">
        <f t="shared" si="6"/>
        <v>Eden HD</v>
      </c>
      <c r="L129">
        <f t="shared" si="7"/>
        <v>247</v>
      </c>
      <c r="M129" t="str">
        <f>IF(NOT(ISERROR(VLOOKUP(B129&amp;" HD",B:B,1,FALSE))),VLOOKUP(B129&amp;" HD",K:L,2,FALSE),"")</f>
        <v/>
      </c>
      <c r="N129" t="str">
        <f>IF(NOT(ISERROR(VLOOKUP(B129&amp;" +1",B:B,1,FALSE))),VLOOKUP(B129&amp;" +1",K:L,2,FALSE),"")</f>
        <v/>
      </c>
      <c r="P129" t="str">
        <f t="shared" si="8"/>
        <v xml:space="preserve">      247:
        name: Eden HD
        package: Full House
        plus_one: 246</v>
      </c>
    </row>
    <row r="130" spans="1:16" x14ac:dyDescent="0.25">
      <c r="A130">
        <v>250</v>
      </c>
      <c r="B130" t="s">
        <v>525</v>
      </c>
      <c r="D130">
        <v>251</v>
      </c>
      <c r="E130">
        <v>252</v>
      </c>
      <c r="I130" t="str">
        <f t="shared" si="5"/>
        <v>Fun</v>
      </c>
      <c r="K130" t="str">
        <f t="shared" si="6"/>
        <v>Discovery Channel</v>
      </c>
      <c r="L130">
        <f t="shared" si="7"/>
        <v>250</v>
      </c>
      <c r="M130" t="str">
        <f>IF(NOT(ISERROR(VLOOKUP(B130&amp;" HD",B:B,1,FALSE))),VLOOKUP(B130&amp;" HD",K:L,2,FALSE),"")</f>
        <v/>
      </c>
      <c r="N130">
        <f>IF(NOT(ISERROR(VLOOKUP(B130&amp;" +1",B:B,1,FALSE))),VLOOKUP(B130&amp;" +1",K:L,2,FALSE),"")</f>
        <v>252</v>
      </c>
      <c r="P130" t="str">
        <f t="shared" si="8"/>
        <v xml:space="preserve">      250:
        name: Discovery Channel
        package: Fun
        hd_channel: 251
        plus_one: 252</v>
      </c>
    </row>
    <row r="131" spans="1:16" x14ac:dyDescent="0.25">
      <c r="A131">
        <v>251</v>
      </c>
      <c r="B131" t="s">
        <v>311</v>
      </c>
      <c r="D131" t="s">
        <v>279</v>
      </c>
      <c r="E131">
        <v>252</v>
      </c>
      <c r="I131" t="str">
        <f t="shared" si="5"/>
        <v>Full House</v>
      </c>
      <c r="K131" t="str">
        <f t="shared" ref="K131:K194" si="15">IF(IFERROR(FIND("&amp;",B131),0)=0,B131,CONCATENATE("'",B131,"'"))</f>
        <v>Discovery HD</v>
      </c>
      <c r="L131">
        <f t="shared" si="7"/>
        <v>251</v>
      </c>
      <c r="M131" t="str">
        <f>IF(NOT(ISERROR(VLOOKUP(B131&amp;" HD",B:B,1,FALSE))),VLOOKUP(B131&amp;" HD",K:L,2,FALSE),"")</f>
        <v/>
      </c>
      <c r="N131" t="str">
        <f>IF(NOT(ISERROR(VLOOKUP(B131&amp;" +1",B:B,1,FALSE))),VLOOKUP(B131&amp;" +1",K:L,2,FALSE),"")</f>
        <v/>
      </c>
      <c r="P131" t="str">
        <f t="shared" ref="P131:P194" si="16">SUBSTITUTE(CONCATENATE("      ",A131,":","\nname: ",K131,IF(C131&lt;&gt;"","\nshow: "&amp;C131,""),IF(I131&lt;&gt;"","\npackage: "&amp;I131,""),IF(D131&lt;&gt;"","\nhd_channel: "&amp;D131,""),IF(E131&lt;&gt;"","\nplus_one: "&amp;E131,""),IF(F131&lt;&gt;"","\nlogo: "&amp;F131,""),IF(G131&lt;&gt;"","\ntarget: "&amp;G131,""),IF(H131&lt;&gt;"","\nsource: "&amp;H131,"")),"\n",CHAR(10)&amp;"        ")</f>
        <v xml:space="preserve">      251:
        name: Discovery HD
        package: Full House
        plus_one: 252</v>
      </c>
    </row>
    <row r="132" spans="1:16" x14ac:dyDescent="0.25">
      <c r="A132">
        <v>252</v>
      </c>
      <c r="B132" t="s">
        <v>526</v>
      </c>
      <c r="D132" t="s">
        <v>279</v>
      </c>
      <c r="E132" t="s">
        <v>279</v>
      </c>
      <c r="I132" t="str">
        <f t="shared" ref="I132:I195" si="17">VLOOKUP(A132,PACKAGES,6,FALSE)</f>
        <v>Fun</v>
      </c>
      <c r="K132" t="str">
        <f t="shared" si="15"/>
        <v>Discovery Channel +1</v>
      </c>
      <c r="L132">
        <f t="shared" si="7"/>
        <v>252</v>
      </c>
      <c r="M132" t="str">
        <f>IF(NOT(ISERROR(VLOOKUP(B132&amp;" HD",B:B,1,FALSE))),VLOOKUP(B132&amp;" HD",K:L,2,FALSE),"")</f>
        <v/>
      </c>
      <c r="N132" t="str">
        <f>IF(NOT(ISERROR(VLOOKUP(B132&amp;" +1",B:B,1,FALSE))),VLOOKUP(B132&amp;" +1",K:L,2,FALSE),"")</f>
        <v/>
      </c>
      <c r="P132" t="str">
        <f t="shared" si="16"/>
        <v xml:space="preserve">      252:
        name: Discovery Channel +1
        package: Fun</v>
      </c>
    </row>
    <row r="133" spans="1:16" x14ac:dyDescent="0.25">
      <c r="A133">
        <v>256</v>
      </c>
      <c r="B133" t="s">
        <v>107</v>
      </c>
      <c r="D133">
        <v>257</v>
      </c>
      <c r="E133">
        <v>258</v>
      </c>
      <c r="I133" t="str">
        <f t="shared" si="17"/>
        <v>Fun</v>
      </c>
      <c r="K133" t="str">
        <f t="shared" si="15"/>
        <v>Animal Planet</v>
      </c>
      <c r="L133">
        <f t="shared" si="7"/>
        <v>256</v>
      </c>
      <c r="M133">
        <f>IF(NOT(ISERROR(VLOOKUP(B133&amp;" HD",B:B,1,FALSE))),VLOOKUP(B133&amp;" HD",K:L,2,FALSE),"")</f>
        <v>257</v>
      </c>
      <c r="N133">
        <f>IF(NOT(ISERROR(VLOOKUP(B133&amp;" +1",B:B,1,FALSE))),VLOOKUP(B133&amp;" +1",K:L,2,FALSE),"")</f>
        <v>258</v>
      </c>
      <c r="P133" t="str">
        <f t="shared" si="16"/>
        <v xml:space="preserve">      256:
        name: Animal Planet
        package: Fun
        hd_channel: 257
        plus_one: 258</v>
      </c>
    </row>
    <row r="134" spans="1:16" x14ac:dyDescent="0.25">
      <c r="A134">
        <v>257</v>
      </c>
      <c r="B134" t="s">
        <v>108</v>
      </c>
      <c r="D134" t="s">
        <v>279</v>
      </c>
      <c r="E134" t="s">
        <v>279</v>
      </c>
      <c r="I134" t="str">
        <f t="shared" si="17"/>
        <v>Full House</v>
      </c>
      <c r="K134" t="str">
        <f t="shared" si="15"/>
        <v>Animal Planet HD</v>
      </c>
      <c r="L134">
        <f t="shared" si="7"/>
        <v>257</v>
      </c>
      <c r="M134" t="str">
        <f>IF(NOT(ISERROR(VLOOKUP(B134&amp;" HD",B:B,1,FALSE))),VLOOKUP(B134&amp;" HD",K:L,2,FALSE),"")</f>
        <v/>
      </c>
      <c r="N134" t="str">
        <f>IF(NOT(ISERROR(VLOOKUP(B134&amp;" +1",B:B,1,FALSE))),VLOOKUP(B134&amp;" +1",K:L,2,FALSE),"")</f>
        <v/>
      </c>
      <c r="P134" t="str">
        <f t="shared" si="16"/>
        <v xml:space="preserve">      257:
        name: Animal Planet HD
        package: Full House</v>
      </c>
    </row>
    <row r="135" spans="1:16" x14ac:dyDescent="0.25">
      <c r="A135">
        <v>258</v>
      </c>
      <c r="B135" t="s">
        <v>109</v>
      </c>
      <c r="D135" t="s">
        <v>279</v>
      </c>
      <c r="E135" t="s">
        <v>279</v>
      </c>
      <c r="I135" t="str">
        <f t="shared" si="17"/>
        <v>Fun</v>
      </c>
      <c r="K135" t="str">
        <f t="shared" si="15"/>
        <v>Animal Planet +1</v>
      </c>
      <c r="L135">
        <f t="shared" si="7"/>
        <v>258</v>
      </c>
      <c r="M135" t="str">
        <f>IF(NOT(ISERROR(VLOOKUP(B135&amp;" HD",B:B,1,FALSE))),VLOOKUP(B135&amp;" HD",K:L,2,FALSE),"")</f>
        <v/>
      </c>
      <c r="N135" t="str">
        <f>IF(NOT(ISERROR(VLOOKUP(B135&amp;" +1",B:B,1,FALSE))),VLOOKUP(B135&amp;" +1",K:L,2,FALSE),"")</f>
        <v/>
      </c>
      <c r="P135" t="str">
        <f t="shared" si="16"/>
        <v xml:space="preserve">      258:
        name: Animal Planet +1
        package: Fun</v>
      </c>
    </row>
    <row r="136" spans="1:16" x14ac:dyDescent="0.25">
      <c r="A136">
        <v>259</v>
      </c>
      <c r="B136" t="s">
        <v>110</v>
      </c>
      <c r="D136" t="s">
        <v>279</v>
      </c>
      <c r="E136">
        <v>260</v>
      </c>
      <c r="I136" t="str">
        <f t="shared" si="17"/>
        <v>Fun</v>
      </c>
      <c r="K136" t="str">
        <f t="shared" si="15"/>
        <v>Discovery Science</v>
      </c>
      <c r="L136">
        <f t="shared" si="7"/>
        <v>259</v>
      </c>
      <c r="M136" t="str">
        <f>IF(NOT(ISERROR(VLOOKUP(B136&amp;" HD",B:B,1,FALSE))),VLOOKUP(B136&amp;" HD",K:L,2,FALSE),"")</f>
        <v/>
      </c>
      <c r="N136">
        <f>IF(NOT(ISERROR(VLOOKUP(B136&amp;" +1",B:B,1,FALSE))),VLOOKUP(B136&amp;" +1",K:L,2,FALSE),"")</f>
        <v>260</v>
      </c>
      <c r="P136" t="str">
        <f t="shared" si="16"/>
        <v xml:space="preserve">      259:
        name: Discovery Science
        package: Fun
        plus_one: 260</v>
      </c>
    </row>
    <row r="137" spans="1:16" x14ac:dyDescent="0.25">
      <c r="A137">
        <v>260</v>
      </c>
      <c r="B137" t="s">
        <v>111</v>
      </c>
      <c r="D137" t="s">
        <v>279</v>
      </c>
      <c r="E137" t="s">
        <v>279</v>
      </c>
      <c r="I137" t="str">
        <f t="shared" si="17"/>
        <v>Fun</v>
      </c>
      <c r="K137" t="str">
        <f t="shared" si="15"/>
        <v>Discovery Science +1</v>
      </c>
      <c r="L137">
        <f t="shared" si="7"/>
        <v>260</v>
      </c>
      <c r="M137" t="str">
        <f>IF(NOT(ISERROR(VLOOKUP(B137&amp;" HD",B:B,1,FALSE))),VLOOKUP(B137&amp;" HD",K:L,2,FALSE),"")</f>
        <v/>
      </c>
      <c r="N137" t="str">
        <f>IF(NOT(ISERROR(VLOOKUP(B137&amp;" +1",B:B,1,FALSE))),VLOOKUP(B137&amp;" +1",K:L,2,FALSE),"")</f>
        <v/>
      </c>
      <c r="P137" t="str">
        <f t="shared" si="16"/>
        <v xml:space="preserve">      260:
        name: Discovery Science +1
        package: Fun</v>
      </c>
    </row>
    <row r="138" spans="1:16" x14ac:dyDescent="0.25">
      <c r="A138">
        <v>261</v>
      </c>
      <c r="B138" t="s">
        <v>112</v>
      </c>
      <c r="D138" t="s">
        <v>279</v>
      </c>
      <c r="E138" t="s">
        <v>279</v>
      </c>
      <c r="I138" t="str">
        <f t="shared" si="17"/>
        <v>Mix</v>
      </c>
      <c r="K138" t="str">
        <f t="shared" si="15"/>
        <v>Discovery Turbo</v>
      </c>
      <c r="L138">
        <f t="shared" si="7"/>
        <v>261</v>
      </c>
      <c r="M138" t="str">
        <f>IF(NOT(ISERROR(VLOOKUP(B138&amp;" HD",B:B,1,FALSE))),VLOOKUP(B138&amp;" HD",K:L,2,FALSE),"")</f>
        <v/>
      </c>
      <c r="N138" t="str">
        <f>IF(NOT(ISERROR(VLOOKUP(B138&amp;" +1",B:B,1,FALSE))),VLOOKUP(B138&amp;" +1",K:L,2,FALSE),"")</f>
        <v/>
      </c>
      <c r="P138" t="str">
        <f t="shared" si="16"/>
        <v xml:space="preserve">      261:
        name: Discovery Turbo
        package: Mix</v>
      </c>
    </row>
    <row r="139" spans="1:16" x14ac:dyDescent="0.25">
      <c r="A139">
        <v>262</v>
      </c>
      <c r="B139" t="s">
        <v>113</v>
      </c>
      <c r="D139" t="s">
        <v>279</v>
      </c>
      <c r="E139">
        <v>263</v>
      </c>
      <c r="I139" t="str">
        <f t="shared" si="17"/>
        <v>Fun</v>
      </c>
      <c r="K139" t="str">
        <f t="shared" si="15"/>
        <v>Discovery History</v>
      </c>
      <c r="L139">
        <f t="shared" si="7"/>
        <v>262</v>
      </c>
      <c r="M139" t="str">
        <f>IF(NOT(ISERROR(VLOOKUP(B139&amp;" HD",B:B,1,FALSE))),VLOOKUP(B139&amp;" HD",K:L,2,FALSE),"")</f>
        <v/>
      </c>
      <c r="N139">
        <f>IF(NOT(ISERROR(VLOOKUP(B139&amp;" +1",B:B,1,FALSE))),VLOOKUP(B139&amp;" +1",K:L,2,FALSE),"")</f>
        <v>263</v>
      </c>
      <c r="P139" t="str">
        <f t="shared" si="16"/>
        <v xml:space="preserve">      262:
        name: Discovery History
        package: Fun
        plus_one: 263</v>
      </c>
    </row>
    <row r="140" spans="1:16" x14ac:dyDescent="0.25">
      <c r="A140">
        <v>263</v>
      </c>
      <c r="B140" t="s">
        <v>114</v>
      </c>
      <c r="D140" t="s">
        <v>279</v>
      </c>
      <c r="E140" t="s">
        <v>279</v>
      </c>
      <c r="I140" t="str">
        <f t="shared" si="17"/>
        <v>Fun</v>
      </c>
      <c r="K140" t="str">
        <f t="shared" si="15"/>
        <v>Discovery History +1</v>
      </c>
      <c r="L140">
        <f t="shared" si="7"/>
        <v>263</v>
      </c>
      <c r="M140" t="str">
        <f>IF(NOT(ISERROR(VLOOKUP(B140&amp;" HD",B:B,1,FALSE))),VLOOKUP(B140&amp;" HD",K:L,2,FALSE),"")</f>
        <v/>
      </c>
      <c r="N140" t="str">
        <f>IF(NOT(ISERROR(VLOOKUP(B140&amp;" +1",B:B,1,FALSE))),VLOOKUP(B140&amp;" +1",K:L,2,FALSE),"")</f>
        <v/>
      </c>
      <c r="P140" t="str">
        <f t="shared" si="16"/>
        <v xml:space="preserve">      263:
        name: Discovery History +1
        package: Fun</v>
      </c>
    </row>
    <row r="141" spans="1:16" x14ac:dyDescent="0.25">
      <c r="A141">
        <v>264</v>
      </c>
      <c r="B141" t="s">
        <v>115</v>
      </c>
      <c r="D141">
        <v>265</v>
      </c>
      <c r="E141" t="s">
        <v>279</v>
      </c>
      <c r="I141" t="str">
        <f t="shared" si="17"/>
        <v>Full House</v>
      </c>
      <c r="K141" t="str">
        <f t="shared" si="15"/>
        <v>Nat Geo Wild</v>
      </c>
      <c r="L141">
        <f t="shared" ref="L141:L210" si="18">A141</f>
        <v>264</v>
      </c>
      <c r="M141">
        <f>IF(NOT(ISERROR(VLOOKUP(B141&amp;" HD",B:B,1,FALSE))),VLOOKUP(B141&amp;" HD",K:L,2,FALSE),"")</f>
        <v>265</v>
      </c>
      <c r="N141" t="str">
        <f>IF(NOT(ISERROR(VLOOKUP(B141&amp;" +1",B:B,1,FALSE))),VLOOKUP(B141&amp;" +1",K:L,2,FALSE),"")</f>
        <v/>
      </c>
      <c r="P141" t="str">
        <f t="shared" si="16"/>
        <v xml:space="preserve">      264:
        name: Nat Geo Wild
        package: Full House
        hd_channel: 265</v>
      </c>
    </row>
    <row r="142" spans="1:16" x14ac:dyDescent="0.25">
      <c r="A142">
        <v>265</v>
      </c>
      <c r="B142" t="s">
        <v>116</v>
      </c>
      <c r="D142" t="s">
        <v>279</v>
      </c>
      <c r="E142" t="s">
        <v>279</v>
      </c>
      <c r="I142" t="str">
        <f t="shared" si="17"/>
        <v>Full House</v>
      </c>
      <c r="K142" t="str">
        <f t="shared" si="15"/>
        <v>Nat Geo Wild HD</v>
      </c>
      <c r="L142">
        <f t="shared" si="18"/>
        <v>265</v>
      </c>
      <c r="M142" t="str">
        <f>IF(NOT(ISERROR(VLOOKUP(B142&amp;" HD",B:B,1,FALSE))),VLOOKUP(B142&amp;" HD",K:L,2,FALSE),"")</f>
        <v/>
      </c>
      <c r="N142" t="str">
        <f>IF(NOT(ISERROR(VLOOKUP(B142&amp;" +1",B:B,1,FALSE))),VLOOKUP(B142&amp;" +1",K:L,2,FALSE),"")</f>
        <v/>
      </c>
      <c r="P142" t="str">
        <f t="shared" si="16"/>
        <v xml:space="preserve">      265:
        name: Nat Geo Wild HD
        package: Full House</v>
      </c>
    </row>
    <row r="143" spans="1:16" x14ac:dyDescent="0.25">
      <c r="A143">
        <v>266</v>
      </c>
      <c r="B143" t="s">
        <v>531</v>
      </c>
      <c r="D143">
        <v>268</v>
      </c>
      <c r="E143">
        <v>267</v>
      </c>
      <c r="I143" t="str">
        <f t="shared" si="17"/>
        <v>Fun</v>
      </c>
      <c r="K143" t="str">
        <f t="shared" si="15"/>
        <v>National Geographic Channel</v>
      </c>
      <c r="L143">
        <f t="shared" si="18"/>
        <v>266</v>
      </c>
      <c r="M143">
        <f>IF(NOT(ISERROR(VLOOKUP(B143&amp;" HD",B:B,1,FALSE))),VLOOKUP(B143&amp;" HD",K:L,2,FALSE),"")</f>
        <v>268</v>
      </c>
      <c r="N143">
        <f>IF(NOT(ISERROR(VLOOKUP(B143&amp;" +1",B:B,1,FALSE))),VLOOKUP(B143&amp;" +1",K:L,2,FALSE),"")</f>
        <v>267</v>
      </c>
      <c r="P143" t="str">
        <f t="shared" si="16"/>
        <v xml:space="preserve">      266:
        name: National Geographic Channel
        package: Fun
        hd_channel: 268
        plus_one: 267</v>
      </c>
    </row>
    <row r="144" spans="1:16" x14ac:dyDescent="0.25">
      <c r="A144">
        <v>267</v>
      </c>
      <c r="B144" t="s">
        <v>532</v>
      </c>
      <c r="D144" t="s">
        <v>279</v>
      </c>
      <c r="E144" t="s">
        <v>279</v>
      </c>
      <c r="I144" t="str">
        <f t="shared" si="17"/>
        <v>Full House</v>
      </c>
      <c r="K144" t="str">
        <f t="shared" si="15"/>
        <v>National Geographic Channel +1</v>
      </c>
      <c r="L144">
        <f t="shared" si="18"/>
        <v>267</v>
      </c>
      <c r="M144" t="str">
        <f>IF(NOT(ISERROR(VLOOKUP(B144&amp;" HD",B:B,1,FALSE))),VLOOKUP(B144&amp;" HD",K:L,2,FALSE),"")</f>
        <v/>
      </c>
      <c r="N144" t="str">
        <f>IF(NOT(ISERROR(VLOOKUP(B144&amp;" +1",B:B,1,FALSE))),VLOOKUP(B144&amp;" +1",K:L,2,FALSE),"")</f>
        <v/>
      </c>
      <c r="P144" t="str">
        <f t="shared" si="16"/>
        <v xml:space="preserve">      267:
        name: National Geographic Channel +1
        package: Full House</v>
      </c>
    </row>
    <row r="145" spans="1:16" x14ac:dyDescent="0.25">
      <c r="A145">
        <v>268</v>
      </c>
      <c r="B145" t="s">
        <v>534</v>
      </c>
      <c r="D145" t="s">
        <v>279</v>
      </c>
      <c r="E145" t="s">
        <v>279</v>
      </c>
      <c r="I145" t="str">
        <f t="shared" si="17"/>
        <v>Full House</v>
      </c>
      <c r="K145" t="str">
        <f t="shared" si="15"/>
        <v>National Geographic Channel HD</v>
      </c>
      <c r="L145">
        <f t="shared" si="18"/>
        <v>268</v>
      </c>
      <c r="M145" t="str">
        <f>IF(NOT(ISERROR(VLOOKUP(B145&amp;" HD",B:B,1,FALSE))),VLOOKUP(B145&amp;" HD",K:L,2,FALSE),"")</f>
        <v/>
      </c>
      <c r="N145" t="str">
        <f>IF(NOT(ISERROR(VLOOKUP(B145&amp;" +1",B:B,1,FALSE))),VLOOKUP(B145&amp;" +1",K:L,2,FALSE),"")</f>
        <v/>
      </c>
      <c r="P145" t="str">
        <f t="shared" si="16"/>
        <v xml:space="preserve">      268:
        name: National Geographic Channel HD
        package: Full House</v>
      </c>
    </row>
    <row r="146" spans="1:16" x14ac:dyDescent="0.25">
      <c r="A146">
        <v>269</v>
      </c>
      <c r="B146" t="s">
        <v>312</v>
      </c>
      <c r="D146" t="s">
        <v>279</v>
      </c>
      <c r="E146" t="s">
        <v>279</v>
      </c>
      <c r="I146" t="str">
        <f t="shared" si="17"/>
        <v>Player</v>
      </c>
      <c r="K146" t="str">
        <f t="shared" si="15"/>
        <v>Together</v>
      </c>
      <c r="L146">
        <f t="shared" si="18"/>
        <v>269</v>
      </c>
      <c r="M146" t="str">
        <f>IF(NOT(ISERROR(VLOOKUP(B146&amp;" HD",B:B,1,FALSE))),VLOOKUP(B146&amp;" HD",K:L,2,FALSE),"")</f>
        <v/>
      </c>
      <c r="N146" t="str">
        <f>IF(NOT(ISERROR(VLOOKUP(B146&amp;" +1",B:B,1,FALSE))),VLOOKUP(B146&amp;" +1",K:L,2,FALSE),"")</f>
        <v/>
      </c>
      <c r="P146" t="str">
        <f t="shared" si="16"/>
        <v xml:space="preserve">      269:
        name: Together
        package: Player</v>
      </c>
    </row>
    <row r="147" spans="1:16" x14ac:dyDescent="0.25">
      <c r="A147">
        <v>270</v>
      </c>
      <c r="B147" t="s">
        <v>117</v>
      </c>
      <c r="D147">
        <v>299</v>
      </c>
      <c r="E147">
        <v>271</v>
      </c>
      <c r="I147" t="str">
        <f t="shared" si="17"/>
        <v>Full House</v>
      </c>
      <c r="K147" t="str">
        <f t="shared" si="15"/>
        <v>History</v>
      </c>
      <c r="L147">
        <f t="shared" si="18"/>
        <v>270</v>
      </c>
      <c r="M147">
        <f>IF(NOT(ISERROR(VLOOKUP(B147&amp;" HD",B:B,1,FALSE))),VLOOKUP(B147&amp;" HD",K:L,2,FALSE),"")</f>
        <v>299</v>
      </c>
      <c r="N147">
        <f>IF(NOT(ISERROR(VLOOKUP(B147&amp;" +1",B:B,1,FALSE))),VLOOKUP(B147&amp;" +1",K:L,2,FALSE),"")</f>
        <v>271</v>
      </c>
      <c r="P147" t="str">
        <f t="shared" si="16"/>
        <v xml:space="preserve">      270:
        name: History
        package: Full House
        hd_channel: 299
        plus_one: 271</v>
      </c>
    </row>
    <row r="148" spans="1:16" x14ac:dyDescent="0.25">
      <c r="A148">
        <v>271</v>
      </c>
      <c r="B148" t="s">
        <v>118</v>
      </c>
      <c r="D148" t="s">
        <v>279</v>
      </c>
      <c r="E148" t="s">
        <v>279</v>
      </c>
      <c r="I148" t="str">
        <f t="shared" si="17"/>
        <v>Full House</v>
      </c>
      <c r="K148" t="str">
        <f t="shared" si="15"/>
        <v>History +1</v>
      </c>
      <c r="L148">
        <f t="shared" ref="L148:L149" si="19">A148</f>
        <v>271</v>
      </c>
      <c r="M148" t="str">
        <f>IF(NOT(ISERROR(VLOOKUP(B148&amp;" HD",B:B,1,FALSE))),VLOOKUP(B148&amp;" HD",K:L,2,FALSE),"")</f>
        <v/>
      </c>
      <c r="N148" t="str">
        <f>IF(NOT(ISERROR(VLOOKUP(B148&amp;" +1",B:B,1,FALSE))),VLOOKUP(B148&amp;" +1",K:L,2,FALSE),"")</f>
        <v/>
      </c>
      <c r="P148" t="str">
        <f t="shared" si="16"/>
        <v xml:space="preserve">      271:
        name: History +1
        package: Full House</v>
      </c>
    </row>
    <row r="149" spans="1:16" x14ac:dyDescent="0.25">
      <c r="A149">
        <v>272</v>
      </c>
      <c r="B149" t="s">
        <v>313</v>
      </c>
      <c r="E149">
        <v>224</v>
      </c>
      <c r="I149" t="str">
        <f t="shared" si="17"/>
        <v>Full House</v>
      </c>
      <c r="K149" t="str">
        <f t="shared" si="15"/>
        <v>Crime + Investigation HD</v>
      </c>
      <c r="L149">
        <f t="shared" si="19"/>
        <v>272</v>
      </c>
      <c r="M149" t="str">
        <f>IF(NOT(ISERROR(VLOOKUP(B149&amp;" HD",B:B,1,FALSE))),VLOOKUP(B149&amp;" HD",K:L,2,FALSE),"")</f>
        <v/>
      </c>
      <c r="N149" t="str">
        <f>IF(NOT(ISERROR(VLOOKUP(B149&amp;" +1",B:B,1,FALSE))),VLOOKUP(B149&amp;" +1",K:L,2,FALSE),"")</f>
        <v/>
      </c>
      <c r="P149" t="str">
        <f t="shared" si="16"/>
        <v xml:space="preserve">      272:
        name: Crime + Investigation HD
        package: Full House
        plus_one: 224</v>
      </c>
    </row>
    <row r="150" spans="1:16" x14ac:dyDescent="0.25">
      <c r="A150">
        <v>273</v>
      </c>
      <c r="B150" t="s">
        <v>119</v>
      </c>
      <c r="D150">
        <v>274</v>
      </c>
      <c r="E150" t="s">
        <v>279</v>
      </c>
      <c r="I150" t="str">
        <f t="shared" si="17"/>
        <v>Fun</v>
      </c>
      <c r="K150" t="str">
        <f t="shared" si="15"/>
        <v>H2</v>
      </c>
      <c r="L150">
        <f t="shared" si="18"/>
        <v>273</v>
      </c>
      <c r="M150">
        <f>IF(NOT(ISERROR(VLOOKUP(B150&amp;" HD",B:B,1,FALSE))),VLOOKUP(B150&amp;" HD",K:L,2,FALSE),"")</f>
        <v>274</v>
      </c>
      <c r="N150" t="str">
        <f>IF(NOT(ISERROR(VLOOKUP(B150&amp;" +1",B:B,1,FALSE))),VLOOKUP(B150&amp;" +1",K:L,2,FALSE),"")</f>
        <v/>
      </c>
      <c r="P150" t="str">
        <f t="shared" si="16"/>
        <v xml:space="preserve">      273:
        name: H2
        package: Fun
        hd_channel: 274</v>
      </c>
    </row>
    <row r="151" spans="1:16" x14ac:dyDescent="0.25">
      <c r="A151">
        <v>274</v>
      </c>
      <c r="B151" t="s">
        <v>120</v>
      </c>
      <c r="D151" t="s">
        <v>279</v>
      </c>
      <c r="E151" t="s">
        <v>279</v>
      </c>
      <c r="I151" t="str">
        <f t="shared" si="17"/>
        <v>Full House</v>
      </c>
      <c r="K151" t="str">
        <f t="shared" si="15"/>
        <v>H2 HD</v>
      </c>
      <c r="L151">
        <f t="shared" si="18"/>
        <v>274</v>
      </c>
      <c r="M151" t="str">
        <f>IF(NOT(ISERROR(VLOOKUP(B151&amp;" HD",B:B,1,FALSE))),VLOOKUP(B151&amp;" HD",K:L,2,FALSE),"")</f>
        <v/>
      </c>
      <c r="N151" t="str">
        <f>IF(NOT(ISERROR(VLOOKUP(B151&amp;" +1",B:B,1,FALSE))),VLOOKUP(B151&amp;" +1",K:L,2,FALSE),"")</f>
        <v/>
      </c>
      <c r="P151" t="str">
        <f t="shared" si="16"/>
        <v xml:space="preserve">      274:
        name: H2 HD
        package: Full House</v>
      </c>
    </row>
    <row r="152" spans="1:16" x14ac:dyDescent="0.25">
      <c r="A152">
        <v>275</v>
      </c>
      <c r="B152" t="s">
        <v>121</v>
      </c>
      <c r="D152">
        <v>222</v>
      </c>
      <c r="E152">
        <v>224</v>
      </c>
      <c r="I152" t="str">
        <f t="shared" si="17"/>
        <v>Full House</v>
      </c>
      <c r="K152" t="str">
        <f t="shared" si="15"/>
        <v>Crime + Investigation</v>
      </c>
      <c r="L152">
        <f t="shared" si="18"/>
        <v>275</v>
      </c>
      <c r="M152">
        <f>IF(NOT(ISERROR(VLOOKUP(B152&amp;" HD",B:B,1,FALSE))),VLOOKUP(B152&amp;" HD",K:L,2,FALSE),"")</f>
        <v>222</v>
      </c>
      <c r="N152">
        <f>IF(NOT(ISERROR(VLOOKUP(B152&amp;" +1",B:B,1,FALSE))),VLOOKUP(B152&amp;" +1",K:L,2,FALSE),"")</f>
        <v>224</v>
      </c>
      <c r="P152" t="str">
        <f t="shared" si="16"/>
        <v xml:space="preserve">      275:
        name: Crime + Investigation
        package: Full House
        hd_channel: 222
        plus_one: 224</v>
      </c>
    </row>
    <row r="153" spans="1:16" x14ac:dyDescent="0.25">
      <c r="A153">
        <v>276</v>
      </c>
      <c r="B153" t="s">
        <v>122</v>
      </c>
      <c r="D153" t="s">
        <v>279</v>
      </c>
      <c r="E153" t="s">
        <v>279</v>
      </c>
      <c r="I153" t="str">
        <f t="shared" si="17"/>
        <v>Player</v>
      </c>
      <c r="K153" t="str">
        <f t="shared" si="15"/>
        <v>PBS America</v>
      </c>
      <c r="L153">
        <f t="shared" si="18"/>
        <v>276</v>
      </c>
      <c r="M153" t="str">
        <f>IF(NOT(ISERROR(VLOOKUP(B153&amp;" HD",B:B,1,FALSE))),VLOOKUP(B153&amp;" HD",K:L,2,FALSE),"")</f>
        <v/>
      </c>
      <c r="N153" t="str">
        <f>IF(NOT(ISERROR(VLOOKUP(B153&amp;" +1",B:B,1,FALSE))),VLOOKUP(B153&amp;" +1",K:L,2,FALSE),"")</f>
        <v/>
      </c>
      <c r="P153" t="str">
        <f t="shared" si="16"/>
        <v xml:space="preserve">      276:
        name: PBS America
        package: Player</v>
      </c>
    </row>
    <row r="154" spans="1:16" x14ac:dyDescent="0.25">
      <c r="A154">
        <v>277</v>
      </c>
      <c r="B154" t="s">
        <v>123</v>
      </c>
      <c r="D154" t="s">
        <v>279</v>
      </c>
      <c r="E154" t="s">
        <v>279</v>
      </c>
      <c r="I154" t="str">
        <f t="shared" si="17"/>
        <v>Player</v>
      </c>
      <c r="K154" t="str">
        <f t="shared" si="15"/>
        <v>Forces TV</v>
      </c>
      <c r="L154">
        <f t="shared" si="18"/>
        <v>277</v>
      </c>
      <c r="M154" t="str">
        <f>IF(NOT(ISERROR(VLOOKUP(B154&amp;" HD",B:B,1,FALSE))),VLOOKUP(B154&amp;" HD",K:L,2,FALSE),"")</f>
        <v/>
      </c>
      <c r="N154" t="str">
        <f>IF(NOT(ISERROR(VLOOKUP(B154&amp;" +1",B:B,1,FALSE))),VLOOKUP(B154&amp;" +1",K:L,2,FALSE),"")</f>
        <v/>
      </c>
      <c r="P154" t="str">
        <f t="shared" si="16"/>
        <v xml:space="preserve">      277:
        name: Forces TV
        package: Player</v>
      </c>
    </row>
    <row r="155" spans="1:16" x14ac:dyDescent="0.25">
      <c r="A155">
        <v>278</v>
      </c>
      <c r="B155" t="s">
        <v>124</v>
      </c>
      <c r="D155">
        <v>279</v>
      </c>
      <c r="E155">
        <v>280</v>
      </c>
      <c r="I155" t="str">
        <f t="shared" si="17"/>
        <v>Mix</v>
      </c>
      <c r="K155" t="str">
        <f t="shared" si="15"/>
        <v>Good Food</v>
      </c>
      <c r="L155">
        <f t="shared" si="18"/>
        <v>278</v>
      </c>
      <c r="M155">
        <f>IF(NOT(ISERROR(VLOOKUP(B155&amp;" HD",B:B,1,FALSE))),VLOOKUP(B155&amp;" HD",K:L,2,FALSE),"")</f>
        <v>279</v>
      </c>
      <c r="N155">
        <f>IF(NOT(ISERROR(VLOOKUP(B155&amp;" +1",B:B,1,FALSE))),VLOOKUP(B155&amp;" +1",K:L,2,FALSE),"")</f>
        <v>280</v>
      </c>
      <c r="P155" t="str">
        <f t="shared" si="16"/>
        <v xml:space="preserve">      278:
        name: Good Food
        package: Mix
        hd_channel: 279
        plus_one: 280</v>
      </c>
    </row>
    <row r="156" spans="1:16" x14ac:dyDescent="0.25">
      <c r="A156">
        <v>279</v>
      </c>
      <c r="B156" t="s">
        <v>126</v>
      </c>
      <c r="D156" t="s">
        <v>279</v>
      </c>
      <c r="E156" t="s">
        <v>279</v>
      </c>
      <c r="I156" t="str">
        <f t="shared" si="17"/>
        <v>Full House</v>
      </c>
      <c r="K156" t="str">
        <f t="shared" si="15"/>
        <v>Good Food HD</v>
      </c>
      <c r="L156">
        <f t="shared" si="18"/>
        <v>279</v>
      </c>
      <c r="M156" t="str">
        <f>IF(NOT(ISERROR(VLOOKUP(B156&amp;" HD",B:B,1,FALSE))),VLOOKUP(B156&amp;" HD",K:L,2,FALSE),"")</f>
        <v/>
      </c>
      <c r="N156" t="str">
        <f>IF(NOT(ISERROR(VLOOKUP(B156&amp;" +1",B:B,1,FALSE))),VLOOKUP(B156&amp;" +1",K:L,2,FALSE),"")</f>
        <v/>
      </c>
      <c r="P156" t="str">
        <f t="shared" si="16"/>
        <v xml:space="preserve">      279:
        name: Good Food HD
        package: Full House</v>
      </c>
    </row>
    <row r="157" spans="1:16" x14ac:dyDescent="0.25">
      <c r="A157">
        <v>280</v>
      </c>
      <c r="B157" t="s">
        <v>125</v>
      </c>
      <c r="D157" t="s">
        <v>279</v>
      </c>
      <c r="E157" t="s">
        <v>279</v>
      </c>
      <c r="I157" t="str">
        <f t="shared" si="17"/>
        <v>Mix</v>
      </c>
      <c r="K157" t="str">
        <f t="shared" si="15"/>
        <v>Good Food +1</v>
      </c>
      <c r="L157">
        <f t="shared" si="18"/>
        <v>280</v>
      </c>
      <c r="M157" t="str">
        <f>IF(NOT(ISERROR(VLOOKUP(B157&amp;" HD",B:B,1,FALSE))),VLOOKUP(B157&amp;" HD",K:L,2,FALSE),"")</f>
        <v/>
      </c>
      <c r="N157" t="str">
        <f>IF(NOT(ISERROR(VLOOKUP(B157&amp;" +1",B:B,1,FALSE))),VLOOKUP(B157&amp;" +1",K:L,2,FALSE),"")</f>
        <v/>
      </c>
      <c r="P157" t="str">
        <f t="shared" si="16"/>
        <v xml:space="preserve">      280:
        name: Good Food +1
        package: Mix</v>
      </c>
    </row>
    <row r="158" spans="1:16" x14ac:dyDescent="0.25">
      <c r="A158">
        <v>281</v>
      </c>
      <c r="B158" t="s">
        <v>127</v>
      </c>
      <c r="D158" t="s">
        <v>279</v>
      </c>
      <c r="E158">
        <v>282</v>
      </c>
      <c r="I158" t="str">
        <f t="shared" si="17"/>
        <v>Player</v>
      </c>
      <c r="K158" t="str">
        <f t="shared" si="15"/>
        <v>Home</v>
      </c>
      <c r="L158">
        <f t="shared" si="18"/>
        <v>281</v>
      </c>
      <c r="M158" t="str">
        <f>IF(NOT(ISERROR(VLOOKUP(B158&amp;" HD",B:B,1,FALSE))),VLOOKUP(B158&amp;" HD",K:L,2,FALSE),"")</f>
        <v/>
      </c>
      <c r="N158">
        <f>IF(NOT(ISERROR(VLOOKUP(B158&amp;" +1",B:B,1,FALSE))),VLOOKUP(B158&amp;" +1",K:L,2,FALSE),"")</f>
        <v>282</v>
      </c>
      <c r="P158" t="str">
        <f t="shared" si="16"/>
        <v xml:space="preserve">      281:
        name: Home
        package: Player
        plus_one: 282</v>
      </c>
    </row>
    <row r="159" spans="1:16" x14ac:dyDescent="0.25">
      <c r="A159">
        <v>282</v>
      </c>
      <c r="B159" t="s">
        <v>128</v>
      </c>
      <c r="D159" t="s">
        <v>279</v>
      </c>
      <c r="E159" t="s">
        <v>279</v>
      </c>
      <c r="I159" t="str">
        <f t="shared" si="17"/>
        <v>Player</v>
      </c>
      <c r="K159" t="str">
        <f t="shared" si="15"/>
        <v>Home +1</v>
      </c>
      <c r="L159">
        <f t="shared" si="18"/>
        <v>282</v>
      </c>
      <c r="M159" t="str">
        <f>IF(NOT(ISERROR(VLOOKUP(B159&amp;" HD",B:B,1,FALSE))),VLOOKUP(B159&amp;" HD",K:L,2,FALSE),"")</f>
        <v/>
      </c>
      <c r="N159" t="str">
        <f>IF(NOT(ISERROR(VLOOKUP(B159&amp;" +1",B:B,1,FALSE))),VLOOKUP(B159&amp;" +1",K:L,2,FALSE),"")</f>
        <v/>
      </c>
      <c r="P159" t="str">
        <f t="shared" si="16"/>
        <v xml:space="preserve">      282:
        name: Home +1
        package: Player</v>
      </c>
    </row>
    <row r="160" spans="1:16" x14ac:dyDescent="0.25">
      <c r="A160">
        <v>284</v>
      </c>
      <c r="B160" t="s">
        <v>129</v>
      </c>
      <c r="D160" t="s">
        <v>279</v>
      </c>
      <c r="E160">
        <v>285</v>
      </c>
      <c r="I160" t="str">
        <f t="shared" si="17"/>
        <v>Fun</v>
      </c>
      <c r="K160" t="str">
        <f t="shared" si="15"/>
        <v>'Discovery Home &amp; Health'</v>
      </c>
      <c r="L160">
        <f t="shared" si="18"/>
        <v>284</v>
      </c>
      <c r="M160" t="str">
        <f>IF(NOT(ISERROR(VLOOKUP(B160&amp;" HD",B:B,1,FALSE))),VLOOKUP(B160&amp;" HD",K:L,2,FALSE),"")</f>
        <v/>
      </c>
      <c r="N160" t="e">
        <f>IF(NOT(ISERROR(VLOOKUP(B160&amp;" +1",B:B,1,FALSE))),VLOOKUP(B160&amp;" +1",K:L,2,FALSE),"")</f>
        <v>#N/A</v>
      </c>
      <c r="P160" t="str">
        <f t="shared" si="16"/>
        <v xml:space="preserve">      284:
        name: 'Discovery Home &amp; Health'
        package: Fun
        plus_one: 285</v>
      </c>
    </row>
    <row r="161" spans="1:16" x14ac:dyDescent="0.25">
      <c r="A161">
        <v>285</v>
      </c>
      <c r="B161" t="s">
        <v>130</v>
      </c>
      <c r="D161" t="s">
        <v>279</v>
      </c>
      <c r="E161" t="s">
        <v>279</v>
      </c>
      <c r="I161" t="str">
        <f t="shared" si="17"/>
        <v>Fun</v>
      </c>
      <c r="K161" t="str">
        <f t="shared" si="15"/>
        <v>'Discovery Home &amp; Health +1'</v>
      </c>
      <c r="L161">
        <f t="shared" si="18"/>
        <v>285</v>
      </c>
      <c r="M161" t="str">
        <f>IF(NOT(ISERROR(VLOOKUP(B161&amp;" HD",B:B,1,FALSE))),VLOOKUP(B161&amp;" HD",K:L,2,FALSE),"")</f>
        <v/>
      </c>
      <c r="N161" t="str">
        <f>IF(NOT(ISERROR(VLOOKUP(B161&amp;" +1",B:B,1,FALSE))),VLOOKUP(B161&amp;" +1",K:L,2,FALSE),"")</f>
        <v/>
      </c>
      <c r="P161" t="str">
        <f t="shared" si="16"/>
        <v xml:space="preserve">      285:
        name: 'Discovery Home &amp; Health +1'
        package: Fun</v>
      </c>
    </row>
    <row r="162" spans="1:16" x14ac:dyDescent="0.25">
      <c r="A162">
        <v>286</v>
      </c>
      <c r="B162" t="s">
        <v>131</v>
      </c>
      <c r="D162" t="s">
        <v>279</v>
      </c>
      <c r="E162" t="s">
        <v>279</v>
      </c>
      <c r="I162" t="str">
        <f t="shared" si="17"/>
        <v>Fun</v>
      </c>
      <c r="K162" t="str">
        <f t="shared" si="15"/>
        <v>Discovery Shed</v>
      </c>
      <c r="L162">
        <f t="shared" si="18"/>
        <v>286</v>
      </c>
      <c r="M162" t="str">
        <f>IF(NOT(ISERROR(VLOOKUP(B162&amp;" HD",B:B,1,FALSE))),VLOOKUP(B162&amp;" HD",K:L,2,FALSE),"")</f>
        <v/>
      </c>
      <c r="N162" t="str">
        <f>IF(NOT(ISERROR(VLOOKUP(B162&amp;" +1",B:B,1,FALSE))),VLOOKUP(B162&amp;" +1",K:L,2,FALSE),"")</f>
        <v/>
      </c>
      <c r="P162" t="str">
        <f t="shared" si="16"/>
        <v xml:space="preserve">      286:
        name: Discovery Shed
        package: Fun</v>
      </c>
    </row>
    <row r="163" spans="1:16" x14ac:dyDescent="0.25">
      <c r="A163">
        <v>287</v>
      </c>
      <c r="B163" t="s">
        <v>132</v>
      </c>
      <c r="D163" t="s">
        <v>279</v>
      </c>
      <c r="E163" t="s">
        <v>279</v>
      </c>
      <c r="I163" t="str">
        <f t="shared" si="17"/>
        <v>Fun</v>
      </c>
      <c r="K163" t="str">
        <f t="shared" si="15"/>
        <v>GOD Channel</v>
      </c>
      <c r="L163">
        <f t="shared" si="18"/>
        <v>287</v>
      </c>
      <c r="M163" t="str">
        <f>IF(NOT(ISERROR(VLOOKUP(B163&amp;" HD",B:B,1,FALSE))),VLOOKUP(B163&amp;" HD",K:L,2,FALSE),"")</f>
        <v/>
      </c>
      <c r="N163" t="str">
        <f>IF(NOT(ISERROR(VLOOKUP(B163&amp;" +1",B:B,1,FALSE))),VLOOKUP(B163&amp;" +1",K:L,2,FALSE),"")</f>
        <v/>
      </c>
      <c r="P163" t="str">
        <f t="shared" si="16"/>
        <v xml:space="preserve">      287:
        name: GOD Channel
        package: Fun</v>
      </c>
    </row>
    <row r="164" spans="1:16" x14ac:dyDescent="0.25">
      <c r="A164">
        <v>291</v>
      </c>
      <c r="B164" t="s">
        <v>133</v>
      </c>
      <c r="D164" t="s">
        <v>279</v>
      </c>
      <c r="E164" t="s">
        <v>279</v>
      </c>
      <c r="I164" t="str">
        <f t="shared" si="17"/>
        <v>Mix</v>
      </c>
      <c r="K164" t="str">
        <f t="shared" si="15"/>
        <v>Food Network</v>
      </c>
      <c r="L164">
        <f t="shared" si="18"/>
        <v>291</v>
      </c>
      <c r="M164" t="str">
        <f>IF(NOT(ISERROR(VLOOKUP(B164&amp;" HD",B:B,1,FALSE))),VLOOKUP(B164&amp;" HD",K:L,2,FALSE),"")</f>
        <v/>
      </c>
      <c r="N164" t="str">
        <f>IF(NOT(ISERROR(VLOOKUP(B164&amp;" +1",B:B,1,FALSE))),VLOOKUP(B164&amp;" +1",K:L,2,FALSE),"")</f>
        <v/>
      </c>
      <c r="P164" t="str">
        <f t="shared" si="16"/>
        <v xml:space="preserve">      291:
        name: Food Network
        package: Mix</v>
      </c>
    </row>
    <row r="165" spans="1:16" x14ac:dyDescent="0.25">
      <c r="A165">
        <v>292</v>
      </c>
      <c r="B165" t="s">
        <v>134</v>
      </c>
      <c r="D165" t="s">
        <v>279</v>
      </c>
      <c r="E165" t="s">
        <v>279</v>
      </c>
      <c r="I165" t="str">
        <f t="shared" si="17"/>
        <v>Mix</v>
      </c>
      <c r="K165" t="str">
        <f t="shared" si="15"/>
        <v>Travel Channel</v>
      </c>
      <c r="L165">
        <f t="shared" si="18"/>
        <v>292</v>
      </c>
      <c r="M165" t="str">
        <f>IF(NOT(ISERROR(VLOOKUP(B165&amp;" HD",B:B,1,FALSE))),VLOOKUP(B165&amp;" HD",K:L,2,FALSE),"")</f>
        <v/>
      </c>
      <c r="N165" t="str">
        <f>IF(NOT(ISERROR(VLOOKUP(B165&amp;" +1",B:B,1,FALSE))),VLOOKUP(B165&amp;" +1",K:L,2,FALSE),"")</f>
        <v/>
      </c>
      <c r="P165" t="str">
        <f t="shared" si="16"/>
        <v xml:space="preserve">      292:
        name: Travel Channel
        package: Mix</v>
      </c>
    </row>
    <row r="166" spans="1:16" x14ac:dyDescent="0.25">
      <c r="A166">
        <v>293</v>
      </c>
      <c r="B166" t="s">
        <v>315</v>
      </c>
      <c r="D166" t="s">
        <v>279</v>
      </c>
      <c r="E166" t="s">
        <v>279</v>
      </c>
      <c r="I166" t="str">
        <f t="shared" si="17"/>
        <v>Full House</v>
      </c>
      <c r="K166" t="str">
        <f t="shared" si="15"/>
        <v>Love Nature HD</v>
      </c>
      <c r="L166">
        <f t="shared" ref="L166:L170" si="20">A166</f>
        <v>293</v>
      </c>
      <c r="M166" t="str">
        <f>IF(NOT(ISERROR(VLOOKUP(B166&amp;" HD",B:B,1,FALSE))),VLOOKUP(B166&amp;" HD",K:L,2,FALSE),"")</f>
        <v/>
      </c>
      <c r="N166" t="str">
        <f>IF(NOT(ISERROR(VLOOKUP(B166&amp;" +1",B:B,1,FALSE))),VLOOKUP(B166&amp;" +1",K:L,2,FALSE),"")</f>
        <v/>
      </c>
      <c r="P166" t="str">
        <f t="shared" si="16"/>
        <v xml:space="preserve">      293:
        name: Love Nature HD
        package: Full House</v>
      </c>
    </row>
    <row r="167" spans="1:16" x14ac:dyDescent="0.25">
      <c r="A167">
        <v>294</v>
      </c>
      <c r="B167" t="s">
        <v>316</v>
      </c>
      <c r="D167">
        <v>293</v>
      </c>
      <c r="E167" t="s">
        <v>279</v>
      </c>
      <c r="I167" t="str">
        <f t="shared" si="17"/>
        <v>Mix</v>
      </c>
      <c r="K167" t="str">
        <f t="shared" si="15"/>
        <v>Love Nature</v>
      </c>
      <c r="L167">
        <f t="shared" si="20"/>
        <v>294</v>
      </c>
      <c r="M167">
        <f>IF(NOT(ISERROR(VLOOKUP(B167&amp;" HD",B:B,1,FALSE))),VLOOKUP(B167&amp;" HD",K:L,2,FALSE),"")</f>
        <v>293</v>
      </c>
      <c r="N167" t="str">
        <f>IF(NOT(ISERROR(VLOOKUP(B167&amp;" +1",B:B,1,FALSE))),VLOOKUP(B167&amp;" +1",K:L,2,FALSE),"")</f>
        <v/>
      </c>
      <c r="P167" t="str">
        <f t="shared" si="16"/>
        <v xml:space="preserve">      294:
        name: Love Nature
        package: Mix
        hd_channel: 293</v>
      </c>
    </row>
    <row r="168" spans="1:16" x14ac:dyDescent="0.25">
      <c r="A168">
        <v>295</v>
      </c>
      <c r="B168" t="s">
        <v>317</v>
      </c>
      <c r="D168" t="s">
        <v>279</v>
      </c>
      <c r="E168" t="s">
        <v>279</v>
      </c>
      <c r="I168" t="str">
        <f t="shared" si="17"/>
        <v>Full House</v>
      </c>
      <c r="K168" t="str">
        <f t="shared" si="15"/>
        <v>Crime + Investigation +1</v>
      </c>
      <c r="L168">
        <f t="shared" si="20"/>
        <v>295</v>
      </c>
      <c r="M168" t="str">
        <f>IF(NOT(ISERROR(VLOOKUP(B168&amp;" HD",B:B,1,FALSE))),VLOOKUP(B168&amp;" HD",K:L,2,FALSE),"")</f>
        <v/>
      </c>
      <c r="N168" t="str">
        <f>IF(NOT(ISERROR(VLOOKUP(B168&amp;" +1",B:B,1,FALSE))),VLOOKUP(B168&amp;" +1",K:L,2,FALSE),"")</f>
        <v/>
      </c>
      <c r="P168" t="str">
        <f t="shared" si="16"/>
        <v xml:space="preserve">      295:
        name: Crime + Investigation +1
        package: Full House</v>
      </c>
    </row>
    <row r="169" spans="1:16" x14ac:dyDescent="0.25">
      <c r="A169">
        <v>298</v>
      </c>
      <c r="B169" t="s">
        <v>318</v>
      </c>
      <c r="D169" t="s">
        <v>279</v>
      </c>
      <c r="E169" t="s">
        <v>279</v>
      </c>
      <c r="I169" t="str">
        <f t="shared" si="17"/>
        <v>Player</v>
      </c>
      <c r="K169" t="str">
        <f t="shared" si="15"/>
        <v>'Horse &amp; Country'</v>
      </c>
      <c r="L169">
        <f t="shared" si="20"/>
        <v>298</v>
      </c>
      <c r="M169" t="str">
        <f>IF(NOT(ISERROR(VLOOKUP(B169&amp;" HD",B:B,1,FALSE))),VLOOKUP(B169&amp;" HD",K:L,2,FALSE),"")</f>
        <v/>
      </c>
      <c r="N169" t="str">
        <f>IF(NOT(ISERROR(VLOOKUP(B169&amp;" +1",B:B,1,FALSE))),VLOOKUP(B169&amp;" +1",K:L,2,FALSE),"")</f>
        <v/>
      </c>
      <c r="P169" t="str">
        <f t="shared" si="16"/>
        <v xml:space="preserve">      298:
        name: 'Horse &amp; Country'
        package: Player</v>
      </c>
    </row>
    <row r="170" spans="1:16" x14ac:dyDescent="0.25">
      <c r="A170">
        <v>299</v>
      </c>
      <c r="B170" t="s">
        <v>362</v>
      </c>
      <c r="D170" t="s">
        <v>279</v>
      </c>
      <c r="E170" t="s">
        <v>279</v>
      </c>
      <c r="I170" t="str">
        <f t="shared" si="17"/>
        <v>Full House</v>
      </c>
      <c r="K170" t="str">
        <f t="shared" si="15"/>
        <v>History HD</v>
      </c>
      <c r="L170">
        <f t="shared" si="20"/>
        <v>299</v>
      </c>
      <c r="M170" t="str">
        <f>IF(NOT(ISERROR(VLOOKUP(B170&amp;" HD",B:B,1,FALSE))),VLOOKUP(B170&amp;" HD",K:L,2,FALSE),"")</f>
        <v/>
      </c>
      <c r="N170" t="str">
        <f>IF(NOT(ISERROR(VLOOKUP(B170&amp;" +1",B:B,1,FALSE))),VLOOKUP(B170&amp;" +1",K:L,2,FALSE),"")</f>
        <v/>
      </c>
      <c r="P170" t="str">
        <f t="shared" si="16"/>
        <v xml:space="preserve">      299:
        name: History HD
        package: Full House</v>
      </c>
    </row>
    <row r="171" spans="1:16" x14ac:dyDescent="0.25">
      <c r="A171">
        <v>300</v>
      </c>
      <c r="B171" t="s">
        <v>550</v>
      </c>
      <c r="D171" t="s">
        <v>279</v>
      </c>
      <c r="E171" t="s">
        <v>279</v>
      </c>
      <c r="I171" t="str">
        <f t="shared" si="17"/>
        <v>Player</v>
      </c>
      <c r="K171" t="str">
        <f t="shared" si="15"/>
        <v>New Music on Demand</v>
      </c>
      <c r="L171">
        <f t="shared" si="18"/>
        <v>300</v>
      </c>
      <c r="M171" t="str">
        <f>IF(NOT(ISERROR(VLOOKUP(B171&amp;" HD",B:B,1,FALSE))),VLOOKUP(B171&amp;" HD",K:L,2,FALSE),"")</f>
        <v/>
      </c>
      <c r="N171" t="str">
        <f>IF(NOT(ISERROR(VLOOKUP(B171&amp;" +1",B:B,1,FALSE))),VLOOKUP(B171&amp;" +1",K:L,2,FALSE),"")</f>
        <v/>
      </c>
      <c r="P171" t="str">
        <f t="shared" si="16"/>
        <v xml:space="preserve">      300:
        name: New Music on Demand
        package: Player</v>
      </c>
    </row>
    <row r="172" spans="1:16" x14ac:dyDescent="0.25">
      <c r="A172">
        <v>310</v>
      </c>
      <c r="B172" t="s">
        <v>135</v>
      </c>
      <c r="D172" t="s">
        <v>279</v>
      </c>
      <c r="E172" t="s">
        <v>279</v>
      </c>
      <c r="I172" t="str">
        <f t="shared" si="17"/>
        <v>Mix</v>
      </c>
      <c r="K172" t="str">
        <f t="shared" si="15"/>
        <v>MTV Music</v>
      </c>
      <c r="L172">
        <f t="shared" si="18"/>
        <v>310</v>
      </c>
      <c r="M172" t="str">
        <f>IF(NOT(ISERROR(VLOOKUP(B172&amp;" HD",B:B,1,FALSE))),VLOOKUP(B172&amp;" HD",K:L,2,FALSE),"")</f>
        <v/>
      </c>
      <c r="N172" t="str">
        <f>IF(NOT(ISERROR(VLOOKUP(B172&amp;" +1",B:B,1,FALSE))),VLOOKUP(B172&amp;" +1",K:L,2,FALSE),"")</f>
        <v/>
      </c>
      <c r="P172" t="str">
        <f t="shared" si="16"/>
        <v xml:space="preserve">      310:
        name: MTV Music
        package: Mix</v>
      </c>
    </row>
    <row r="173" spans="1:16" x14ac:dyDescent="0.25">
      <c r="A173">
        <v>311</v>
      </c>
      <c r="B173" t="s">
        <v>136</v>
      </c>
      <c r="D173" t="s">
        <v>279</v>
      </c>
      <c r="E173" t="s">
        <v>279</v>
      </c>
      <c r="I173" t="str">
        <f t="shared" si="17"/>
        <v>Full House</v>
      </c>
      <c r="K173" t="str">
        <f t="shared" si="15"/>
        <v>MTV Live HD</v>
      </c>
      <c r="L173">
        <f t="shared" si="18"/>
        <v>311</v>
      </c>
      <c r="M173" t="str">
        <f>IF(NOT(ISERROR(VLOOKUP(B173&amp;" HD",B:B,1,FALSE))),VLOOKUP(B173&amp;" HD",K:L,2,FALSE),"")</f>
        <v/>
      </c>
      <c r="N173" t="str">
        <f>IF(NOT(ISERROR(VLOOKUP(B173&amp;" +1",B:B,1,FALSE))),VLOOKUP(B173&amp;" +1",K:L,2,FALSE),"")</f>
        <v/>
      </c>
      <c r="P173" t="str">
        <f t="shared" si="16"/>
        <v xml:space="preserve">      311:
        name: MTV Live HD
        package: Full House</v>
      </c>
    </row>
    <row r="174" spans="1:16" x14ac:dyDescent="0.25">
      <c r="A174">
        <v>312</v>
      </c>
      <c r="B174" t="s">
        <v>137</v>
      </c>
      <c r="D174" t="s">
        <v>279</v>
      </c>
      <c r="E174" t="s">
        <v>279</v>
      </c>
      <c r="I174" t="str">
        <f t="shared" si="17"/>
        <v>Fun</v>
      </c>
      <c r="K174" t="str">
        <f t="shared" si="15"/>
        <v>MTV Hits</v>
      </c>
      <c r="L174">
        <f t="shared" si="18"/>
        <v>312</v>
      </c>
      <c r="M174" t="str">
        <f>IF(NOT(ISERROR(VLOOKUP(B174&amp;" HD",B:B,1,FALSE))),VLOOKUP(B174&amp;" HD",K:L,2,FALSE),"")</f>
        <v/>
      </c>
      <c r="N174" t="str">
        <f>IF(NOT(ISERROR(VLOOKUP(B174&amp;" +1",B:B,1,FALSE))),VLOOKUP(B174&amp;" +1",K:L,2,FALSE),"")</f>
        <v/>
      </c>
      <c r="P174" t="str">
        <f t="shared" si="16"/>
        <v xml:space="preserve">      312:
        name: MTV Hits
        package: Fun</v>
      </c>
    </row>
    <row r="175" spans="1:16" x14ac:dyDescent="0.25">
      <c r="A175">
        <v>313</v>
      </c>
      <c r="B175" t="s">
        <v>138</v>
      </c>
      <c r="D175" t="s">
        <v>279</v>
      </c>
      <c r="E175" t="s">
        <v>279</v>
      </c>
      <c r="I175" t="str">
        <f t="shared" si="17"/>
        <v>Fun</v>
      </c>
      <c r="K175" t="str">
        <f t="shared" si="15"/>
        <v>MTV Base</v>
      </c>
      <c r="L175">
        <f t="shared" si="18"/>
        <v>313</v>
      </c>
      <c r="M175" t="str">
        <f>IF(NOT(ISERROR(VLOOKUP(B175&amp;" HD",B:B,1,FALSE))),VLOOKUP(B175&amp;" HD",K:L,2,FALSE),"")</f>
        <v/>
      </c>
      <c r="N175" t="str">
        <f>IF(NOT(ISERROR(VLOOKUP(B175&amp;" +1",B:B,1,FALSE))),VLOOKUP(B175&amp;" +1",K:L,2,FALSE),"")</f>
        <v/>
      </c>
      <c r="P175" t="str">
        <f t="shared" si="16"/>
        <v xml:space="preserve">      313:
        name: MTV Base
        package: Fun</v>
      </c>
    </row>
    <row r="176" spans="1:16" x14ac:dyDescent="0.25">
      <c r="A176">
        <v>314</v>
      </c>
      <c r="B176" t="s">
        <v>552</v>
      </c>
      <c r="D176" t="s">
        <v>279</v>
      </c>
      <c r="E176" t="s">
        <v>279</v>
      </c>
      <c r="I176" t="str">
        <f t="shared" si="17"/>
        <v>Full House</v>
      </c>
      <c r="K176" t="str">
        <f t="shared" si="15"/>
        <v>Club MTV</v>
      </c>
      <c r="L176">
        <f t="shared" si="18"/>
        <v>314</v>
      </c>
      <c r="M176" t="str">
        <f>IF(NOT(ISERROR(VLOOKUP(B176&amp;" HD",B:B,1,FALSE))),VLOOKUP(B176&amp;" HD",K:L,2,FALSE),"")</f>
        <v/>
      </c>
      <c r="N176" t="str">
        <f>IF(NOT(ISERROR(VLOOKUP(B176&amp;" +1",B:B,1,FALSE))),VLOOKUP(B176&amp;" +1",K:L,2,FALSE),"")</f>
        <v/>
      </c>
      <c r="P176" t="str">
        <f t="shared" si="16"/>
        <v xml:space="preserve">      314:
        name: Club MTV
        package: Full House</v>
      </c>
    </row>
    <row r="177" spans="1:16" x14ac:dyDescent="0.25">
      <c r="A177">
        <v>315</v>
      </c>
      <c r="B177" t="s">
        <v>139</v>
      </c>
      <c r="D177" t="s">
        <v>279</v>
      </c>
      <c r="E177" t="s">
        <v>279</v>
      </c>
      <c r="I177" t="str">
        <f t="shared" si="17"/>
        <v>Full House</v>
      </c>
      <c r="K177" t="str">
        <f t="shared" si="15"/>
        <v>MTV Rocks</v>
      </c>
      <c r="L177">
        <f t="shared" si="18"/>
        <v>315</v>
      </c>
      <c r="M177" t="str">
        <f>IF(NOT(ISERROR(VLOOKUP(B177&amp;" HD",B:B,1,FALSE))),VLOOKUP(B177&amp;" HD",K:L,2,FALSE),"")</f>
        <v/>
      </c>
      <c r="N177" t="str">
        <f>IF(NOT(ISERROR(VLOOKUP(B177&amp;" +1",B:B,1,FALSE))),VLOOKUP(B177&amp;" +1",K:L,2,FALSE),"")</f>
        <v/>
      </c>
      <c r="P177" t="str">
        <f t="shared" si="16"/>
        <v xml:space="preserve">      315:
        name: MTV Rocks
        package: Full House</v>
      </c>
    </row>
    <row r="178" spans="1:16" x14ac:dyDescent="0.25">
      <c r="A178">
        <v>316</v>
      </c>
      <c r="B178" t="s">
        <v>140</v>
      </c>
      <c r="D178" t="s">
        <v>279</v>
      </c>
      <c r="E178" t="s">
        <v>279</v>
      </c>
      <c r="I178" t="str">
        <f t="shared" si="17"/>
        <v>Fun</v>
      </c>
      <c r="K178" t="str">
        <f t="shared" si="15"/>
        <v>VH1</v>
      </c>
      <c r="L178">
        <f t="shared" si="18"/>
        <v>316</v>
      </c>
      <c r="M178" t="str">
        <f>IF(NOT(ISERROR(VLOOKUP(B178&amp;" HD",B:B,1,FALSE))),VLOOKUP(B178&amp;" HD",K:L,2,FALSE),"")</f>
        <v/>
      </c>
      <c r="N178" t="str">
        <f>IF(NOT(ISERROR(VLOOKUP(B178&amp;" +1",B:B,1,FALSE))),VLOOKUP(B178&amp;" +1",K:L,2,FALSE),"")</f>
        <v/>
      </c>
      <c r="P178" t="str">
        <f t="shared" si="16"/>
        <v xml:space="preserve">      316:
        name: VH1
        package: Fun</v>
      </c>
    </row>
    <row r="179" spans="1:16" x14ac:dyDescent="0.25">
      <c r="A179">
        <v>318</v>
      </c>
      <c r="B179" t="s">
        <v>141</v>
      </c>
      <c r="D179" t="s">
        <v>279</v>
      </c>
      <c r="E179" t="s">
        <v>279</v>
      </c>
      <c r="I179" t="str">
        <f t="shared" si="17"/>
        <v>Mix</v>
      </c>
      <c r="K179" t="str">
        <f t="shared" si="15"/>
        <v>MTV OMG</v>
      </c>
      <c r="L179">
        <f t="shared" si="18"/>
        <v>318</v>
      </c>
      <c r="M179" t="str">
        <f>IF(NOT(ISERROR(VLOOKUP(B179&amp;" HD",B:B,1,FALSE))),VLOOKUP(B179&amp;" HD",K:L,2,FALSE),"")</f>
        <v/>
      </c>
      <c r="N179" t="str">
        <f>IF(NOT(ISERROR(VLOOKUP(B179&amp;" +1",B:B,1,FALSE))),VLOOKUP(B179&amp;" +1",K:L,2,FALSE),"")</f>
        <v/>
      </c>
      <c r="P179" t="str">
        <f t="shared" si="16"/>
        <v xml:space="preserve">      318:
        name: MTV OMG
        package: Mix</v>
      </c>
    </row>
    <row r="180" spans="1:16" x14ac:dyDescent="0.25">
      <c r="A180">
        <v>330</v>
      </c>
      <c r="B180" t="s">
        <v>142</v>
      </c>
      <c r="D180" t="s">
        <v>279</v>
      </c>
      <c r="E180" t="s">
        <v>279</v>
      </c>
      <c r="I180" t="str">
        <f t="shared" si="17"/>
        <v>Fun</v>
      </c>
      <c r="K180" t="str">
        <f t="shared" si="15"/>
        <v>Box Upfront</v>
      </c>
      <c r="L180">
        <f t="shared" si="18"/>
        <v>330</v>
      </c>
      <c r="M180" t="str">
        <f>IF(NOT(ISERROR(VLOOKUP(B180&amp;" HD",B:B,1,FALSE))),VLOOKUP(B180&amp;" HD",K:L,2,FALSE),"")</f>
        <v/>
      </c>
      <c r="N180" t="str">
        <f>IF(NOT(ISERROR(VLOOKUP(B180&amp;" +1",B:B,1,FALSE))),VLOOKUP(B180&amp;" +1",K:L,2,FALSE),"")</f>
        <v/>
      </c>
      <c r="P180" t="str">
        <f t="shared" si="16"/>
        <v xml:space="preserve">      330:
        name: Box Upfront
        package: Fun</v>
      </c>
    </row>
    <row r="181" spans="1:16" x14ac:dyDescent="0.25">
      <c r="A181">
        <v>335</v>
      </c>
      <c r="B181" t="s">
        <v>143</v>
      </c>
      <c r="D181" t="s">
        <v>279</v>
      </c>
      <c r="E181" t="s">
        <v>279</v>
      </c>
      <c r="I181" t="str">
        <f t="shared" si="17"/>
        <v>Mix</v>
      </c>
      <c r="K181" t="str">
        <f t="shared" si="15"/>
        <v>The Box</v>
      </c>
      <c r="L181">
        <f t="shared" si="18"/>
        <v>335</v>
      </c>
      <c r="M181" t="str">
        <f>IF(NOT(ISERROR(VLOOKUP(B181&amp;" HD",B:B,1,FALSE))),VLOOKUP(B181&amp;" HD",K:L,2,FALSE),"")</f>
        <v/>
      </c>
      <c r="N181" t="str">
        <f>IF(NOT(ISERROR(VLOOKUP(B181&amp;" +1",B:B,1,FALSE))),VLOOKUP(B181&amp;" +1",K:L,2,FALSE),"")</f>
        <v/>
      </c>
      <c r="P181" t="str">
        <f t="shared" si="16"/>
        <v xml:space="preserve">      335:
        name: The Box
        package: Mix</v>
      </c>
    </row>
    <row r="182" spans="1:16" x14ac:dyDescent="0.25">
      <c r="A182">
        <v>336</v>
      </c>
      <c r="B182" t="s">
        <v>144</v>
      </c>
      <c r="D182" t="s">
        <v>279</v>
      </c>
      <c r="E182" t="s">
        <v>279</v>
      </c>
      <c r="I182" t="str">
        <f t="shared" si="17"/>
        <v>Fun</v>
      </c>
      <c r="K182" t="str">
        <f t="shared" si="15"/>
        <v>Box Hits</v>
      </c>
      <c r="L182">
        <f t="shared" si="18"/>
        <v>336</v>
      </c>
      <c r="M182" t="str">
        <f>IF(NOT(ISERROR(VLOOKUP(B182&amp;" HD",B:B,1,FALSE))),VLOOKUP(B182&amp;" HD",K:L,2,FALSE),"")</f>
        <v/>
      </c>
      <c r="N182" t="str">
        <f>IF(NOT(ISERROR(VLOOKUP(B182&amp;" +1",B:B,1,FALSE))),VLOOKUP(B182&amp;" +1",K:L,2,FALSE),"")</f>
        <v/>
      </c>
      <c r="P182" t="str">
        <f t="shared" si="16"/>
        <v xml:space="preserve">      336:
        name: Box Hits
        package: Fun</v>
      </c>
    </row>
    <row r="183" spans="1:16" x14ac:dyDescent="0.25">
      <c r="A183">
        <v>337</v>
      </c>
      <c r="B183" t="s">
        <v>145</v>
      </c>
      <c r="D183" t="s">
        <v>279</v>
      </c>
      <c r="E183" t="s">
        <v>279</v>
      </c>
      <c r="I183" t="str">
        <f t="shared" si="17"/>
        <v>Player</v>
      </c>
      <c r="K183" t="str">
        <f t="shared" si="15"/>
        <v>4Music</v>
      </c>
      <c r="L183">
        <f t="shared" si="18"/>
        <v>337</v>
      </c>
      <c r="M183" t="str">
        <f>IF(NOT(ISERROR(VLOOKUP(B183&amp;" HD",B:B,1,FALSE))),VLOOKUP(B183&amp;" HD",K:L,2,FALSE),"")</f>
        <v/>
      </c>
      <c r="N183" t="str">
        <f>IF(NOT(ISERROR(VLOOKUP(B183&amp;" +1",B:B,1,FALSE))),VLOOKUP(B183&amp;" +1",K:L,2,FALSE),"")</f>
        <v/>
      </c>
      <c r="P183" t="str">
        <f t="shared" si="16"/>
        <v xml:space="preserve">      337:
        name: 4Music
        package: Player</v>
      </c>
    </row>
    <row r="184" spans="1:16" x14ac:dyDescent="0.25">
      <c r="A184">
        <v>338</v>
      </c>
      <c r="B184" t="s">
        <v>146</v>
      </c>
      <c r="D184" t="s">
        <v>279</v>
      </c>
      <c r="E184" t="s">
        <v>279</v>
      </c>
      <c r="I184" t="str">
        <f t="shared" si="17"/>
        <v>Mix</v>
      </c>
      <c r="K184" t="str">
        <f t="shared" si="15"/>
        <v>Kiss</v>
      </c>
      <c r="L184">
        <f t="shared" si="18"/>
        <v>338</v>
      </c>
      <c r="M184" t="str">
        <f>IF(NOT(ISERROR(VLOOKUP(B184&amp;" HD",B:B,1,FALSE))),VLOOKUP(B184&amp;" HD",K:L,2,FALSE),"")</f>
        <v/>
      </c>
      <c r="N184" t="str">
        <f>IF(NOT(ISERROR(VLOOKUP(B184&amp;" +1",B:B,1,FALSE))),VLOOKUP(B184&amp;" +1",K:L,2,FALSE),"")</f>
        <v/>
      </c>
      <c r="P184" t="str">
        <f t="shared" si="16"/>
        <v xml:space="preserve">      338:
        name: Kiss
        package: Mix</v>
      </c>
    </row>
    <row r="185" spans="1:16" x14ac:dyDescent="0.25">
      <c r="A185">
        <v>340</v>
      </c>
      <c r="B185" t="s">
        <v>147</v>
      </c>
      <c r="D185" t="s">
        <v>279</v>
      </c>
      <c r="E185" t="s">
        <v>279</v>
      </c>
      <c r="I185" t="str">
        <f t="shared" si="17"/>
        <v>Mix</v>
      </c>
      <c r="K185" t="str">
        <f t="shared" si="15"/>
        <v>Magic</v>
      </c>
      <c r="L185">
        <f t="shared" si="18"/>
        <v>340</v>
      </c>
      <c r="M185" t="str">
        <f>IF(NOT(ISERROR(VLOOKUP(B185&amp;" HD",B:B,1,FALSE))),VLOOKUP(B185&amp;" HD",K:L,2,FALSE),"")</f>
        <v/>
      </c>
      <c r="N185" t="str">
        <f>IF(NOT(ISERROR(VLOOKUP(B185&amp;" +1",B:B,1,FALSE))),VLOOKUP(B185&amp;" +1",K:L,2,FALSE),"")</f>
        <v/>
      </c>
      <c r="P185" t="str">
        <f t="shared" si="16"/>
        <v xml:space="preserve">      340:
        name: Magic
        package: Mix</v>
      </c>
    </row>
    <row r="186" spans="1:16" x14ac:dyDescent="0.25">
      <c r="A186">
        <v>342</v>
      </c>
      <c r="B186" t="s">
        <v>319</v>
      </c>
      <c r="D186" t="s">
        <v>279</v>
      </c>
      <c r="E186" t="s">
        <v>279</v>
      </c>
      <c r="I186" t="str">
        <f t="shared" si="17"/>
        <v>Fun</v>
      </c>
      <c r="K186" t="str">
        <f t="shared" si="15"/>
        <v>Kerrang!</v>
      </c>
      <c r="L186">
        <f t="shared" si="18"/>
        <v>342</v>
      </c>
      <c r="M186" t="str">
        <f>IF(NOT(ISERROR(VLOOKUP(B186&amp;" HD",B:B,1,FALSE))),VLOOKUP(B186&amp;" HD",K:L,2,FALSE),"")</f>
        <v/>
      </c>
      <c r="N186" t="str">
        <f>IF(NOT(ISERROR(VLOOKUP(B186&amp;" +1",B:B,1,FALSE))),VLOOKUP(B186&amp;" +1",K:L,2,FALSE),"")</f>
        <v/>
      </c>
      <c r="P186" t="str">
        <f t="shared" si="16"/>
        <v xml:space="preserve">      342:
        name: Kerrang!
        package: Fun</v>
      </c>
    </row>
    <row r="187" spans="1:16" x14ac:dyDescent="0.25">
      <c r="A187">
        <v>344</v>
      </c>
      <c r="B187" t="s">
        <v>148</v>
      </c>
      <c r="D187" t="s">
        <v>279</v>
      </c>
      <c r="E187" t="s">
        <v>279</v>
      </c>
      <c r="I187" t="str">
        <f t="shared" si="17"/>
        <v>Player</v>
      </c>
      <c r="K187" t="str">
        <f t="shared" si="15"/>
        <v>Vevo</v>
      </c>
      <c r="L187">
        <f t="shared" si="18"/>
        <v>344</v>
      </c>
      <c r="M187" t="str">
        <f>IF(NOT(ISERROR(VLOOKUP(B187&amp;" HD",B:B,1,FALSE))),VLOOKUP(B187&amp;" HD",K:L,2,FALSE),"")</f>
        <v/>
      </c>
      <c r="N187" t="str">
        <f>IF(NOT(ISERROR(VLOOKUP(B187&amp;" +1",B:B,1,FALSE))),VLOOKUP(B187&amp;" +1",K:L,2,FALSE),"")</f>
        <v/>
      </c>
      <c r="P187" t="str">
        <f t="shared" si="16"/>
        <v xml:space="preserve">      344:
        name: Vevo
        package: Player</v>
      </c>
    </row>
    <row r="188" spans="1:16" x14ac:dyDescent="0.25">
      <c r="A188">
        <v>345</v>
      </c>
      <c r="B188" t="s">
        <v>554</v>
      </c>
      <c r="D188" t="s">
        <v>279</v>
      </c>
      <c r="E188" t="s">
        <v>279</v>
      </c>
      <c r="I188" t="str">
        <f t="shared" si="17"/>
        <v>Mix</v>
      </c>
      <c r="K188" t="str">
        <f t="shared" si="15"/>
        <v>Clubland</v>
      </c>
      <c r="L188">
        <f t="shared" si="18"/>
        <v>345</v>
      </c>
      <c r="M188" t="str">
        <f>IF(NOT(ISERROR(VLOOKUP(B188&amp;" HD",B:B,1,FALSE))),VLOOKUP(B188&amp;" HD",K:L,2,FALSE),"")</f>
        <v/>
      </c>
      <c r="N188" t="str">
        <f>IF(NOT(ISERROR(VLOOKUP(B188&amp;" +1",B:B,1,FALSE))),VLOOKUP(B188&amp;" +1",K:L,2,FALSE),"")</f>
        <v/>
      </c>
      <c r="P188" t="str">
        <f t="shared" si="16"/>
        <v xml:space="preserve">      345:
        name: Clubland
        package: Mix</v>
      </c>
    </row>
    <row r="189" spans="1:16" x14ac:dyDescent="0.25">
      <c r="A189">
        <v>346</v>
      </c>
      <c r="B189" t="s">
        <v>320</v>
      </c>
      <c r="D189" t="s">
        <v>279</v>
      </c>
      <c r="E189" t="s">
        <v>279</v>
      </c>
      <c r="I189" t="str">
        <f t="shared" si="17"/>
        <v>Player</v>
      </c>
      <c r="K189" t="str">
        <f t="shared" si="15"/>
        <v>Now 80s</v>
      </c>
      <c r="L189">
        <f t="shared" ref="L189" si="21">A189</f>
        <v>346</v>
      </c>
      <c r="M189" t="str">
        <f>IF(NOT(ISERROR(VLOOKUP(B189&amp;" HD",B:B,1,FALSE))),VLOOKUP(B189&amp;" HD",K:L,2,FALSE),"")</f>
        <v/>
      </c>
      <c r="N189" t="str">
        <f>IF(NOT(ISERROR(VLOOKUP(B189&amp;" +1",B:B,1,FALSE))),VLOOKUP(B189&amp;" +1",K:L,2,FALSE),"")</f>
        <v/>
      </c>
      <c r="P189" t="str">
        <f t="shared" si="16"/>
        <v xml:space="preserve">      346:
        name: Now 80s
        package: Player</v>
      </c>
    </row>
    <row r="190" spans="1:16" x14ac:dyDescent="0.25">
      <c r="A190">
        <v>400</v>
      </c>
      <c r="B190" t="s">
        <v>557</v>
      </c>
      <c r="D190" t="s">
        <v>279</v>
      </c>
      <c r="E190" t="s">
        <v>279</v>
      </c>
      <c r="I190" t="str">
        <f t="shared" si="17"/>
        <v>Player</v>
      </c>
      <c r="K190" t="str">
        <f t="shared" si="15"/>
        <v>'Virgin Movies &amp; Store'</v>
      </c>
      <c r="L190">
        <f t="shared" si="18"/>
        <v>400</v>
      </c>
      <c r="M190" t="str">
        <f>IF(NOT(ISERROR(VLOOKUP(B190&amp;" HD",B:B,1,FALSE))),VLOOKUP(B190&amp;" HD",K:L,2,FALSE),"")</f>
        <v/>
      </c>
      <c r="N190" t="str">
        <f>IF(NOT(ISERROR(VLOOKUP(B190&amp;" +1",B:B,1,FALSE))),VLOOKUP(B190&amp;" +1",K:L,2,FALSE),"")</f>
        <v/>
      </c>
      <c r="P190" t="str">
        <f t="shared" si="16"/>
        <v xml:space="preserve">      400:
        name: 'Virgin Movies &amp; Store'
        package: Player</v>
      </c>
    </row>
    <row r="191" spans="1:16" x14ac:dyDescent="0.25">
      <c r="A191">
        <v>401</v>
      </c>
      <c r="B191" t="s">
        <v>149</v>
      </c>
      <c r="D191" t="s">
        <v>279</v>
      </c>
      <c r="E191" t="s">
        <v>279</v>
      </c>
      <c r="I191" t="str">
        <f t="shared" si="17"/>
        <v>Premium</v>
      </c>
      <c r="K191" t="str">
        <f t="shared" si="15"/>
        <v>Sky Cinema Premiere HD</v>
      </c>
      <c r="L191">
        <f t="shared" si="18"/>
        <v>401</v>
      </c>
      <c r="M191" t="str">
        <f>IF(NOT(ISERROR(VLOOKUP(B191&amp;" HD",B:B,1,FALSE))),VLOOKUP(B191&amp;" HD",K:L,2,FALSE),"")</f>
        <v/>
      </c>
      <c r="N191" t="str">
        <f>IF(NOT(ISERROR(VLOOKUP(B191&amp;" +1",B:B,1,FALSE))),VLOOKUP(B191&amp;" +1",K:L,2,FALSE),"")</f>
        <v/>
      </c>
      <c r="P191" t="str">
        <f t="shared" si="16"/>
        <v xml:space="preserve">      401:
        name: Sky Cinema Premiere HD
        package: Premium</v>
      </c>
    </row>
    <row r="192" spans="1:16" x14ac:dyDescent="0.25">
      <c r="A192">
        <v>402</v>
      </c>
      <c r="B192" t="s">
        <v>166</v>
      </c>
      <c r="D192" t="s">
        <v>279</v>
      </c>
      <c r="E192" t="s">
        <v>279</v>
      </c>
      <c r="I192" t="str">
        <f t="shared" si="17"/>
        <v>Premium</v>
      </c>
      <c r="K192" t="str">
        <f t="shared" si="15"/>
        <v>Sky Cinema Premiere +1</v>
      </c>
      <c r="L192">
        <f t="shared" si="18"/>
        <v>402</v>
      </c>
      <c r="M192" t="str">
        <f>IF(NOT(ISERROR(VLOOKUP(B192&amp;" HD",B:B,1,FALSE))),VLOOKUP(B192&amp;" HD",K:L,2,FALSE),"")</f>
        <v/>
      </c>
      <c r="N192" t="str">
        <f>IF(NOT(ISERROR(VLOOKUP(B192&amp;" +1",B:B,1,FALSE))),VLOOKUP(B192&amp;" +1",K:L,2,FALSE),"")</f>
        <v/>
      </c>
      <c r="P192" t="str">
        <f t="shared" si="16"/>
        <v xml:space="preserve">      402:
        name: Sky Cinema Premiere +1
        package: Premium</v>
      </c>
    </row>
    <row r="193" spans="1:16" x14ac:dyDescent="0.25">
      <c r="A193">
        <v>403</v>
      </c>
      <c r="B193" t="s">
        <v>150</v>
      </c>
      <c r="D193" t="s">
        <v>279</v>
      </c>
      <c r="E193" t="s">
        <v>279</v>
      </c>
      <c r="I193" t="str">
        <f t="shared" si="17"/>
        <v>Premium</v>
      </c>
      <c r="K193" t="str">
        <f t="shared" si="15"/>
        <v>Sky Cinema Hits HD</v>
      </c>
      <c r="L193">
        <f t="shared" si="18"/>
        <v>403</v>
      </c>
      <c r="M193" t="str">
        <f>IF(NOT(ISERROR(VLOOKUP(B193&amp;" HD",B:B,1,FALSE))),VLOOKUP(B193&amp;" HD",K:L,2,FALSE),"")</f>
        <v/>
      </c>
      <c r="N193" t="str">
        <f>IF(NOT(ISERROR(VLOOKUP(B193&amp;" +1",B:B,1,FALSE))),VLOOKUP(B193&amp;" +1",K:L,2,FALSE),"")</f>
        <v/>
      </c>
      <c r="P193" t="str">
        <f t="shared" si="16"/>
        <v xml:space="preserve">      403:
        name: Sky Cinema Hits HD
        package: Premium</v>
      </c>
    </row>
    <row r="194" spans="1:16" x14ac:dyDescent="0.25">
      <c r="A194">
        <v>404</v>
      </c>
      <c r="B194" t="s">
        <v>151</v>
      </c>
      <c r="D194" t="s">
        <v>279</v>
      </c>
      <c r="E194" t="s">
        <v>279</v>
      </c>
      <c r="I194" t="str">
        <f t="shared" si="17"/>
        <v>Premium</v>
      </c>
      <c r="K194" t="str">
        <f t="shared" si="15"/>
        <v>Sky Cinema Greats HD</v>
      </c>
      <c r="L194">
        <f t="shared" si="18"/>
        <v>404</v>
      </c>
      <c r="M194" t="str">
        <f>IF(NOT(ISERROR(VLOOKUP(B194&amp;" HD",B:B,1,FALSE))),VLOOKUP(B194&amp;" HD",K:L,2,FALSE),"")</f>
        <v/>
      </c>
      <c r="N194" t="str">
        <f>IF(NOT(ISERROR(VLOOKUP(B194&amp;" +1",B:B,1,FALSE))),VLOOKUP(B194&amp;" +1",K:L,2,FALSE),"")</f>
        <v/>
      </c>
      <c r="P194" t="str">
        <f t="shared" si="16"/>
        <v xml:space="preserve">      404:
        name: Sky Cinema Greats HD
        package: Premium</v>
      </c>
    </row>
    <row r="195" spans="1:16" x14ac:dyDescent="0.25">
      <c r="A195">
        <v>405</v>
      </c>
      <c r="B195" t="s">
        <v>152</v>
      </c>
      <c r="D195" t="s">
        <v>279</v>
      </c>
      <c r="E195" t="s">
        <v>279</v>
      </c>
      <c r="I195" t="str">
        <f t="shared" si="17"/>
        <v>Premium</v>
      </c>
      <c r="K195" t="str">
        <f t="shared" ref="K195:K255" si="22">IF(IFERROR(FIND("&amp;",B195),0)=0,B195,CONCATENATE("'",B195,"'"))</f>
        <v>Sky Cinema Disney HD</v>
      </c>
      <c r="L195">
        <f t="shared" si="18"/>
        <v>405</v>
      </c>
      <c r="M195" t="str">
        <f>IF(NOT(ISERROR(VLOOKUP(B195&amp;" HD",B:B,1,FALSE))),VLOOKUP(B195&amp;" HD",K:L,2,FALSE),"")</f>
        <v/>
      </c>
      <c r="N195" t="str">
        <f>IF(NOT(ISERROR(VLOOKUP(B195&amp;" +1",B:B,1,FALSE))),VLOOKUP(B195&amp;" +1",K:L,2,FALSE),"")</f>
        <v/>
      </c>
      <c r="P195" t="str">
        <f t="shared" ref="P195:P258" si="23">SUBSTITUTE(CONCATENATE("      ",A195,":","\nname: ",K195,IF(C195&lt;&gt;"","\nshow: "&amp;C195,""),IF(I195&lt;&gt;"","\npackage: "&amp;I195,""),IF(D195&lt;&gt;"","\nhd_channel: "&amp;D195,""),IF(E195&lt;&gt;"","\nplus_one: "&amp;E195,""),IF(F195&lt;&gt;"","\nlogo: "&amp;F195,""),IF(G195&lt;&gt;"","\ntarget: "&amp;G195,""),IF(H195&lt;&gt;"","\nsource: "&amp;H195,"")),"\n",CHAR(10)&amp;"        ")</f>
        <v xml:space="preserve">      405:
        name: Sky Cinema Disney HD
        package: Premium</v>
      </c>
    </row>
    <row r="196" spans="1:16" x14ac:dyDescent="0.25">
      <c r="A196">
        <v>406</v>
      </c>
      <c r="B196" t="s">
        <v>153</v>
      </c>
      <c r="D196" t="s">
        <v>279</v>
      </c>
      <c r="E196" t="s">
        <v>279</v>
      </c>
      <c r="I196" t="str">
        <f t="shared" ref="I196:I256" si="24">VLOOKUP(A196,PACKAGES,6,FALSE)</f>
        <v>Premium</v>
      </c>
      <c r="K196" t="str">
        <f t="shared" si="22"/>
        <v>Sky Cinema Family HD</v>
      </c>
      <c r="L196">
        <f t="shared" si="18"/>
        <v>406</v>
      </c>
      <c r="M196" t="str">
        <f>IF(NOT(ISERROR(VLOOKUP(B196&amp;" HD",B:B,1,FALSE))),VLOOKUP(B196&amp;" HD",K:L,2,FALSE),"")</f>
        <v/>
      </c>
      <c r="N196" t="str">
        <f>IF(NOT(ISERROR(VLOOKUP(B196&amp;" +1",B:B,1,FALSE))),VLOOKUP(B196&amp;" +1",K:L,2,FALSE),"")</f>
        <v/>
      </c>
      <c r="P196" t="str">
        <f t="shared" si="23"/>
        <v xml:space="preserve">      406:
        name: Sky Cinema Family HD
        package: Premium</v>
      </c>
    </row>
    <row r="197" spans="1:16" x14ac:dyDescent="0.25">
      <c r="A197">
        <v>407</v>
      </c>
      <c r="B197" t="s">
        <v>321</v>
      </c>
      <c r="D197" t="s">
        <v>279</v>
      </c>
      <c r="E197" t="s">
        <v>279</v>
      </c>
      <c r="I197" t="str">
        <f t="shared" si="24"/>
        <v>Premium</v>
      </c>
      <c r="K197" t="str">
        <f t="shared" si="22"/>
        <v>Sky Cinema Action HD</v>
      </c>
      <c r="L197">
        <f t="shared" si="18"/>
        <v>407</v>
      </c>
      <c r="M197" t="str">
        <f>IF(NOT(ISERROR(VLOOKUP(B197&amp;" HD",B:B,1,FALSE))),VLOOKUP(B197&amp;" HD",K:L,2,FALSE),"")</f>
        <v/>
      </c>
      <c r="N197" t="str">
        <f>IF(NOT(ISERROR(VLOOKUP(B197&amp;" +1",B:B,1,FALSE))),VLOOKUP(B197&amp;" +1",K:L,2,FALSE),"")</f>
        <v/>
      </c>
      <c r="P197" t="str">
        <f t="shared" si="23"/>
        <v xml:space="preserve">      407:
        name: Sky Cinema Action HD
        package: Premium</v>
      </c>
    </row>
    <row r="198" spans="1:16" x14ac:dyDescent="0.25">
      <c r="A198">
        <v>408</v>
      </c>
      <c r="B198" t="s">
        <v>154</v>
      </c>
      <c r="D198" t="s">
        <v>279</v>
      </c>
      <c r="E198" t="s">
        <v>279</v>
      </c>
      <c r="I198" t="str">
        <f t="shared" si="24"/>
        <v>Premium</v>
      </c>
      <c r="K198" t="str">
        <f t="shared" si="22"/>
        <v>Sky Cinema Comedy HD</v>
      </c>
      <c r="L198">
        <f t="shared" si="18"/>
        <v>408</v>
      </c>
      <c r="M198" t="str">
        <f>IF(NOT(ISERROR(VLOOKUP(B198&amp;" HD",B:B,1,FALSE))),VLOOKUP(B198&amp;" HD",K:L,2,FALSE),"")</f>
        <v/>
      </c>
      <c r="N198" t="str">
        <f>IF(NOT(ISERROR(VLOOKUP(B198&amp;" +1",B:B,1,FALSE))),VLOOKUP(B198&amp;" +1",K:L,2,FALSE),"")</f>
        <v/>
      </c>
      <c r="P198" t="str">
        <f t="shared" si="23"/>
        <v xml:space="preserve">      408:
        name: Sky Cinema Comedy HD
        package: Premium</v>
      </c>
    </row>
    <row r="199" spans="1:16" x14ac:dyDescent="0.25">
      <c r="A199">
        <v>409</v>
      </c>
      <c r="B199" t="s">
        <v>322</v>
      </c>
      <c r="D199" t="s">
        <v>279</v>
      </c>
      <c r="E199" t="s">
        <v>279</v>
      </c>
      <c r="I199" t="str">
        <f t="shared" si="24"/>
        <v>Premium</v>
      </c>
      <c r="K199" t="str">
        <f t="shared" si="22"/>
        <v>Sky Cinema Thriller HD</v>
      </c>
      <c r="L199">
        <f t="shared" si="18"/>
        <v>409</v>
      </c>
      <c r="M199" t="str">
        <f>IF(NOT(ISERROR(VLOOKUP(B199&amp;" HD",B:B,1,FALSE))),VLOOKUP(B199&amp;" HD",K:L,2,FALSE),"")</f>
        <v/>
      </c>
      <c r="N199" t="str">
        <f>IF(NOT(ISERROR(VLOOKUP(B199&amp;" +1",B:B,1,FALSE))),VLOOKUP(B199&amp;" +1",K:L,2,FALSE),"")</f>
        <v/>
      </c>
      <c r="P199" t="str">
        <f t="shared" si="23"/>
        <v xml:space="preserve">      409:
        name: Sky Cinema Thriller HD
        package: Premium</v>
      </c>
    </row>
    <row r="200" spans="1:16" x14ac:dyDescent="0.25">
      <c r="A200">
        <v>410</v>
      </c>
      <c r="B200" t="s">
        <v>323</v>
      </c>
      <c r="D200" t="s">
        <v>279</v>
      </c>
      <c r="E200" t="s">
        <v>279</v>
      </c>
      <c r="I200" t="str">
        <f t="shared" si="24"/>
        <v>Premium</v>
      </c>
      <c r="K200" t="str">
        <f t="shared" si="22"/>
        <v>Sky Cinema Drama HD</v>
      </c>
      <c r="L200">
        <f t="shared" si="18"/>
        <v>410</v>
      </c>
      <c r="M200" t="str">
        <f>IF(NOT(ISERROR(VLOOKUP(B200&amp;" HD",B:B,1,FALSE))),VLOOKUP(B200&amp;" HD",K:L,2,FALSE),"")</f>
        <v/>
      </c>
      <c r="N200" t="str">
        <f>IF(NOT(ISERROR(VLOOKUP(B200&amp;" +1",B:B,1,FALSE))),VLOOKUP(B200&amp;" +1",K:L,2,FALSE),"")</f>
        <v/>
      </c>
      <c r="P200" t="str">
        <f t="shared" si="23"/>
        <v xml:space="preserve">      410:
        name: Sky Cinema Drama HD
        package: Premium</v>
      </c>
    </row>
    <row r="201" spans="1:16" x14ac:dyDescent="0.25">
      <c r="A201">
        <v>411</v>
      </c>
      <c r="B201" t="s">
        <v>559</v>
      </c>
      <c r="D201" t="s">
        <v>279</v>
      </c>
      <c r="E201" t="s">
        <v>279</v>
      </c>
      <c r="I201" t="str">
        <f t="shared" si="24"/>
        <v>Premium</v>
      </c>
      <c r="K201" t="str">
        <f t="shared" si="22"/>
        <v>'Sky Cinema Sci Fi &amp; Horror HD'</v>
      </c>
      <c r="L201">
        <f t="shared" si="18"/>
        <v>411</v>
      </c>
      <c r="M201" t="str">
        <f>IF(NOT(ISERROR(VLOOKUP(B201&amp;" HD",B:B,1,FALSE))),VLOOKUP(B201&amp;" HD",K:L,2,FALSE),"")</f>
        <v/>
      </c>
      <c r="N201" t="str">
        <f>IF(NOT(ISERROR(VLOOKUP(B201&amp;" +1",B:B,1,FALSE))),VLOOKUP(B201&amp;" +1",K:L,2,FALSE),"")</f>
        <v/>
      </c>
      <c r="P201" t="str">
        <f t="shared" si="23"/>
        <v xml:space="preserve">      411:
        name: 'Sky Cinema Sci Fi &amp; Horror HD'
        package: Premium</v>
      </c>
    </row>
    <row r="202" spans="1:16" x14ac:dyDescent="0.25">
      <c r="A202">
        <v>412</v>
      </c>
      <c r="B202" t="s">
        <v>155</v>
      </c>
      <c r="D202" t="s">
        <v>279</v>
      </c>
      <c r="E202" t="s">
        <v>279</v>
      </c>
      <c r="I202" t="str">
        <f t="shared" si="24"/>
        <v>Premium</v>
      </c>
      <c r="K202" t="str">
        <f t="shared" si="22"/>
        <v>Sky Cinema Select HD</v>
      </c>
      <c r="L202">
        <f t="shared" si="18"/>
        <v>412</v>
      </c>
      <c r="M202" t="str">
        <f>IF(NOT(ISERROR(VLOOKUP(B202&amp;" HD",B:B,1,FALSE))),VLOOKUP(B202&amp;" HD",K:L,2,FALSE),"")</f>
        <v/>
      </c>
      <c r="N202" t="str">
        <f>IF(NOT(ISERROR(VLOOKUP(B202&amp;" +1",B:B,1,FALSE))),VLOOKUP(B202&amp;" +1",K:L,2,FALSE),"")</f>
        <v/>
      </c>
      <c r="P202" t="str">
        <f t="shared" si="23"/>
        <v xml:space="preserve">      412:
        name: Sky Cinema Select HD
        package: Premium</v>
      </c>
    </row>
    <row r="203" spans="1:16" x14ac:dyDescent="0.25">
      <c r="A203">
        <v>415</v>
      </c>
      <c r="B203" t="s">
        <v>156</v>
      </c>
      <c r="D203">
        <v>416</v>
      </c>
      <c r="E203">
        <v>417</v>
      </c>
      <c r="I203" t="str">
        <f t="shared" si="24"/>
        <v>Mix</v>
      </c>
      <c r="K203" t="str">
        <f t="shared" si="22"/>
        <v>TCM</v>
      </c>
      <c r="L203">
        <f t="shared" si="18"/>
        <v>415</v>
      </c>
      <c r="M203">
        <f>IF(NOT(ISERROR(VLOOKUP(B203&amp;" HD",B:B,1,FALSE))),VLOOKUP(B203&amp;" HD",K:L,2,FALSE),"")</f>
        <v>416</v>
      </c>
      <c r="N203">
        <f>IF(NOT(ISERROR(VLOOKUP(B203&amp;" +1",B:B,1,FALSE))),VLOOKUP(B203&amp;" +1",K:L,2,FALSE),"")</f>
        <v>417</v>
      </c>
      <c r="P203" t="str">
        <f t="shared" si="23"/>
        <v xml:space="preserve">      415:
        name: TCM
        package: Mix
        hd_channel: 416
        plus_one: 417</v>
      </c>
    </row>
    <row r="204" spans="1:16" x14ac:dyDescent="0.25">
      <c r="A204">
        <v>416</v>
      </c>
      <c r="B204" t="s">
        <v>157</v>
      </c>
      <c r="D204" t="s">
        <v>279</v>
      </c>
      <c r="E204" t="s">
        <v>279</v>
      </c>
      <c r="I204" t="str">
        <f t="shared" si="24"/>
        <v>Full House</v>
      </c>
      <c r="K204" t="str">
        <f t="shared" si="22"/>
        <v>TCM HD</v>
      </c>
      <c r="L204">
        <f t="shared" si="18"/>
        <v>416</v>
      </c>
      <c r="M204" t="str">
        <f>IF(NOT(ISERROR(VLOOKUP(B204&amp;" HD",B:B,1,FALSE))),VLOOKUP(B204&amp;" HD",K:L,2,FALSE),"")</f>
        <v/>
      </c>
      <c r="N204" t="str">
        <f>IF(NOT(ISERROR(VLOOKUP(B204&amp;" +1",B:B,1,FALSE))),VLOOKUP(B204&amp;" +1",K:L,2,FALSE),"")</f>
        <v/>
      </c>
      <c r="P204" t="str">
        <f t="shared" si="23"/>
        <v xml:space="preserve">      416:
        name: TCM HD
        package: Full House</v>
      </c>
    </row>
    <row r="205" spans="1:16" x14ac:dyDescent="0.25">
      <c r="A205">
        <v>417</v>
      </c>
      <c r="B205" t="s">
        <v>158</v>
      </c>
      <c r="D205" t="s">
        <v>279</v>
      </c>
      <c r="E205" t="s">
        <v>279</v>
      </c>
      <c r="I205" t="str">
        <f t="shared" si="24"/>
        <v>Mix</v>
      </c>
      <c r="K205" t="str">
        <f t="shared" si="22"/>
        <v>TCM +1</v>
      </c>
      <c r="L205">
        <f t="shared" si="18"/>
        <v>417</v>
      </c>
      <c r="M205" t="str">
        <f>IF(NOT(ISERROR(VLOOKUP(B205&amp;" HD",B:B,1,FALSE))),VLOOKUP(B205&amp;" HD",K:L,2,FALSE),"")</f>
        <v/>
      </c>
      <c r="N205" t="str">
        <f>IF(NOT(ISERROR(VLOOKUP(B205&amp;" +1",B:B,1,FALSE))),VLOOKUP(B205&amp;" +1",K:L,2,FALSE),"")</f>
        <v/>
      </c>
      <c r="P205" t="str">
        <f t="shared" si="23"/>
        <v xml:space="preserve">      417:
        name: TCM +1
        package: Mix</v>
      </c>
    </row>
    <row r="206" spans="1:16" x14ac:dyDescent="0.25">
      <c r="A206">
        <v>419</v>
      </c>
      <c r="B206" t="s">
        <v>159</v>
      </c>
      <c r="D206" t="s">
        <v>279</v>
      </c>
      <c r="E206">
        <v>420</v>
      </c>
      <c r="I206" t="str">
        <f t="shared" si="24"/>
        <v>Mix</v>
      </c>
      <c r="K206" t="str">
        <f t="shared" si="22"/>
        <v>Movies 24</v>
      </c>
      <c r="L206">
        <f t="shared" si="18"/>
        <v>419</v>
      </c>
      <c r="M206" t="str">
        <f>IF(NOT(ISERROR(VLOOKUP(B206&amp;" HD",B:B,1,FALSE))),VLOOKUP(B206&amp;" HD",K:L,2,FALSE),"")</f>
        <v/>
      </c>
      <c r="N206" t="str">
        <f>IF(NOT(ISERROR(VLOOKUP(B206&amp;" +1",B:B,1,FALSE))),VLOOKUP(B206&amp;" +1",K:L,2,FALSE),"")</f>
        <v/>
      </c>
      <c r="P206" t="str">
        <f t="shared" si="23"/>
        <v xml:space="preserve">      419:
        name: Movies 24
        package: Mix
        plus_one: 420</v>
      </c>
    </row>
    <row r="207" spans="1:16" x14ac:dyDescent="0.25">
      <c r="A207">
        <v>420</v>
      </c>
      <c r="B207" t="s">
        <v>324</v>
      </c>
      <c r="D207" t="s">
        <v>279</v>
      </c>
      <c r="E207" t="s">
        <v>279</v>
      </c>
      <c r="I207" t="str">
        <f t="shared" si="24"/>
        <v>Mix</v>
      </c>
      <c r="K207" t="str">
        <f t="shared" si="22"/>
        <v>Movies 24 + 1</v>
      </c>
      <c r="L207">
        <f t="shared" si="18"/>
        <v>420</v>
      </c>
      <c r="M207" t="str">
        <f>IF(NOT(ISERROR(VLOOKUP(B207&amp;" HD",B:B,1,FALSE))),VLOOKUP(B207&amp;" HD",K:L,2,FALSE),"")</f>
        <v/>
      </c>
      <c r="N207" t="str">
        <f>IF(NOT(ISERROR(VLOOKUP(B207&amp;" +1",B:B,1,FALSE))),VLOOKUP(B207&amp;" +1",K:L,2,FALSE),"")</f>
        <v/>
      </c>
      <c r="P207" t="str">
        <f t="shared" si="23"/>
        <v xml:space="preserve">      420:
        name: Movies 24 + 1
        package: Mix</v>
      </c>
    </row>
    <row r="208" spans="1:16" x14ac:dyDescent="0.25">
      <c r="A208">
        <v>424</v>
      </c>
      <c r="B208" t="s">
        <v>325</v>
      </c>
      <c r="D208" t="s">
        <v>279</v>
      </c>
      <c r="E208" t="s">
        <v>279</v>
      </c>
      <c r="I208" t="str">
        <f t="shared" si="24"/>
        <v>Player</v>
      </c>
      <c r="K208" t="str">
        <f t="shared" si="22"/>
        <v>True Movies</v>
      </c>
      <c r="L208">
        <f t="shared" si="18"/>
        <v>424</v>
      </c>
      <c r="M208" t="str">
        <f>IF(NOT(ISERROR(VLOOKUP(B208&amp;" HD",B:B,1,FALSE))),VLOOKUP(B208&amp;" HD",K:L,2,FALSE),"")</f>
        <v/>
      </c>
      <c r="N208" t="str">
        <f>IF(NOT(ISERROR(VLOOKUP(B208&amp;" +1",B:B,1,FALSE))),VLOOKUP(B208&amp;" +1",K:L,2,FALSE),"")</f>
        <v/>
      </c>
      <c r="P208" t="str">
        <f t="shared" si="23"/>
        <v xml:space="preserve">      424:
        name: True Movies
        package: Player</v>
      </c>
    </row>
    <row r="209" spans="1:16" x14ac:dyDescent="0.25">
      <c r="A209">
        <v>425</v>
      </c>
      <c r="B209" t="s">
        <v>160</v>
      </c>
      <c r="D209" t="s">
        <v>279</v>
      </c>
      <c r="E209" t="s">
        <v>279</v>
      </c>
      <c r="I209" t="str">
        <f t="shared" si="24"/>
        <v>Player</v>
      </c>
      <c r="K209" t="str">
        <f t="shared" si="22"/>
        <v>Sony Movie Channel</v>
      </c>
      <c r="L209">
        <f t="shared" si="18"/>
        <v>425</v>
      </c>
      <c r="M209" t="str">
        <f>IF(NOT(ISERROR(VLOOKUP(B209&amp;" HD",B:B,1,FALSE))),VLOOKUP(B209&amp;" HD",K:L,2,FALSE),"")</f>
        <v/>
      </c>
      <c r="N209" t="str">
        <f>IF(NOT(ISERROR(VLOOKUP(B209&amp;" +1",B:B,1,FALSE))),VLOOKUP(B209&amp;" +1",K:L,2,FALSE),"")</f>
        <v/>
      </c>
      <c r="P209" t="str">
        <f t="shared" si="23"/>
        <v xml:space="preserve">      425:
        name: Sony Movie Channel
        package: Player</v>
      </c>
    </row>
    <row r="210" spans="1:16" x14ac:dyDescent="0.25">
      <c r="A210">
        <v>426</v>
      </c>
      <c r="B210" t="s">
        <v>161</v>
      </c>
      <c r="D210" t="s">
        <v>279</v>
      </c>
      <c r="E210" t="s">
        <v>279</v>
      </c>
      <c r="I210" t="str">
        <f t="shared" si="24"/>
        <v>Player</v>
      </c>
      <c r="K210" t="str">
        <f t="shared" si="22"/>
        <v>Movies4Men</v>
      </c>
      <c r="L210">
        <f t="shared" si="18"/>
        <v>426</v>
      </c>
      <c r="M210" t="str">
        <f>IF(NOT(ISERROR(VLOOKUP(B210&amp;" HD",B:B,1,FALSE))),VLOOKUP(B210&amp;" HD",K:L,2,FALSE),"")</f>
        <v/>
      </c>
      <c r="N210" t="str">
        <f>IF(NOT(ISERROR(VLOOKUP(B210&amp;" +1",B:B,1,FALSE))),VLOOKUP(B210&amp;" +1",K:L,2,FALSE),"")</f>
        <v/>
      </c>
      <c r="P210" t="str">
        <f t="shared" si="23"/>
        <v xml:space="preserve">      426:
        name: Movies4Men
        package: Player</v>
      </c>
    </row>
    <row r="211" spans="1:16" x14ac:dyDescent="0.25">
      <c r="A211">
        <v>428</v>
      </c>
      <c r="B211" t="s">
        <v>162</v>
      </c>
      <c r="C211" t="str">
        <f>"true"</f>
        <v>true</v>
      </c>
      <c r="D211">
        <v>429</v>
      </c>
      <c r="E211">
        <v>430</v>
      </c>
      <c r="I211" t="str">
        <f t="shared" si="24"/>
        <v>Player</v>
      </c>
      <c r="K211" t="str">
        <f t="shared" si="22"/>
        <v>Film4</v>
      </c>
      <c r="L211">
        <f t="shared" ref="L211:L271" si="25">A211</f>
        <v>428</v>
      </c>
      <c r="M211">
        <f>IF(NOT(ISERROR(VLOOKUP(B211&amp;" HD",B:B,1,FALSE))),VLOOKUP(B211&amp;" HD",K:L,2,FALSE),"")</f>
        <v>429</v>
      </c>
      <c r="N211">
        <f>IF(NOT(ISERROR(VLOOKUP(B211&amp;" +1",B:B,1,FALSE))),VLOOKUP(B211&amp;" +1",K:L,2,FALSE),"")</f>
        <v>430</v>
      </c>
      <c r="P211" t="str">
        <f t="shared" si="23"/>
        <v xml:space="preserve">      428:
        name: Film4
        show: true
        package: Player
        hd_channel: 429
        plus_one: 430</v>
      </c>
    </row>
    <row r="212" spans="1:16" x14ac:dyDescent="0.25">
      <c r="A212">
        <v>429</v>
      </c>
      <c r="B212" t="s">
        <v>163</v>
      </c>
      <c r="D212" t="s">
        <v>279</v>
      </c>
      <c r="E212" t="s">
        <v>279</v>
      </c>
      <c r="I212" t="str">
        <f t="shared" si="24"/>
        <v>Mix</v>
      </c>
      <c r="K212" t="str">
        <f t="shared" si="22"/>
        <v>Film4 HD</v>
      </c>
      <c r="L212">
        <f t="shared" si="25"/>
        <v>429</v>
      </c>
      <c r="M212" t="str">
        <f>IF(NOT(ISERROR(VLOOKUP(B212&amp;" HD",B:B,1,FALSE))),VLOOKUP(B212&amp;" HD",K:L,2,FALSE),"")</f>
        <v/>
      </c>
      <c r="N212" t="str">
        <f>IF(NOT(ISERROR(VLOOKUP(B212&amp;" +1",B:B,1,FALSE))),VLOOKUP(B212&amp;" +1",K:L,2,FALSE),"")</f>
        <v/>
      </c>
      <c r="P212" t="str">
        <f t="shared" si="23"/>
        <v xml:space="preserve">      429:
        name: Film4 HD
        package: Mix</v>
      </c>
    </row>
    <row r="213" spans="1:16" x14ac:dyDescent="0.25">
      <c r="A213">
        <v>430</v>
      </c>
      <c r="B213" t="s">
        <v>164</v>
      </c>
      <c r="D213" t="s">
        <v>279</v>
      </c>
      <c r="E213" t="s">
        <v>279</v>
      </c>
      <c r="I213" t="str">
        <f t="shared" si="24"/>
        <v>Mix</v>
      </c>
      <c r="K213" t="str">
        <f t="shared" si="22"/>
        <v>Film4 +1</v>
      </c>
      <c r="L213">
        <f t="shared" si="25"/>
        <v>430</v>
      </c>
      <c r="M213" t="str">
        <f>IF(NOT(ISERROR(VLOOKUP(B213&amp;" HD",B:B,1,FALSE))),VLOOKUP(B213&amp;" HD",K:L,2,FALSE),"")</f>
        <v/>
      </c>
      <c r="N213" t="str">
        <f>IF(NOT(ISERROR(VLOOKUP(B213&amp;" +1",B:B,1,FALSE))),VLOOKUP(B213&amp;" +1",K:L,2,FALSE),"")</f>
        <v/>
      </c>
      <c r="P213" t="str">
        <f t="shared" si="23"/>
        <v xml:space="preserve">      430:
        name: Film4 +1
        package: Mix</v>
      </c>
    </row>
    <row r="214" spans="1:16" x14ac:dyDescent="0.25">
      <c r="A214">
        <v>431</v>
      </c>
      <c r="B214" t="s">
        <v>165</v>
      </c>
      <c r="D214">
        <v>401</v>
      </c>
      <c r="E214">
        <v>432</v>
      </c>
      <c r="I214" t="str">
        <f t="shared" si="24"/>
        <v>Premium</v>
      </c>
      <c r="K214" t="str">
        <f t="shared" si="22"/>
        <v>Sky Cinema Premiere</v>
      </c>
      <c r="L214">
        <f t="shared" si="25"/>
        <v>431</v>
      </c>
      <c r="M214">
        <f>IF(NOT(ISERROR(VLOOKUP(B214&amp;" HD",B:B,1,FALSE))),VLOOKUP(B214&amp;" HD",K:L,2,FALSE),"")</f>
        <v>401</v>
      </c>
      <c r="N214">
        <f>IF(NOT(ISERROR(VLOOKUP(B214&amp;" +1",B:B,1,FALSE))),VLOOKUP(B214&amp;" +1",K:L,2,FALSE),"")</f>
        <v>402</v>
      </c>
      <c r="P214" t="str">
        <f t="shared" si="23"/>
        <v xml:space="preserve">      431:
        name: Sky Cinema Premiere
        package: Premium
        hd_channel: 401
        plus_one: 432</v>
      </c>
    </row>
    <row r="215" spans="1:16" x14ac:dyDescent="0.25">
      <c r="A215">
        <v>433</v>
      </c>
      <c r="B215" t="s">
        <v>167</v>
      </c>
      <c r="D215">
        <v>403</v>
      </c>
      <c r="E215" t="s">
        <v>279</v>
      </c>
      <c r="I215" t="str">
        <f t="shared" si="24"/>
        <v>Premium</v>
      </c>
      <c r="K215" t="str">
        <f t="shared" si="22"/>
        <v>Sky Cinema Hits</v>
      </c>
      <c r="L215">
        <f t="shared" si="25"/>
        <v>433</v>
      </c>
      <c r="M215">
        <f>IF(NOT(ISERROR(VLOOKUP(B215&amp;" HD",B:B,1,FALSE))),VLOOKUP(B215&amp;" HD",K:L,2,FALSE),"")</f>
        <v>403</v>
      </c>
      <c r="N215" t="str">
        <f>IF(NOT(ISERROR(VLOOKUP(B215&amp;" +1",B:B,1,FALSE))),VLOOKUP(B215&amp;" +1",K:L,2,FALSE),"")</f>
        <v/>
      </c>
      <c r="P215" t="str">
        <f t="shared" si="23"/>
        <v xml:space="preserve">      433:
        name: Sky Cinema Hits
        package: Premium
        hd_channel: 403</v>
      </c>
    </row>
    <row r="216" spans="1:16" x14ac:dyDescent="0.25">
      <c r="A216">
        <v>434</v>
      </c>
      <c r="B216" t="s">
        <v>168</v>
      </c>
      <c r="D216">
        <v>404</v>
      </c>
      <c r="E216" t="s">
        <v>279</v>
      </c>
      <c r="I216" t="str">
        <f t="shared" si="24"/>
        <v>Premium</v>
      </c>
      <c r="K216" t="str">
        <f t="shared" si="22"/>
        <v>Sky Cinema Greats</v>
      </c>
      <c r="L216">
        <f t="shared" si="25"/>
        <v>434</v>
      </c>
      <c r="M216">
        <f>IF(NOT(ISERROR(VLOOKUP(B216&amp;" HD",B:B,1,FALSE))),VLOOKUP(B216&amp;" HD",K:L,2,FALSE),"")</f>
        <v>404</v>
      </c>
      <c r="N216" t="str">
        <f>IF(NOT(ISERROR(VLOOKUP(B216&amp;" +1",B:B,1,FALSE))),VLOOKUP(B216&amp;" +1",K:L,2,FALSE),"")</f>
        <v/>
      </c>
      <c r="P216" t="str">
        <f t="shared" si="23"/>
        <v xml:space="preserve">      434:
        name: Sky Cinema Greats
        package: Premium
        hd_channel: 404</v>
      </c>
    </row>
    <row r="217" spans="1:16" x14ac:dyDescent="0.25">
      <c r="A217">
        <v>435</v>
      </c>
      <c r="B217" t="s">
        <v>169</v>
      </c>
      <c r="D217">
        <v>405</v>
      </c>
      <c r="E217" t="s">
        <v>279</v>
      </c>
      <c r="I217" t="str">
        <f t="shared" si="24"/>
        <v>Premium</v>
      </c>
      <c r="K217" t="str">
        <f t="shared" si="22"/>
        <v>Sky Cinema Disney</v>
      </c>
      <c r="L217">
        <f t="shared" si="25"/>
        <v>435</v>
      </c>
      <c r="M217">
        <f>IF(NOT(ISERROR(VLOOKUP(B217&amp;" HD",B:B,1,FALSE))),VLOOKUP(B217&amp;" HD",K:L,2,FALSE),"")</f>
        <v>405</v>
      </c>
      <c r="N217" t="str">
        <f>IF(NOT(ISERROR(VLOOKUP(B217&amp;" +1",B:B,1,FALSE))),VLOOKUP(B217&amp;" +1",K:L,2,FALSE),"")</f>
        <v/>
      </c>
      <c r="P217" t="str">
        <f t="shared" si="23"/>
        <v xml:space="preserve">      435:
        name: Sky Cinema Disney
        package: Premium
        hd_channel: 405</v>
      </c>
    </row>
    <row r="218" spans="1:16" x14ac:dyDescent="0.25">
      <c r="A218">
        <v>436</v>
      </c>
      <c r="B218" t="s">
        <v>170</v>
      </c>
      <c r="D218">
        <v>406</v>
      </c>
      <c r="E218" t="s">
        <v>279</v>
      </c>
      <c r="I218" t="str">
        <f t="shared" si="24"/>
        <v>Premium</v>
      </c>
      <c r="K218" t="str">
        <f t="shared" si="22"/>
        <v>Sky Cinema Family</v>
      </c>
      <c r="L218">
        <f t="shared" si="25"/>
        <v>436</v>
      </c>
      <c r="M218">
        <f>IF(NOT(ISERROR(VLOOKUP(B218&amp;" HD",B:B,1,FALSE))),VLOOKUP(B218&amp;" HD",K:L,2,FALSE),"")</f>
        <v>406</v>
      </c>
      <c r="N218" t="str">
        <f>IF(NOT(ISERROR(VLOOKUP(B218&amp;" +1",B:B,1,FALSE))),VLOOKUP(B218&amp;" +1",K:L,2,FALSE),"")</f>
        <v/>
      </c>
      <c r="P218" t="str">
        <f t="shared" si="23"/>
        <v xml:space="preserve">      436:
        name: Sky Cinema Family
        package: Premium
        hd_channel: 406</v>
      </c>
    </row>
    <row r="219" spans="1:16" x14ac:dyDescent="0.25">
      <c r="A219">
        <v>437</v>
      </c>
      <c r="B219" t="s">
        <v>326</v>
      </c>
      <c r="D219">
        <v>407</v>
      </c>
      <c r="E219" t="s">
        <v>279</v>
      </c>
      <c r="I219" t="str">
        <f t="shared" si="24"/>
        <v>Premium</v>
      </c>
      <c r="K219" t="str">
        <f t="shared" si="22"/>
        <v>Sky Cinema Action</v>
      </c>
      <c r="L219">
        <f t="shared" si="25"/>
        <v>437</v>
      </c>
      <c r="M219">
        <f>IF(NOT(ISERROR(VLOOKUP(B219&amp;" HD",B:B,1,FALSE))),VLOOKUP(B219&amp;" HD",K:L,2,FALSE),"")</f>
        <v>407</v>
      </c>
      <c r="N219" t="str">
        <f>IF(NOT(ISERROR(VLOOKUP(B219&amp;" +1",B:B,1,FALSE))),VLOOKUP(B219&amp;" +1",K:L,2,FALSE),"")</f>
        <v/>
      </c>
      <c r="P219" t="str">
        <f t="shared" si="23"/>
        <v xml:space="preserve">      437:
        name: Sky Cinema Action
        package: Premium
        hd_channel: 407</v>
      </c>
    </row>
    <row r="220" spans="1:16" x14ac:dyDescent="0.25">
      <c r="A220">
        <v>438</v>
      </c>
      <c r="B220" t="s">
        <v>171</v>
      </c>
      <c r="D220">
        <v>408</v>
      </c>
      <c r="E220" t="s">
        <v>279</v>
      </c>
      <c r="I220" t="str">
        <f t="shared" si="24"/>
        <v>Premium</v>
      </c>
      <c r="K220" t="str">
        <f t="shared" si="22"/>
        <v>Sky Cinema Comedy</v>
      </c>
      <c r="L220">
        <f t="shared" si="25"/>
        <v>438</v>
      </c>
      <c r="M220">
        <f>IF(NOT(ISERROR(VLOOKUP(B220&amp;" HD",B:B,1,FALSE))),VLOOKUP(B220&amp;" HD",K:L,2,FALSE),"")</f>
        <v>408</v>
      </c>
      <c r="N220" t="str">
        <f>IF(NOT(ISERROR(VLOOKUP(B220&amp;" +1",B:B,1,FALSE))),VLOOKUP(B220&amp;" +1",K:L,2,FALSE),"")</f>
        <v/>
      </c>
      <c r="P220" t="str">
        <f t="shared" si="23"/>
        <v xml:space="preserve">      438:
        name: Sky Cinema Comedy
        package: Premium
        hd_channel: 408</v>
      </c>
    </row>
    <row r="221" spans="1:16" x14ac:dyDescent="0.25">
      <c r="A221">
        <v>439</v>
      </c>
      <c r="B221" t="s">
        <v>327</v>
      </c>
      <c r="D221">
        <v>409</v>
      </c>
      <c r="E221" t="s">
        <v>279</v>
      </c>
      <c r="I221" t="str">
        <f t="shared" si="24"/>
        <v>Premium</v>
      </c>
      <c r="K221" t="str">
        <f t="shared" si="22"/>
        <v>Sky Cinema Thriller</v>
      </c>
      <c r="L221">
        <f t="shared" si="25"/>
        <v>439</v>
      </c>
      <c r="M221">
        <f>IF(NOT(ISERROR(VLOOKUP(B221&amp;" HD",B:B,1,FALSE))),VLOOKUP(B221&amp;" HD",K:L,2,FALSE),"")</f>
        <v>409</v>
      </c>
      <c r="N221" t="str">
        <f>IF(NOT(ISERROR(VLOOKUP(B221&amp;" +1",B:B,1,FALSE))),VLOOKUP(B221&amp;" +1",K:L,2,FALSE),"")</f>
        <v/>
      </c>
      <c r="P221" t="str">
        <f t="shared" si="23"/>
        <v xml:space="preserve">      439:
        name: Sky Cinema Thriller
        package: Premium
        hd_channel: 409</v>
      </c>
    </row>
    <row r="222" spans="1:16" x14ac:dyDescent="0.25">
      <c r="A222">
        <v>440</v>
      </c>
      <c r="B222" t="s">
        <v>328</v>
      </c>
      <c r="D222">
        <v>410</v>
      </c>
      <c r="E222" t="s">
        <v>279</v>
      </c>
      <c r="I222" t="str">
        <f t="shared" si="24"/>
        <v>Premium</v>
      </c>
      <c r="K222" t="str">
        <f t="shared" si="22"/>
        <v>Sky Cinema Drama</v>
      </c>
      <c r="L222">
        <f t="shared" si="25"/>
        <v>440</v>
      </c>
      <c r="M222">
        <f>IF(NOT(ISERROR(VLOOKUP(B222&amp;" HD",B:B,1,FALSE))),VLOOKUP(B222&amp;" HD",K:L,2,FALSE),"")</f>
        <v>410</v>
      </c>
      <c r="N222" t="str">
        <f>IF(NOT(ISERROR(VLOOKUP(B222&amp;" +1",B:B,1,FALSE))),VLOOKUP(B222&amp;" +1",K:L,2,FALSE),"")</f>
        <v/>
      </c>
      <c r="P222" t="str">
        <f t="shared" si="23"/>
        <v xml:space="preserve">      440:
        name: Sky Cinema Drama
        package: Premium
        hd_channel: 410</v>
      </c>
    </row>
    <row r="223" spans="1:16" x14ac:dyDescent="0.25">
      <c r="A223">
        <v>441</v>
      </c>
      <c r="B223" t="s">
        <v>567</v>
      </c>
      <c r="D223">
        <v>411</v>
      </c>
      <c r="E223" t="s">
        <v>279</v>
      </c>
      <c r="I223" t="str">
        <f t="shared" si="24"/>
        <v>Premium</v>
      </c>
      <c r="K223" t="str">
        <f t="shared" si="22"/>
        <v>'Sky Cinema Sci Fi &amp; Horror'</v>
      </c>
      <c r="L223">
        <f t="shared" si="25"/>
        <v>441</v>
      </c>
      <c r="M223" t="e">
        <f>IF(NOT(ISERROR(VLOOKUP(B223&amp;" HD",B:B,1,FALSE))),VLOOKUP(B223&amp;" HD",K:L,2,FALSE),"")</f>
        <v>#N/A</v>
      </c>
      <c r="N223" t="str">
        <f>IF(NOT(ISERROR(VLOOKUP(B223&amp;" +1",B:B,1,FALSE))),VLOOKUP(B223&amp;" +1",K:L,2,FALSE),"")</f>
        <v/>
      </c>
      <c r="P223" t="str">
        <f t="shared" si="23"/>
        <v xml:space="preserve">      441:
        name: 'Sky Cinema Sci Fi &amp; Horror'
        package: Premium
        hd_channel: 411</v>
      </c>
    </row>
    <row r="224" spans="1:16" x14ac:dyDescent="0.25">
      <c r="A224">
        <v>442</v>
      </c>
      <c r="B224" t="s">
        <v>172</v>
      </c>
      <c r="D224">
        <v>412</v>
      </c>
      <c r="E224" t="s">
        <v>279</v>
      </c>
      <c r="I224" t="str">
        <f t="shared" si="24"/>
        <v>Premium</v>
      </c>
      <c r="K224" t="str">
        <f t="shared" si="22"/>
        <v>Sky Cinema Select</v>
      </c>
      <c r="L224">
        <f t="shared" si="25"/>
        <v>442</v>
      </c>
      <c r="M224">
        <f>IF(NOT(ISERROR(VLOOKUP(B224&amp;" HD",B:B,1,FALSE))),VLOOKUP(B224&amp;" HD",K:L,2,FALSE),"")</f>
        <v>412</v>
      </c>
      <c r="N224" t="str">
        <f>IF(NOT(ISERROR(VLOOKUP(B224&amp;" +1",B:B,1,FALSE))),VLOOKUP(B224&amp;" +1",K:L,2,FALSE),"")</f>
        <v/>
      </c>
      <c r="P224" t="str">
        <f t="shared" si="23"/>
        <v xml:space="preserve">      442:
        name: Sky Cinema Select
        package: Premium
        hd_channel: 412</v>
      </c>
    </row>
    <row r="225" spans="1:16" x14ac:dyDescent="0.25">
      <c r="A225">
        <v>445</v>
      </c>
      <c r="B225" t="s">
        <v>173</v>
      </c>
      <c r="D225" t="s">
        <v>279</v>
      </c>
      <c r="E225" t="s">
        <v>279</v>
      </c>
      <c r="I225" t="str">
        <f t="shared" si="24"/>
        <v>Player</v>
      </c>
      <c r="K225" t="str">
        <f t="shared" si="22"/>
        <v>Talking Pictures TV</v>
      </c>
      <c r="L225">
        <f t="shared" si="25"/>
        <v>445</v>
      </c>
      <c r="M225" t="str">
        <f>IF(NOT(ISERROR(VLOOKUP(B225&amp;" HD",B:B,1,FALSE))),VLOOKUP(B225&amp;" HD",K:L,2,FALSE),"")</f>
        <v/>
      </c>
      <c r="N225" t="str">
        <f>IF(NOT(ISERROR(VLOOKUP(B225&amp;" +1",B:B,1,FALSE))),VLOOKUP(B225&amp;" +1",K:L,2,FALSE),"")</f>
        <v/>
      </c>
      <c r="P225" t="str">
        <f t="shared" si="23"/>
        <v xml:space="preserve">      445:
        name: Talking Pictures TV
        package: Player</v>
      </c>
    </row>
    <row r="226" spans="1:16" x14ac:dyDescent="0.25">
      <c r="A226">
        <v>501</v>
      </c>
      <c r="B226" t="s">
        <v>174</v>
      </c>
      <c r="D226" t="s">
        <v>279</v>
      </c>
      <c r="E226" t="s">
        <v>279</v>
      </c>
      <c r="I226" t="str">
        <f t="shared" si="24"/>
        <v>Premium</v>
      </c>
      <c r="K226" t="str">
        <f t="shared" si="22"/>
        <v>Sky Sports Main Event HD</v>
      </c>
      <c r="L226">
        <f t="shared" si="25"/>
        <v>501</v>
      </c>
      <c r="M226" t="str">
        <f>IF(NOT(ISERROR(VLOOKUP(B226&amp;" HD",B:B,1,FALSE))),VLOOKUP(B226&amp;" HD",K:L,2,FALSE),"")</f>
        <v/>
      </c>
      <c r="N226" t="str">
        <f>IF(NOT(ISERROR(VLOOKUP(B226&amp;" +1",B:B,1,FALSE))),VLOOKUP(B226&amp;" +1",K:L,2,FALSE),"")</f>
        <v/>
      </c>
      <c r="P226" t="str">
        <f t="shared" si="23"/>
        <v xml:space="preserve">      501:
        name: Sky Sports Main Event HD
        package: Premium</v>
      </c>
    </row>
    <row r="227" spans="1:16" x14ac:dyDescent="0.25">
      <c r="A227">
        <v>502</v>
      </c>
      <c r="B227" t="s">
        <v>175</v>
      </c>
      <c r="D227" t="s">
        <v>279</v>
      </c>
      <c r="E227" t="s">
        <v>279</v>
      </c>
      <c r="I227" t="str">
        <f t="shared" si="24"/>
        <v>Premium</v>
      </c>
      <c r="K227" t="str">
        <f t="shared" si="22"/>
        <v>Sky Sports Premier League HD</v>
      </c>
      <c r="L227">
        <f t="shared" si="25"/>
        <v>502</v>
      </c>
      <c r="M227" t="str">
        <f>IF(NOT(ISERROR(VLOOKUP(B227&amp;" HD",B:B,1,FALSE))),VLOOKUP(B227&amp;" HD",K:L,2,FALSE),"")</f>
        <v/>
      </c>
      <c r="N227" t="str">
        <f>IF(NOT(ISERROR(VLOOKUP(B227&amp;" +1",B:B,1,FALSE))),VLOOKUP(B227&amp;" +1",K:L,2,FALSE),"")</f>
        <v/>
      </c>
      <c r="P227" t="str">
        <f t="shared" si="23"/>
        <v xml:space="preserve">      502:
        name: Sky Sports Premier League HD
        package: Premium</v>
      </c>
    </row>
    <row r="228" spans="1:16" x14ac:dyDescent="0.25">
      <c r="A228">
        <v>503</v>
      </c>
      <c r="B228" t="s">
        <v>176</v>
      </c>
      <c r="D228" t="s">
        <v>279</v>
      </c>
      <c r="E228" t="s">
        <v>279</v>
      </c>
      <c r="I228" t="str">
        <f t="shared" si="24"/>
        <v>Premium</v>
      </c>
      <c r="K228" t="str">
        <f t="shared" si="22"/>
        <v>Sky Sports Football HD</v>
      </c>
      <c r="L228">
        <f t="shared" si="25"/>
        <v>503</v>
      </c>
      <c r="M228" t="str">
        <f>IF(NOT(ISERROR(VLOOKUP(B228&amp;" HD",B:B,1,FALSE))),VLOOKUP(B228&amp;" HD",K:L,2,FALSE),"")</f>
        <v/>
      </c>
      <c r="N228" t="str">
        <f>IF(NOT(ISERROR(VLOOKUP(B228&amp;" +1",B:B,1,FALSE))),VLOOKUP(B228&amp;" +1",K:L,2,FALSE),"")</f>
        <v/>
      </c>
      <c r="P228" t="str">
        <f t="shared" si="23"/>
        <v xml:space="preserve">      503:
        name: Sky Sports Football HD
        package: Premium</v>
      </c>
    </row>
    <row r="229" spans="1:16" x14ac:dyDescent="0.25">
      <c r="A229">
        <v>504</v>
      </c>
      <c r="B229" t="s">
        <v>177</v>
      </c>
      <c r="D229" t="s">
        <v>279</v>
      </c>
      <c r="E229" t="s">
        <v>279</v>
      </c>
      <c r="I229" t="str">
        <f t="shared" si="24"/>
        <v>Premium</v>
      </c>
      <c r="K229" t="str">
        <f t="shared" si="22"/>
        <v>Sky Sports Cricket HD</v>
      </c>
      <c r="L229">
        <f t="shared" si="25"/>
        <v>504</v>
      </c>
      <c r="M229" t="str">
        <f>IF(NOT(ISERROR(VLOOKUP(B229&amp;" HD",B:B,1,FALSE))),VLOOKUP(B229&amp;" HD",K:L,2,FALSE),"")</f>
        <v/>
      </c>
      <c r="N229" t="str">
        <f>IF(NOT(ISERROR(VLOOKUP(B229&amp;" +1",B:B,1,FALSE))),VLOOKUP(B229&amp;" +1",K:L,2,FALSE),"")</f>
        <v/>
      </c>
      <c r="P229" t="str">
        <f t="shared" si="23"/>
        <v xml:space="preserve">      504:
        name: Sky Sports Cricket HD
        package: Premium</v>
      </c>
    </row>
    <row r="230" spans="1:16" x14ac:dyDescent="0.25">
      <c r="A230">
        <v>505</v>
      </c>
      <c r="B230" t="s">
        <v>178</v>
      </c>
      <c r="D230" t="s">
        <v>279</v>
      </c>
      <c r="E230" t="s">
        <v>279</v>
      </c>
      <c r="I230" t="str">
        <f t="shared" si="24"/>
        <v>Premium</v>
      </c>
      <c r="K230" t="str">
        <f t="shared" si="22"/>
        <v>Sky Sports Golf HD</v>
      </c>
      <c r="L230">
        <f t="shared" si="25"/>
        <v>505</v>
      </c>
      <c r="M230" t="str">
        <f>IF(NOT(ISERROR(VLOOKUP(B230&amp;" HD",B:B,1,FALSE))),VLOOKUP(B230&amp;" HD",K:L,2,FALSE),"")</f>
        <v/>
      </c>
      <c r="N230" t="str">
        <f>IF(NOT(ISERROR(VLOOKUP(B230&amp;" +1",B:B,1,FALSE))),VLOOKUP(B230&amp;" +1",K:L,2,FALSE),"")</f>
        <v/>
      </c>
      <c r="P230" t="str">
        <f t="shared" si="23"/>
        <v xml:space="preserve">      505:
        name: Sky Sports Golf HD
        package: Premium</v>
      </c>
    </row>
    <row r="231" spans="1:16" x14ac:dyDescent="0.25">
      <c r="A231">
        <v>506</v>
      </c>
      <c r="B231" t="s">
        <v>179</v>
      </c>
      <c r="D231" t="s">
        <v>279</v>
      </c>
      <c r="E231" t="s">
        <v>279</v>
      </c>
      <c r="I231" t="str">
        <f t="shared" si="24"/>
        <v>Premium</v>
      </c>
      <c r="K231" t="str">
        <f t="shared" si="22"/>
        <v>Sky Sports F1 HD</v>
      </c>
      <c r="L231">
        <f t="shared" si="25"/>
        <v>506</v>
      </c>
      <c r="M231" t="str">
        <f>IF(NOT(ISERROR(VLOOKUP(B231&amp;" HD",B:B,1,FALSE))),VLOOKUP(B231&amp;" HD",K:L,2,FALSE),"")</f>
        <v/>
      </c>
      <c r="N231" t="str">
        <f>IF(NOT(ISERROR(VLOOKUP(B231&amp;" +1",B:B,1,FALSE))),VLOOKUP(B231&amp;" +1",K:L,2,FALSE),"")</f>
        <v/>
      </c>
      <c r="P231" t="str">
        <f t="shared" si="23"/>
        <v xml:space="preserve">      506:
        name: Sky Sports F1 HD
        package: Premium</v>
      </c>
    </row>
    <row r="232" spans="1:16" x14ac:dyDescent="0.25">
      <c r="A232">
        <v>507</v>
      </c>
      <c r="B232" t="s">
        <v>180</v>
      </c>
      <c r="D232" t="s">
        <v>279</v>
      </c>
      <c r="E232" t="s">
        <v>279</v>
      </c>
      <c r="I232" t="str">
        <f t="shared" si="24"/>
        <v>Premium</v>
      </c>
      <c r="K232" t="str">
        <f t="shared" si="22"/>
        <v>Sky Sports Action HD</v>
      </c>
      <c r="L232">
        <f t="shared" si="25"/>
        <v>507</v>
      </c>
      <c r="M232" t="str">
        <f>IF(NOT(ISERROR(VLOOKUP(B232&amp;" HD",B:B,1,FALSE))),VLOOKUP(B232&amp;" HD",K:L,2,FALSE),"")</f>
        <v/>
      </c>
      <c r="N232" t="str">
        <f>IF(NOT(ISERROR(VLOOKUP(B232&amp;" +1",B:B,1,FALSE))),VLOOKUP(B232&amp;" +1",K:L,2,FALSE),"")</f>
        <v/>
      </c>
      <c r="P232" t="str">
        <f t="shared" si="23"/>
        <v xml:space="preserve">      507:
        name: Sky Sports Action HD
        package: Premium</v>
      </c>
    </row>
    <row r="233" spans="1:16" x14ac:dyDescent="0.25">
      <c r="A233">
        <v>508</v>
      </c>
      <c r="B233" t="s">
        <v>181</v>
      </c>
      <c r="D233" t="s">
        <v>279</v>
      </c>
      <c r="E233" t="s">
        <v>279</v>
      </c>
      <c r="I233" t="str">
        <f t="shared" si="24"/>
        <v>Premium</v>
      </c>
      <c r="K233" t="str">
        <f t="shared" si="22"/>
        <v>Sky Sports Arena HD</v>
      </c>
      <c r="L233">
        <f t="shared" si="25"/>
        <v>508</v>
      </c>
      <c r="M233" t="str">
        <f>IF(NOT(ISERROR(VLOOKUP(B233&amp;" HD",B:B,1,FALSE))),VLOOKUP(B233&amp;" HD",K:L,2,FALSE),"")</f>
        <v/>
      </c>
      <c r="N233" t="str">
        <f>IF(NOT(ISERROR(VLOOKUP(B233&amp;" +1",B:B,1,FALSE))),VLOOKUP(B233&amp;" +1",K:L,2,FALSE),"")</f>
        <v/>
      </c>
      <c r="P233" t="str">
        <f t="shared" si="23"/>
        <v xml:space="preserve">      508:
        name: Sky Sports Arena HD
        package: Premium</v>
      </c>
    </row>
    <row r="234" spans="1:16" x14ac:dyDescent="0.25">
      <c r="A234">
        <v>509</v>
      </c>
      <c r="B234" t="s">
        <v>182</v>
      </c>
      <c r="D234" t="s">
        <v>279</v>
      </c>
      <c r="E234" t="s">
        <v>279</v>
      </c>
      <c r="I234" t="str">
        <f t="shared" si="24"/>
        <v>Full House</v>
      </c>
      <c r="K234" t="str">
        <f t="shared" si="22"/>
        <v>Sky Sports News HD</v>
      </c>
      <c r="L234">
        <f t="shared" si="25"/>
        <v>509</v>
      </c>
      <c r="M234" t="str">
        <f>IF(NOT(ISERROR(VLOOKUP(B234&amp;" HD",B:B,1,FALSE))),VLOOKUP(B234&amp;" HD",K:L,2,FALSE),"")</f>
        <v/>
      </c>
      <c r="N234" t="str">
        <f>IF(NOT(ISERROR(VLOOKUP(B234&amp;" +1",B:B,1,FALSE))),VLOOKUP(B234&amp;" +1",K:L,2,FALSE),"")</f>
        <v/>
      </c>
      <c r="P234" t="str">
        <f t="shared" si="23"/>
        <v xml:space="preserve">      509:
        name: Sky Sports News HD
        package: Full House</v>
      </c>
    </row>
    <row r="235" spans="1:16" x14ac:dyDescent="0.25">
      <c r="A235">
        <v>510</v>
      </c>
      <c r="B235" t="s">
        <v>183</v>
      </c>
      <c r="D235" t="s">
        <v>279</v>
      </c>
      <c r="E235" t="s">
        <v>279</v>
      </c>
      <c r="I235" t="str">
        <f t="shared" si="24"/>
        <v>Full House</v>
      </c>
      <c r="K235" t="str">
        <f t="shared" si="22"/>
        <v>Sky Sports Mix HD</v>
      </c>
      <c r="L235">
        <f t="shared" si="25"/>
        <v>510</v>
      </c>
      <c r="M235" t="str">
        <f>IF(NOT(ISERROR(VLOOKUP(B235&amp;" HD",B:B,1,FALSE))),VLOOKUP(B235&amp;" HD",K:L,2,FALSE),"")</f>
        <v/>
      </c>
      <c r="N235" t="str">
        <f>IF(NOT(ISERROR(VLOOKUP(B235&amp;" +1",B:B,1,FALSE))),VLOOKUP(B235&amp;" +1",K:L,2,FALSE),"")</f>
        <v/>
      </c>
      <c r="P235" t="str">
        <f t="shared" si="23"/>
        <v xml:space="preserve">      510:
        name: Sky Sports Mix HD
        package: Full House</v>
      </c>
    </row>
    <row r="236" spans="1:16" x14ac:dyDescent="0.25">
      <c r="A236">
        <v>511</v>
      </c>
      <c r="B236" t="s">
        <v>184</v>
      </c>
      <c r="D236">
        <v>501</v>
      </c>
      <c r="E236" t="s">
        <v>279</v>
      </c>
      <c r="I236" t="str">
        <f t="shared" si="24"/>
        <v>Premium</v>
      </c>
      <c r="K236" t="str">
        <f t="shared" si="22"/>
        <v>Sky Sports Main Event</v>
      </c>
      <c r="L236">
        <f t="shared" si="25"/>
        <v>511</v>
      </c>
      <c r="M236">
        <f>IF(NOT(ISERROR(VLOOKUP(B236&amp;" HD",B:B,1,FALSE))),VLOOKUP(B236&amp;" HD",K:L,2,FALSE),"")</f>
        <v>501</v>
      </c>
      <c r="N236" t="str">
        <f>IF(NOT(ISERROR(VLOOKUP(B236&amp;" +1",B:B,1,FALSE))),VLOOKUP(B236&amp;" +1",K:L,2,FALSE),"")</f>
        <v/>
      </c>
      <c r="P236" t="str">
        <f t="shared" si="23"/>
        <v xml:space="preserve">      511:
        name: Sky Sports Main Event
        package: Premium
        hd_channel: 501</v>
      </c>
    </row>
    <row r="237" spans="1:16" x14ac:dyDescent="0.25">
      <c r="A237">
        <v>512</v>
      </c>
      <c r="B237" t="s">
        <v>185</v>
      </c>
      <c r="D237">
        <v>502</v>
      </c>
      <c r="E237" t="s">
        <v>279</v>
      </c>
      <c r="I237" t="str">
        <f t="shared" si="24"/>
        <v>Premium</v>
      </c>
      <c r="K237" t="str">
        <f t="shared" si="22"/>
        <v>Sky Sports Premier League</v>
      </c>
      <c r="L237">
        <f t="shared" si="25"/>
        <v>512</v>
      </c>
      <c r="M237">
        <f>IF(NOT(ISERROR(VLOOKUP(B237&amp;" HD",B:B,1,FALSE))),VLOOKUP(B237&amp;" HD",K:L,2,FALSE),"")</f>
        <v>502</v>
      </c>
      <c r="N237" t="str">
        <f>IF(NOT(ISERROR(VLOOKUP(B237&amp;" +1",B:B,1,FALSE))),VLOOKUP(B237&amp;" +1",K:L,2,FALSE),"")</f>
        <v/>
      </c>
      <c r="P237" t="str">
        <f t="shared" si="23"/>
        <v xml:space="preserve">      512:
        name: Sky Sports Premier League
        package: Premium
        hd_channel: 502</v>
      </c>
    </row>
    <row r="238" spans="1:16" x14ac:dyDescent="0.25">
      <c r="A238">
        <v>513</v>
      </c>
      <c r="B238" t="s">
        <v>186</v>
      </c>
      <c r="D238">
        <v>503</v>
      </c>
      <c r="E238" t="s">
        <v>279</v>
      </c>
      <c r="I238" t="str">
        <f t="shared" si="24"/>
        <v>Premium</v>
      </c>
      <c r="K238" t="str">
        <f t="shared" si="22"/>
        <v>Sky Sports Football</v>
      </c>
      <c r="L238">
        <f t="shared" si="25"/>
        <v>513</v>
      </c>
      <c r="M238">
        <f>IF(NOT(ISERROR(VLOOKUP(B238&amp;" HD",B:B,1,FALSE))),VLOOKUP(B238&amp;" HD",K:L,2,FALSE),"")</f>
        <v>503</v>
      </c>
      <c r="N238" t="str">
        <f>IF(NOT(ISERROR(VLOOKUP(B238&amp;" +1",B:B,1,FALSE))),VLOOKUP(B238&amp;" +1",K:L,2,FALSE),"")</f>
        <v/>
      </c>
      <c r="P238" t="str">
        <f t="shared" si="23"/>
        <v xml:space="preserve">      513:
        name: Sky Sports Football
        package: Premium
        hd_channel: 503</v>
      </c>
    </row>
    <row r="239" spans="1:16" x14ac:dyDescent="0.25">
      <c r="A239">
        <v>514</v>
      </c>
      <c r="B239" t="s">
        <v>187</v>
      </c>
      <c r="D239">
        <v>504</v>
      </c>
      <c r="E239" t="s">
        <v>279</v>
      </c>
      <c r="I239" t="str">
        <f t="shared" si="24"/>
        <v>Premium</v>
      </c>
      <c r="K239" t="str">
        <f t="shared" si="22"/>
        <v>Sky Sports Cricket</v>
      </c>
      <c r="L239">
        <f t="shared" si="25"/>
        <v>514</v>
      </c>
      <c r="M239">
        <f>IF(NOT(ISERROR(VLOOKUP(B239&amp;" HD",B:B,1,FALSE))),VLOOKUP(B239&amp;" HD",K:L,2,FALSE),"")</f>
        <v>504</v>
      </c>
      <c r="N239" t="str">
        <f>IF(NOT(ISERROR(VLOOKUP(B239&amp;" +1",B:B,1,FALSE))),VLOOKUP(B239&amp;" +1",K:L,2,FALSE),"")</f>
        <v/>
      </c>
      <c r="P239" t="str">
        <f t="shared" si="23"/>
        <v xml:space="preserve">      514:
        name: Sky Sports Cricket
        package: Premium
        hd_channel: 504</v>
      </c>
    </row>
    <row r="240" spans="1:16" x14ac:dyDescent="0.25">
      <c r="A240">
        <v>515</v>
      </c>
      <c r="B240" t="s">
        <v>188</v>
      </c>
      <c r="D240">
        <v>505</v>
      </c>
      <c r="E240" t="s">
        <v>279</v>
      </c>
      <c r="I240" t="str">
        <f t="shared" si="24"/>
        <v>Premium</v>
      </c>
      <c r="K240" t="str">
        <f t="shared" si="22"/>
        <v>Sky Sports Golf</v>
      </c>
      <c r="L240">
        <f t="shared" si="25"/>
        <v>515</v>
      </c>
      <c r="M240">
        <f>IF(NOT(ISERROR(VLOOKUP(B240&amp;" HD",B:B,1,FALSE))),VLOOKUP(B240&amp;" HD",K:L,2,FALSE),"")</f>
        <v>505</v>
      </c>
      <c r="N240" t="str">
        <f>IF(NOT(ISERROR(VLOOKUP(B240&amp;" +1",B:B,1,FALSE))),VLOOKUP(B240&amp;" +1",K:L,2,FALSE),"")</f>
        <v/>
      </c>
      <c r="P240" t="str">
        <f t="shared" si="23"/>
        <v xml:space="preserve">      515:
        name: Sky Sports Golf
        package: Premium
        hd_channel: 505</v>
      </c>
    </row>
    <row r="241" spans="1:16" x14ac:dyDescent="0.25">
      <c r="A241">
        <v>516</v>
      </c>
      <c r="B241" t="s">
        <v>189</v>
      </c>
      <c r="D241">
        <v>506</v>
      </c>
      <c r="E241" t="s">
        <v>279</v>
      </c>
      <c r="I241" t="str">
        <f t="shared" si="24"/>
        <v>Premium</v>
      </c>
      <c r="K241" t="str">
        <f t="shared" si="22"/>
        <v>Sky Sports F1</v>
      </c>
      <c r="L241">
        <f t="shared" si="25"/>
        <v>516</v>
      </c>
      <c r="M241">
        <f>IF(NOT(ISERROR(VLOOKUP(B241&amp;" HD",B:B,1,FALSE))),VLOOKUP(B241&amp;" HD",K:L,2,FALSE),"")</f>
        <v>506</v>
      </c>
      <c r="N241" t="str">
        <f>IF(NOT(ISERROR(VLOOKUP(B241&amp;" +1",B:B,1,FALSE))),VLOOKUP(B241&amp;" +1",K:L,2,FALSE),"")</f>
        <v/>
      </c>
      <c r="P241" t="str">
        <f t="shared" si="23"/>
        <v xml:space="preserve">      516:
        name: Sky Sports F1
        package: Premium
        hd_channel: 506</v>
      </c>
    </row>
    <row r="242" spans="1:16" x14ac:dyDescent="0.25">
      <c r="A242">
        <v>517</v>
      </c>
      <c r="B242" t="s">
        <v>190</v>
      </c>
      <c r="D242">
        <v>507</v>
      </c>
      <c r="E242" t="s">
        <v>279</v>
      </c>
      <c r="I242" t="str">
        <f t="shared" si="24"/>
        <v>Premium</v>
      </c>
      <c r="K242" t="str">
        <f t="shared" si="22"/>
        <v>Sky Sports Action</v>
      </c>
      <c r="L242">
        <f t="shared" si="25"/>
        <v>517</v>
      </c>
      <c r="M242">
        <f>IF(NOT(ISERROR(VLOOKUP(B242&amp;" HD",B:B,1,FALSE))),VLOOKUP(B242&amp;" HD",K:L,2,FALSE),"")</f>
        <v>507</v>
      </c>
      <c r="N242" t="str">
        <f>IF(NOT(ISERROR(VLOOKUP(B242&amp;" +1",B:B,1,FALSE))),VLOOKUP(B242&amp;" +1",K:L,2,FALSE),"")</f>
        <v/>
      </c>
      <c r="P242" t="str">
        <f t="shared" si="23"/>
        <v xml:space="preserve">      517:
        name: Sky Sports Action
        package: Premium
        hd_channel: 507</v>
      </c>
    </row>
    <row r="243" spans="1:16" x14ac:dyDescent="0.25">
      <c r="A243">
        <v>518</v>
      </c>
      <c r="B243" t="s">
        <v>191</v>
      </c>
      <c r="D243">
        <v>508</v>
      </c>
      <c r="E243" t="s">
        <v>279</v>
      </c>
      <c r="I243" t="str">
        <f t="shared" si="24"/>
        <v>Premium</v>
      </c>
      <c r="K243" t="str">
        <f t="shared" si="22"/>
        <v>Sky Sports Arena</v>
      </c>
      <c r="L243">
        <f t="shared" si="25"/>
        <v>518</v>
      </c>
      <c r="M243">
        <f>IF(NOT(ISERROR(VLOOKUP(B243&amp;" HD",B:B,1,FALSE))),VLOOKUP(B243&amp;" HD",K:L,2,FALSE),"")</f>
        <v>508</v>
      </c>
      <c r="N243" t="str">
        <f>IF(NOT(ISERROR(VLOOKUP(B243&amp;" +1",B:B,1,FALSE))),VLOOKUP(B243&amp;" +1",K:L,2,FALSE),"")</f>
        <v/>
      </c>
      <c r="P243" t="str">
        <f t="shared" si="23"/>
        <v xml:space="preserve">      518:
        name: Sky Sports Arena
        package: Premium
        hd_channel: 508</v>
      </c>
    </row>
    <row r="244" spans="1:16" x14ac:dyDescent="0.25">
      <c r="A244">
        <v>519</v>
      </c>
      <c r="B244" t="s">
        <v>192</v>
      </c>
      <c r="D244">
        <v>509</v>
      </c>
      <c r="E244" t="s">
        <v>279</v>
      </c>
      <c r="I244" t="str">
        <f t="shared" si="24"/>
        <v>Mix</v>
      </c>
      <c r="K244" t="str">
        <f t="shared" si="22"/>
        <v>Sky Sports News</v>
      </c>
      <c r="L244">
        <f t="shared" si="25"/>
        <v>519</v>
      </c>
      <c r="M244">
        <f>IF(NOT(ISERROR(VLOOKUP(B244&amp;" HD",B:B,1,FALSE))),VLOOKUP(B244&amp;" HD",K:L,2,FALSE),"")</f>
        <v>509</v>
      </c>
      <c r="N244" t="str">
        <f>IF(NOT(ISERROR(VLOOKUP(B244&amp;" +1",B:B,1,FALSE))),VLOOKUP(B244&amp;" +1",K:L,2,FALSE),"")</f>
        <v/>
      </c>
      <c r="P244" t="str">
        <f t="shared" si="23"/>
        <v xml:space="preserve">      519:
        name: Sky Sports News
        package: Mix
        hd_channel: 509</v>
      </c>
    </row>
    <row r="245" spans="1:16" x14ac:dyDescent="0.25">
      <c r="A245">
        <v>520</v>
      </c>
      <c r="B245" t="s">
        <v>193</v>
      </c>
      <c r="D245">
        <v>510</v>
      </c>
      <c r="E245" t="s">
        <v>279</v>
      </c>
      <c r="I245" t="str">
        <f t="shared" si="24"/>
        <v>Mix</v>
      </c>
      <c r="K245" t="str">
        <f t="shared" si="22"/>
        <v>Sky Sports Mix</v>
      </c>
      <c r="L245">
        <f t="shared" si="25"/>
        <v>520</v>
      </c>
      <c r="M245">
        <f>IF(NOT(ISERROR(VLOOKUP(B245&amp;" HD",B:B,1,FALSE))),VLOOKUP(B245&amp;" HD",K:L,2,FALSE),"")</f>
        <v>510</v>
      </c>
      <c r="N245" t="str">
        <f>IF(NOT(ISERROR(VLOOKUP(B245&amp;" +1",B:B,1,FALSE))),VLOOKUP(B245&amp;" +1",K:L,2,FALSE),"")</f>
        <v/>
      </c>
      <c r="P245" t="str">
        <f t="shared" si="23"/>
        <v xml:space="preserve">      520:
        name: Sky Sports Mix
        package: Mix
        hd_channel: 510</v>
      </c>
    </row>
    <row r="246" spans="1:16" x14ac:dyDescent="0.25">
      <c r="A246">
        <v>521</v>
      </c>
      <c r="B246" t="s">
        <v>194</v>
      </c>
      <c r="D246" t="s">
        <v>279</v>
      </c>
      <c r="E246" t="s">
        <v>279</v>
      </c>
      <c r="I246" t="str">
        <f t="shared" si="24"/>
        <v>Full House</v>
      </c>
      <c r="K246" t="str">
        <f t="shared" si="22"/>
        <v>Eurosport 1 HD</v>
      </c>
      <c r="L246">
        <f t="shared" si="25"/>
        <v>521</v>
      </c>
      <c r="M246" t="str">
        <f>IF(NOT(ISERROR(VLOOKUP(B246&amp;" HD",B:B,1,FALSE))),VLOOKUP(B246&amp;" HD",K:L,2,FALSE),"")</f>
        <v/>
      </c>
      <c r="N246" t="str">
        <f>IF(NOT(ISERROR(VLOOKUP(B246&amp;" +1",B:B,1,FALSE))),VLOOKUP(B246&amp;" +1",K:L,2,FALSE),"")</f>
        <v/>
      </c>
      <c r="P246" t="str">
        <f t="shared" si="23"/>
        <v xml:space="preserve">      521:
        name: Eurosport 1 HD
        package: Full House</v>
      </c>
    </row>
    <row r="247" spans="1:16" x14ac:dyDescent="0.25">
      <c r="A247">
        <v>522</v>
      </c>
      <c r="B247" t="s">
        <v>195</v>
      </c>
      <c r="D247" t="s">
        <v>279</v>
      </c>
      <c r="E247" t="s">
        <v>279</v>
      </c>
      <c r="I247" t="str">
        <f t="shared" si="24"/>
        <v>Full House</v>
      </c>
      <c r="K247" t="str">
        <f t="shared" si="22"/>
        <v>Eurosport 2 HD</v>
      </c>
      <c r="L247">
        <f t="shared" si="25"/>
        <v>522</v>
      </c>
      <c r="M247" t="str">
        <f>IF(NOT(ISERROR(VLOOKUP(B247&amp;" HD",B:B,1,FALSE))),VLOOKUP(B247&amp;" HD",K:L,2,FALSE),"")</f>
        <v/>
      </c>
      <c r="N247" t="str">
        <f>IF(NOT(ISERROR(VLOOKUP(B247&amp;" +1",B:B,1,FALSE))),VLOOKUP(B247&amp;" +1",K:L,2,FALSE),"")</f>
        <v/>
      </c>
      <c r="P247" t="str">
        <f t="shared" si="23"/>
        <v xml:space="preserve">      522:
        name: Eurosport 2 HD
        package: Full House</v>
      </c>
    </row>
    <row r="248" spans="1:16" x14ac:dyDescent="0.25">
      <c r="A248">
        <v>523</v>
      </c>
      <c r="B248" t="s">
        <v>196</v>
      </c>
      <c r="D248">
        <v>521</v>
      </c>
      <c r="E248" t="s">
        <v>279</v>
      </c>
      <c r="I248" t="str">
        <f t="shared" si="24"/>
        <v>Mix</v>
      </c>
      <c r="K248" t="str">
        <f t="shared" si="22"/>
        <v>Eurosport 1</v>
      </c>
      <c r="L248">
        <f t="shared" si="25"/>
        <v>523</v>
      </c>
      <c r="M248">
        <f>IF(NOT(ISERROR(VLOOKUP(B248&amp;" HD",B:B,1,FALSE))),VLOOKUP(B248&amp;" HD",K:L,2,FALSE),"")</f>
        <v>521</v>
      </c>
      <c r="N248" t="str">
        <f>IF(NOT(ISERROR(VLOOKUP(B248&amp;" +1",B:B,1,FALSE))),VLOOKUP(B248&amp;" +1",K:L,2,FALSE),"")</f>
        <v/>
      </c>
      <c r="P248" t="str">
        <f t="shared" si="23"/>
        <v xml:space="preserve">      523:
        name: Eurosport 1
        package: Mix
        hd_channel: 521</v>
      </c>
    </row>
    <row r="249" spans="1:16" x14ac:dyDescent="0.25">
      <c r="A249">
        <v>524</v>
      </c>
      <c r="B249" t="s">
        <v>197</v>
      </c>
      <c r="D249">
        <v>522</v>
      </c>
      <c r="E249" t="s">
        <v>279</v>
      </c>
      <c r="I249" t="str">
        <f t="shared" si="24"/>
        <v>Mix</v>
      </c>
      <c r="K249" t="str">
        <f t="shared" si="22"/>
        <v>Eurosport 2</v>
      </c>
      <c r="L249">
        <f t="shared" si="25"/>
        <v>524</v>
      </c>
      <c r="M249">
        <f>IF(NOT(ISERROR(VLOOKUP(B249&amp;" HD",B:B,1,FALSE))),VLOOKUP(B249&amp;" HD",K:L,2,FALSE),"")</f>
        <v>522</v>
      </c>
      <c r="N249" t="str">
        <f>IF(NOT(ISERROR(VLOOKUP(B249&amp;" +1",B:B,1,FALSE))),VLOOKUP(B249&amp;" +1",K:L,2,FALSE),"")</f>
        <v/>
      </c>
      <c r="P249" t="str">
        <f t="shared" si="23"/>
        <v xml:space="preserve">      524:
        name: Eurosport 2
        package: Mix
        hd_channel: 522</v>
      </c>
    </row>
    <row r="250" spans="1:16" x14ac:dyDescent="0.25">
      <c r="A250">
        <v>526</v>
      </c>
      <c r="B250" t="s">
        <v>198</v>
      </c>
      <c r="D250" t="s">
        <v>279</v>
      </c>
      <c r="E250" t="s">
        <v>279</v>
      </c>
      <c r="I250" t="str">
        <f t="shared" si="24"/>
        <v>Premium</v>
      </c>
      <c r="K250" t="str">
        <f t="shared" si="22"/>
        <v>MUTV</v>
      </c>
      <c r="L250">
        <f t="shared" si="25"/>
        <v>526</v>
      </c>
      <c r="M250" t="str">
        <f>IF(NOT(ISERROR(VLOOKUP(B250&amp;" HD",B:B,1,FALSE))),VLOOKUP(B250&amp;" HD",K:L,2,FALSE),"")</f>
        <v/>
      </c>
      <c r="N250" t="str">
        <f>IF(NOT(ISERROR(VLOOKUP(B250&amp;" +1",B:B,1,FALSE))),VLOOKUP(B250&amp;" +1",K:L,2,FALSE),"")</f>
        <v/>
      </c>
      <c r="P250" t="str">
        <f t="shared" si="23"/>
        <v xml:space="preserve">      526:
        name: MUTV
        package: Premium</v>
      </c>
    </row>
    <row r="251" spans="1:16" x14ac:dyDescent="0.25">
      <c r="A251">
        <v>527</v>
      </c>
      <c r="B251" t="s">
        <v>199</v>
      </c>
      <c r="D251" t="s">
        <v>279</v>
      </c>
      <c r="E251" t="s">
        <v>279</v>
      </c>
      <c r="I251" t="str">
        <f t="shared" si="24"/>
        <v>Full House</v>
      </c>
      <c r="K251" t="str">
        <f t="shared" si="22"/>
        <v>BT Sport 1 HD</v>
      </c>
      <c r="L251">
        <f t="shared" si="25"/>
        <v>527</v>
      </c>
      <c r="M251" t="str">
        <f>IF(NOT(ISERROR(VLOOKUP(B251&amp;" HD",B:B,1,FALSE))),VLOOKUP(B251&amp;" HD",K:L,2,FALSE),"")</f>
        <v/>
      </c>
      <c r="N251" t="str">
        <f>IF(NOT(ISERROR(VLOOKUP(B251&amp;" +1",B:B,1,FALSE))),VLOOKUP(B251&amp;" +1",K:L,2,FALSE),"")</f>
        <v/>
      </c>
      <c r="P251" t="str">
        <f t="shared" si="23"/>
        <v xml:space="preserve">      527:
        name: BT Sport 1 HD
        package: Full House</v>
      </c>
    </row>
    <row r="252" spans="1:16" x14ac:dyDescent="0.25">
      <c r="A252">
        <v>528</v>
      </c>
      <c r="B252" t="s">
        <v>200</v>
      </c>
      <c r="D252" t="s">
        <v>279</v>
      </c>
      <c r="E252" t="s">
        <v>279</v>
      </c>
      <c r="I252" t="str">
        <f t="shared" si="24"/>
        <v>Full House</v>
      </c>
      <c r="K252" t="str">
        <f t="shared" si="22"/>
        <v>BT Sport 2 HD</v>
      </c>
      <c r="L252">
        <f t="shared" si="25"/>
        <v>528</v>
      </c>
      <c r="M252" t="str">
        <f>IF(NOT(ISERROR(VLOOKUP(B252&amp;" HD",B:B,1,FALSE))),VLOOKUP(B252&amp;" HD",K:L,2,FALSE),"")</f>
        <v/>
      </c>
      <c r="N252" t="str">
        <f>IF(NOT(ISERROR(VLOOKUP(B252&amp;" +1",B:B,1,FALSE))),VLOOKUP(B252&amp;" +1",K:L,2,FALSE),"")</f>
        <v/>
      </c>
      <c r="P252" t="str">
        <f t="shared" si="23"/>
        <v xml:space="preserve">      528:
        name: BT Sport 2 HD
        package: Full House</v>
      </c>
    </row>
    <row r="253" spans="1:16" x14ac:dyDescent="0.25">
      <c r="A253">
        <v>529</v>
      </c>
      <c r="B253" t="s">
        <v>201</v>
      </c>
      <c r="D253" t="s">
        <v>279</v>
      </c>
      <c r="E253" t="s">
        <v>279</v>
      </c>
      <c r="I253" t="str">
        <f t="shared" si="24"/>
        <v>Full House</v>
      </c>
      <c r="K253" t="str">
        <f t="shared" si="22"/>
        <v>BT Sport 3 HD</v>
      </c>
      <c r="L253">
        <f t="shared" si="25"/>
        <v>529</v>
      </c>
      <c r="M253" t="str">
        <f>IF(NOT(ISERROR(VLOOKUP(B253&amp;" HD",B:B,1,FALSE))),VLOOKUP(B253&amp;" HD",K:L,2,FALSE),"")</f>
        <v/>
      </c>
      <c r="N253" t="str">
        <f>IF(NOT(ISERROR(VLOOKUP(B253&amp;" +1",B:B,1,FALSE))),VLOOKUP(B253&amp;" +1",K:L,2,FALSE),"")</f>
        <v/>
      </c>
      <c r="P253" t="str">
        <f t="shared" si="23"/>
        <v xml:space="preserve">      529:
        name: BT Sport 3 HD
        package: Full House</v>
      </c>
    </row>
    <row r="254" spans="1:16" x14ac:dyDescent="0.25">
      <c r="A254">
        <v>530</v>
      </c>
      <c r="B254" t="s">
        <v>202</v>
      </c>
      <c r="D254" t="s">
        <v>279</v>
      </c>
      <c r="E254" t="s">
        <v>279</v>
      </c>
      <c r="I254" t="str">
        <f t="shared" si="24"/>
        <v>Full House</v>
      </c>
      <c r="K254" t="str">
        <f t="shared" si="22"/>
        <v>BT Sport ESPN HD</v>
      </c>
      <c r="L254">
        <f t="shared" si="25"/>
        <v>530</v>
      </c>
      <c r="M254" t="str">
        <f>IF(NOT(ISERROR(VLOOKUP(B254&amp;" HD",B:B,1,FALSE))),VLOOKUP(B254&amp;" HD",K:L,2,FALSE),"")</f>
        <v/>
      </c>
      <c r="N254" t="str">
        <f>IF(NOT(ISERROR(VLOOKUP(B254&amp;" +1",B:B,1,FALSE))),VLOOKUP(B254&amp;" +1",K:L,2,FALSE),"")</f>
        <v/>
      </c>
      <c r="P254" t="str">
        <f t="shared" si="23"/>
        <v xml:space="preserve">      530:
        name: BT Sport ESPN HD
        package: Full House</v>
      </c>
    </row>
    <row r="255" spans="1:16" x14ac:dyDescent="0.25">
      <c r="A255">
        <v>531</v>
      </c>
      <c r="B255" t="s">
        <v>333</v>
      </c>
      <c r="E255" t="s">
        <v>279</v>
      </c>
      <c r="I255" t="str">
        <f t="shared" si="24"/>
        <v>Full House</v>
      </c>
      <c r="K255" t="str">
        <f t="shared" si="22"/>
        <v>BT Sport 4K UHD</v>
      </c>
      <c r="L255">
        <f t="shared" si="25"/>
        <v>531</v>
      </c>
      <c r="M255" t="str">
        <f>IF(NOT(ISERROR(VLOOKUP(B255&amp;" HD",B:B,1,FALSE))),VLOOKUP(B255&amp;" HD",K:L,2,FALSE),"")</f>
        <v/>
      </c>
      <c r="N255" t="str">
        <f>IF(NOT(ISERROR(VLOOKUP(B255&amp;" +1",B:B,1,FALSE))),VLOOKUP(B255&amp;" +1",K:L,2,FALSE),"")</f>
        <v/>
      </c>
      <c r="P255" t="str">
        <f t="shared" si="23"/>
        <v xml:space="preserve">      531:
        name: BT Sport 4K UHD
        package: Full House</v>
      </c>
    </row>
    <row r="256" spans="1:16" x14ac:dyDescent="0.25">
      <c r="A256">
        <v>535</v>
      </c>
      <c r="B256" t="s">
        <v>203</v>
      </c>
      <c r="D256" t="s">
        <v>279</v>
      </c>
      <c r="E256" t="s">
        <v>279</v>
      </c>
      <c r="I256" t="str">
        <f t="shared" si="24"/>
        <v>Player</v>
      </c>
      <c r="K256" t="str">
        <f t="shared" ref="K256:K318" si="26">IF(IFERROR(FIND("&amp;",B256),0)=0,B256,CONCATENATE("'",B256,"'"))</f>
        <v>At The Races</v>
      </c>
      <c r="L256">
        <f t="shared" si="25"/>
        <v>535</v>
      </c>
      <c r="M256" t="str">
        <f>IF(NOT(ISERROR(VLOOKUP(B256&amp;" HD",B:B,1,FALSE))),VLOOKUP(B256&amp;" HD",K:L,2,FALSE),"")</f>
        <v/>
      </c>
      <c r="N256" t="str">
        <f>IF(NOT(ISERROR(VLOOKUP(B256&amp;" +1",B:B,1,FALSE))),VLOOKUP(B256&amp;" +1",K:L,2,FALSE),"")</f>
        <v/>
      </c>
      <c r="P256" t="str">
        <f t="shared" si="23"/>
        <v xml:space="preserve">      535:
        name: At The Races
        package: Player</v>
      </c>
    </row>
    <row r="257" spans="1:16" x14ac:dyDescent="0.25">
      <c r="A257">
        <v>536</v>
      </c>
      <c r="B257" t="s">
        <v>693</v>
      </c>
      <c r="D257" t="s">
        <v>279</v>
      </c>
      <c r="E257" t="s">
        <v>279</v>
      </c>
      <c r="I257" t="str">
        <f t="shared" ref="I257:I319" si="27">VLOOKUP(A257,PACKAGES,6,FALSE)</f>
        <v>Premium</v>
      </c>
      <c r="K257" t="str">
        <f t="shared" si="26"/>
        <v>Racing TV HD</v>
      </c>
      <c r="L257">
        <f t="shared" si="25"/>
        <v>536</v>
      </c>
      <c r="M257" t="str">
        <f>IF(NOT(ISERROR(VLOOKUP(B257&amp;" HD",B:B,1,FALSE))),VLOOKUP(B257&amp;" HD",K:L,2,FALSE),"")</f>
        <v/>
      </c>
      <c r="N257" t="str">
        <f>IF(NOT(ISERROR(VLOOKUP(B257&amp;" +1",B:B,1,FALSE))),VLOOKUP(B257&amp;" +1",K:L,2,FALSE),"")</f>
        <v/>
      </c>
      <c r="P257" t="str">
        <f t="shared" si="23"/>
        <v xml:space="preserve">      536:
        name: Racing TV HD
        package: Premium</v>
      </c>
    </row>
    <row r="258" spans="1:16" x14ac:dyDescent="0.25">
      <c r="A258">
        <v>544</v>
      </c>
      <c r="B258" t="s">
        <v>573</v>
      </c>
      <c r="D258" t="s">
        <v>279</v>
      </c>
      <c r="E258" t="s">
        <v>279</v>
      </c>
      <c r="I258" t="str">
        <f t="shared" si="27"/>
        <v>Premium</v>
      </c>
      <c r="K258" t="str">
        <f t="shared" si="26"/>
        <v>LFCTV</v>
      </c>
      <c r="L258">
        <f t="shared" si="25"/>
        <v>544</v>
      </c>
      <c r="M258" t="str">
        <f>IF(NOT(ISERROR(VLOOKUP(B258&amp;" HD",B:B,1,FALSE))),VLOOKUP(B258&amp;" HD",K:L,2,FALSE),"")</f>
        <v/>
      </c>
      <c r="N258" t="str">
        <f>IF(NOT(ISERROR(VLOOKUP(B258&amp;" +1",B:B,1,FALSE))),VLOOKUP(B258&amp;" +1",K:L,2,FALSE),"")</f>
        <v/>
      </c>
      <c r="P258" t="str">
        <f t="shared" si="23"/>
        <v xml:space="preserve">      544:
        name: LFCTV
        package: Premium</v>
      </c>
    </row>
    <row r="259" spans="1:16" x14ac:dyDescent="0.25">
      <c r="A259">
        <v>546</v>
      </c>
      <c r="B259" t="s">
        <v>329</v>
      </c>
      <c r="D259" t="s">
        <v>279</v>
      </c>
      <c r="E259" t="s">
        <v>279</v>
      </c>
      <c r="I259" t="str">
        <f t="shared" si="27"/>
        <v>Premium</v>
      </c>
      <c r="K259" t="str">
        <f t="shared" si="26"/>
        <v>BoxNation</v>
      </c>
      <c r="L259">
        <f t="shared" si="25"/>
        <v>546</v>
      </c>
      <c r="M259" t="str">
        <f>IF(NOT(ISERROR(VLOOKUP(B259&amp;" HD",B:B,1,FALSE))),VLOOKUP(B259&amp;" HD",K:L,2,FALSE),"")</f>
        <v/>
      </c>
      <c r="N259" t="str">
        <f>IF(NOT(ISERROR(VLOOKUP(B259&amp;" +1",B:B,1,FALSE))),VLOOKUP(B259&amp;" +1",K:L,2,FALSE),"")</f>
        <v/>
      </c>
      <c r="P259" t="str">
        <f t="shared" ref="P259:P322" si="28">SUBSTITUTE(CONCATENATE("      ",A259,":","\nname: ",K259,IF(C259&lt;&gt;"","\nshow: "&amp;C259,""),IF(I259&lt;&gt;"","\npackage: "&amp;I259,""),IF(D259&lt;&gt;"","\nhd_channel: "&amp;D259,""),IF(E259&lt;&gt;"","\nplus_one: "&amp;E259,""),IF(F259&lt;&gt;"","\nlogo: "&amp;F259,""),IF(G259&lt;&gt;"","\ntarget: "&amp;G259,""),IF(H259&lt;&gt;"","\nsource: "&amp;H259,"")),"\n",CHAR(10)&amp;"        ")</f>
        <v xml:space="preserve">      546:
        name: BoxNation
        package: Premium</v>
      </c>
    </row>
    <row r="260" spans="1:16" x14ac:dyDescent="0.25">
      <c r="A260">
        <v>551</v>
      </c>
      <c r="B260" t="s">
        <v>330</v>
      </c>
      <c r="D260" t="s">
        <v>279</v>
      </c>
      <c r="E260" t="s">
        <v>279</v>
      </c>
      <c r="I260" t="str">
        <f t="shared" si="27"/>
        <v>Premium</v>
      </c>
      <c r="K260" t="str">
        <f t="shared" si="26"/>
        <v>Premier Sports 1 HD</v>
      </c>
      <c r="L260">
        <f t="shared" si="25"/>
        <v>551</v>
      </c>
      <c r="M260" t="str">
        <f>IF(NOT(ISERROR(VLOOKUP(B260&amp;" HD",B:B,1,FALSE))),VLOOKUP(B260&amp;" HD",K:L,2,FALSE),"")</f>
        <v/>
      </c>
      <c r="N260" t="str">
        <f>IF(NOT(ISERROR(VLOOKUP(B260&amp;" +1",B:B,1,FALSE))),VLOOKUP(B260&amp;" +1",K:L,2,FALSE),"")</f>
        <v/>
      </c>
      <c r="P260" t="str">
        <f t="shared" si="28"/>
        <v xml:space="preserve">      551:
        name: Premier Sports 1 HD
        package: Premium</v>
      </c>
    </row>
    <row r="261" spans="1:16" x14ac:dyDescent="0.25">
      <c r="A261">
        <v>552</v>
      </c>
      <c r="B261" t="s">
        <v>331</v>
      </c>
      <c r="D261" t="s">
        <v>279</v>
      </c>
      <c r="E261" t="s">
        <v>279</v>
      </c>
      <c r="I261" t="str">
        <f t="shared" si="27"/>
        <v>Premium</v>
      </c>
      <c r="K261" t="str">
        <f t="shared" si="26"/>
        <v>Premier Sports 2</v>
      </c>
      <c r="L261">
        <f t="shared" ref="L261:L262" si="29">A261</f>
        <v>552</v>
      </c>
      <c r="M261" t="str">
        <f>IF(NOT(ISERROR(VLOOKUP(B261&amp;" HD",B:B,1,FALSE))),VLOOKUP(B261&amp;" HD",K:L,2,FALSE),"")</f>
        <v/>
      </c>
      <c r="N261" t="str">
        <f>IF(NOT(ISERROR(VLOOKUP(B261&amp;" +1",B:B,1,FALSE))),VLOOKUP(B261&amp;" +1",K:L,2,FALSE),"")</f>
        <v/>
      </c>
      <c r="P261" t="str">
        <f t="shared" si="28"/>
        <v xml:space="preserve">      552:
        name: Premier Sports 2
        package: Premium</v>
      </c>
    </row>
    <row r="262" spans="1:16" x14ac:dyDescent="0.25">
      <c r="A262">
        <v>553</v>
      </c>
      <c r="B262" t="s">
        <v>332</v>
      </c>
      <c r="D262" t="s">
        <v>279</v>
      </c>
      <c r="E262" t="s">
        <v>279</v>
      </c>
      <c r="I262" t="str">
        <f t="shared" si="27"/>
        <v>Player</v>
      </c>
      <c r="K262" t="str">
        <f t="shared" si="26"/>
        <v>FreeSports HD</v>
      </c>
      <c r="L262">
        <f t="shared" si="29"/>
        <v>553</v>
      </c>
      <c r="M262" t="str">
        <f>IF(NOT(ISERROR(VLOOKUP(B262&amp;" HD",B:B,1,FALSE))),VLOOKUP(B262&amp;" HD",K:L,2,FALSE),"")</f>
        <v/>
      </c>
      <c r="N262" t="str">
        <f>IF(NOT(ISERROR(VLOOKUP(B262&amp;" +1",B:B,1,FALSE))),VLOOKUP(B262&amp;" +1",K:L,2,FALSE),"")</f>
        <v/>
      </c>
      <c r="P262" t="str">
        <f t="shared" si="28"/>
        <v xml:space="preserve">      553:
        name: FreeSports HD
        package: Player</v>
      </c>
    </row>
    <row r="263" spans="1:16" x14ac:dyDescent="0.25">
      <c r="A263">
        <v>601</v>
      </c>
      <c r="B263" t="s">
        <v>204</v>
      </c>
      <c r="D263">
        <v>604</v>
      </c>
      <c r="E263" t="s">
        <v>279</v>
      </c>
      <c r="I263" t="str">
        <f t="shared" si="27"/>
        <v>Free-to-air</v>
      </c>
      <c r="K263" t="str">
        <f t="shared" si="26"/>
        <v>BBC News</v>
      </c>
      <c r="L263">
        <f t="shared" si="25"/>
        <v>601</v>
      </c>
      <c r="M263">
        <f>IF(NOT(ISERROR(VLOOKUP(B263&amp;" HD",B:B,1,FALSE))),VLOOKUP(B263&amp;" HD",K:L,2,FALSE),"")</f>
        <v>604</v>
      </c>
      <c r="N263" t="str">
        <f>IF(NOT(ISERROR(VLOOKUP(B263&amp;" +1",B:B,1,FALSE))),VLOOKUP(B263&amp;" +1",K:L,2,FALSE),"")</f>
        <v/>
      </c>
      <c r="P263" t="str">
        <f t="shared" si="28"/>
        <v xml:space="preserve">      601:
        name: BBC News
        package: Free-to-air
        hd_channel: 604</v>
      </c>
    </row>
    <row r="264" spans="1:16" x14ac:dyDescent="0.25">
      <c r="A264">
        <v>602</v>
      </c>
      <c r="B264" t="s">
        <v>205</v>
      </c>
      <c r="D264">
        <v>603</v>
      </c>
      <c r="E264" t="s">
        <v>279</v>
      </c>
      <c r="I264" t="str">
        <f t="shared" si="27"/>
        <v>Player</v>
      </c>
      <c r="K264" t="str">
        <f t="shared" si="26"/>
        <v>Sky News</v>
      </c>
      <c r="L264">
        <f t="shared" si="25"/>
        <v>602</v>
      </c>
      <c r="M264">
        <f>IF(NOT(ISERROR(VLOOKUP(B264&amp;" HD",B:B,1,FALSE))),VLOOKUP(B264&amp;" HD",K:L,2,FALSE),"")</f>
        <v>603</v>
      </c>
      <c r="N264" t="str">
        <f>IF(NOT(ISERROR(VLOOKUP(B264&amp;" +1",B:B,1,FALSE))),VLOOKUP(B264&amp;" +1",K:L,2,FALSE),"")</f>
        <v/>
      </c>
      <c r="P264" t="str">
        <f t="shared" si="28"/>
        <v xml:space="preserve">      602:
        name: Sky News
        package: Player
        hd_channel: 603</v>
      </c>
    </row>
    <row r="265" spans="1:16" x14ac:dyDescent="0.25">
      <c r="A265">
        <v>603</v>
      </c>
      <c r="B265" t="s">
        <v>206</v>
      </c>
      <c r="D265" t="s">
        <v>279</v>
      </c>
      <c r="E265" t="s">
        <v>279</v>
      </c>
      <c r="I265" t="str">
        <f t="shared" si="27"/>
        <v>Full House</v>
      </c>
      <c r="K265" t="str">
        <f t="shared" si="26"/>
        <v>Sky News HD</v>
      </c>
      <c r="L265">
        <f t="shared" si="25"/>
        <v>603</v>
      </c>
      <c r="M265" t="str">
        <f>IF(NOT(ISERROR(VLOOKUP(B265&amp;" HD",B:B,1,FALSE))),VLOOKUP(B265&amp;" HD",K:L,2,FALSE),"")</f>
        <v/>
      </c>
      <c r="N265" t="str">
        <f>IF(NOT(ISERROR(VLOOKUP(B265&amp;" +1",B:B,1,FALSE))),VLOOKUP(B265&amp;" +1",K:L,2,FALSE),"")</f>
        <v/>
      </c>
      <c r="P265" t="str">
        <f t="shared" si="28"/>
        <v xml:space="preserve">      603:
        name: Sky News HD
        package: Full House</v>
      </c>
    </row>
    <row r="266" spans="1:16" x14ac:dyDescent="0.25">
      <c r="A266">
        <v>604</v>
      </c>
      <c r="B266" t="s">
        <v>207</v>
      </c>
      <c r="D266" t="s">
        <v>279</v>
      </c>
      <c r="E266" t="s">
        <v>279</v>
      </c>
      <c r="I266" t="str">
        <f t="shared" si="27"/>
        <v>Player</v>
      </c>
      <c r="K266" t="str">
        <f t="shared" si="26"/>
        <v>BBC News HD</v>
      </c>
      <c r="L266">
        <f t="shared" si="25"/>
        <v>604</v>
      </c>
      <c r="M266" t="str">
        <f>IF(NOT(ISERROR(VLOOKUP(B266&amp;" HD",B:B,1,FALSE))),VLOOKUP(B266&amp;" HD",K:L,2,FALSE),"")</f>
        <v/>
      </c>
      <c r="N266" t="str">
        <f>IF(NOT(ISERROR(VLOOKUP(B266&amp;" +1",B:B,1,FALSE))),VLOOKUP(B266&amp;" +1",K:L,2,FALSE),"")</f>
        <v/>
      </c>
      <c r="P266" t="str">
        <f t="shared" si="28"/>
        <v xml:space="preserve">      604:
        name: BBC News HD
        package: Player</v>
      </c>
    </row>
    <row r="267" spans="1:16" x14ac:dyDescent="0.25">
      <c r="A267">
        <v>605</v>
      </c>
      <c r="B267" t="s">
        <v>208</v>
      </c>
      <c r="D267" t="s">
        <v>279</v>
      </c>
      <c r="E267" t="s">
        <v>279</v>
      </c>
      <c r="I267" t="str">
        <f t="shared" si="27"/>
        <v>Free-to-air</v>
      </c>
      <c r="K267" t="str">
        <f t="shared" si="26"/>
        <v>BBC Parliament</v>
      </c>
      <c r="L267">
        <f t="shared" si="25"/>
        <v>605</v>
      </c>
      <c r="M267" t="str">
        <f>IF(NOT(ISERROR(VLOOKUP(B267&amp;" HD",B:B,1,FALSE))),VLOOKUP(B267&amp;" HD",K:L,2,FALSE),"")</f>
        <v/>
      </c>
      <c r="N267" t="str">
        <f>IF(NOT(ISERROR(VLOOKUP(B267&amp;" +1",B:B,1,FALSE))),VLOOKUP(B267&amp;" +1",K:L,2,FALSE),"")</f>
        <v/>
      </c>
      <c r="P267" t="str">
        <f t="shared" si="28"/>
        <v xml:space="preserve">      605:
        name: BBC Parliament
        package: Free-to-air</v>
      </c>
    </row>
    <row r="268" spans="1:16" x14ac:dyDescent="0.25">
      <c r="A268">
        <v>607</v>
      </c>
      <c r="B268" t="s">
        <v>577</v>
      </c>
      <c r="D268" t="s">
        <v>279</v>
      </c>
      <c r="E268" t="s">
        <v>279</v>
      </c>
      <c r="I268" t="str">
        <f t="shared" si="27"/>
        <v>Player</v>
      </c>
      <c r="K268" t="str">
        <f t="shared" si="26"/>
        <v>CNN International</v>
      </c>
      <c r="L268">
        <f t="shared" si="25"/>
        <v>607</v>
      </c>
      <c r="M268" t="str">
        <f>IF(NOT(ISERROR(VLOOKUP(B268&amp;" HD",B:B,1,FALSE))),VLOOKUP(B268&amp;" HD",K:L,2,FALSE),"")</f>
        <v/>
      </c>
      <c r="N268" t="str">
        <f>IF(NOT(ISERROR(VLOOKUP(B268&amp;" +1",B:B,1,FALSE))),VLOOKUP(B268&amp;" +1",K:L,2,FALSE),"")</f>
        <v/>
      </c>
      <c r="P268" t="str">
        <f t="shared" si="28"/>
        <v xml:space="preserve">      607:
        name: CNN International
        package: Player</v>
      </c>
    </row>
    <row r="269" spans="1:16" x14ac:dyDescent="0.25">
      <c r="A269">
        <v>609</v>
      </c>
      <c r="B269" t="s">
        <v>578</v>
      </c>
      <c r="D269" t="s">
        <v>279</v>
      </c>
      <c r="E269" t="s">
        <v>279</v>
      </c>
      <c r="I269" t="str">
        <f t="shared" si="27"/>
        <v>Mix</v>
      </c>
      <c r="K269" t="str">
        <f t="shared" si="26"/>
        <v>Bloomberg Television HD</v>
      </c>
      <c r="L269">
        <f t="shared" si="25"/>
        <v>609</v>
      </c>
      <c r="M269" t="str">
        <f>IF(NOT(ISERROR(VLOOKUP(B269&amp;" HD",B:B,1,FALSE))),VLOOKUP(B269&amp;" HD",K:L,2,FALSE),"")</f>
        <v/>
      </c>
      <c r="N269" t="str">
        <f>IF(NOT(ISERROR(VLOOKUP(B269&amp;" +1",B:B,1,FALSE))),VLOOKUP(B269&amp;" +1",K:L,2,FALSE),"")</f>
        <v/>
      </c>
      <c r="P269" t="str">
        <f t="shared" si="28"/>
        <v xml:space="preserve">      609:
        name: Bloomberg Television HD
        package: Mix</v>
      </c>
    </row>
    <row r="270" spans="1:16" x14ac:dyDescent="0.25">
      <c r="A270">
        <v>613</v>
      </c>
      <c r="B270" t="s">
        <v>580</v>
      </c>
      <c r="D270" t="s">
        <v>279</v>
      </c>
      <c r="E270" t="s">
        <v>279</v>
      </c>
      <c r="I270" t="str">
        <f t="shared" si="27"/>
        <v>Player</v>
      </c>
      <c r="K270" t="str">
        <f t="shared" si="26"/>
        <v>CNBC Europe</v>
      </c>
      <c r="L270">
        <f t="shared" si="25"/>
        <v>613</v>
      </c>
      <c r="M270" t="str">
        <f>IF(NOT(ISERROR(VLOOKUP(B270&amp;" HD",B:B,1,FALSE))),VLOOKUP(B270&amp;" HD",K:L,2,FALSE),"")</f>
        <v/>
      </c>
      <c r="N270" t="str">
        <f>IF(NOT(ISERROR(VLOOKUP(B270&amp;" +1",B:B,1,FALSE))),VLOOKUP(B270&amp;" +1",K:L,2,FALSE),"")</f>
        <v/>
      </c>
      <c r="P270" t="str">
        <f t="shared" si="28"/>
        <v xml:space="preserve">      613:
        name: CNBC Europe
        package: Player</v>
      </c>
    </row>
    <row r="271" spans="1:16" x14ac:dyDescent="0.25">
      <c r="A271">
        <v>620</v>
      </c>
      <c r="B271" t="s">
        <v>209</v>
      </c>
      <c r="D271" t="s">
        <v>279</v>
      </c>
      <c r="E271" t="s">
        <v>279</v>
      </c>
      <c r="I271" t="str">
        <f t="shared" si="27"/>
        <v>Mix</v>
      </c>
      <c r="K271" t="str">
        <f t="shared" si="26"/>
        <v>Euronews</v>
      </c>
      <c r="L271">
        <f t="shared" si="25"/>
        <v>620</v>
      </c>
      <c r="M271" t="str">
        <f>IF(NOT(ISERROR(VLOOKUP(B271&amp;" HD",B:B,1,FALSE))),VLOOKUP(B271&amp;" HD",K:L,2,FALSE),"")</f>
        <v/>
      </c>
      <c r="N271" t="str">
        <f>IF(NOT(ISERROR(VLOOKUP(B271&amp;" +1",B:B,1,FALSE))),VLOOKUP(B271&amp;" +1",K:L,2,FALSE),"")</f>
        <v/>
      </c>
      <c r="P271" t="str">
        <f t="shared" si="28"/>
        <v xml:space="preserve">      620:
        name: Euronews
        package: Mix</v>
      </c>
    </row>
    <row r="272" spans="1:16" x14ac:dyDescent="0.25">
      <c r="A272">
        <v>621</v>
      </c>
      <c r="B272" t="s">
        <v>210</v>
      </c>
      <c r="D272" t="s">
        <v>279</v>
      </c>
      <c r="E272" t="s">
        <v>279</v>
      </c>
      <c r="I272" t="str">
        <f t="shared" si="27"/>
        <v>Mix</v>
      </c>
      <c r="K272" t="str">
        <f t="shared" si="26"/>
        <v>NDTV 24x7</v>
      </c>
      <c r="L272">
        <f t="shared" ref="L272:L331" si="30">A272</f>
        <v>621</v>
      </c>
      <c r="M272" t="str">
        <f>IF(NOT(ISERROR(VLOOKUP(B272&amp;" HD",B:B,1,FALSE))),VLOOKUP(B272&amp;" HD",K:L,2,FALSE),"")</f>
        <v/>
      </c>
      <c r="N272" t="str">
        <f>IF(NOT(ISERROR(VLOOKUP(B272&amp;" +1",B:B,1,FALSE))),VLOOKUP(B272&amp;" +1",K:L,2,FALSE),"")</f>
        <v/>
      </c>
      <c r="P272" t="str">
        <f t="shared" si="28"/>
        <v xml:space="preserve">      621:
        name: NDTV 24x7
        package: Mix</v>
      </c>
    </row>
    <row r="273" spans="1:16" x14ac:dyDescent="0.25">
      <c r="A273">
        <v>622</v>
      </c>
      <c r="B273" t="s">
        <v>211</v>
      </c>
      <c r="D273" t="s">
        <v>279</v>
      </c>
      <c r="E273" t="s">
        <v>279</v>
      </c>
      <c r="I273" t="str">
        <f t="shared" si="27"/>
        <v>Mix</v>
      </c>
      <c r="K273" t="str">
        <f t="shared" si="26"/>
        <v>Al Jazeera English</v>
      </c>
      <c r="L273">
        <f t="shared" si="30"/>
        <v>622</v>
      </c>
      <c r="M273" t="str">
        <f>IF(NOT(ISERROR(VLOOKUP(B273&amp;" HD",B:B,1,FALSE))),VLOOKUP(B273&amp;" HD",K:L,2,FALSE),"")</f>
        <v/>
      </c>
      <c r="N273" t="str">
        <f>IF(NOT(ISERROR(VLOOKUP(B273&amp;" +1",B:B,1,FALSE))),VLOOKUP(B273&amp;" +1",K:L,2,FALSE),"")</f>
        <v/>
      </c>
      <c r="P273" t="str">
        <f t="shared" si="28"/>
        <v xml:space="preserve">      622:
        name: Al Jazeera English
        package: Mix</v>
      </c>
    </row>
    <row r="274" spans="1:16" x14ac:dyDescent="0.25">
      <c r="A274">
        <v>624</v>
      </c>
      <c r="B274" t="s">
        <v>334</v>
      </c>
      <c r="D274" t="s">
        <v>279</v>
      </c>
      <c r="E274" t="s">
        <v>279</v>
      </c>
      <c r="I274" t="str">
        <f t="shared" si="27"/>
        <v>Mix</v>
      </c>
      <c r="K274" t="str">
        <f t="shared" si="26"/>
        <v>France 24 English HD</v>
      </c>
      <c r="L274">
        <f t="shared" si="30"/>
        <v>624</v>
      </c>
      <c r="M274" t="str">
        <f>IF(NOT(ISERROR(VLOOKUP(B274&amp;" HD",B:B,1,FALSE))),VLOOKUP(B274&amp;" HD",K:L,2,FALSE),"")</f>
        <v/>
      </c>
      <c r="N274" t="str">
        <f>IF(NOT(ISERROR(VLOOKUP(B274&amp;" +1",B:B,1,FALSE))),VLOOKUP(B274&amp;" +1",K:L,2,FALSE),"")</f>
        <v/>
      </c>
      <c r="P274" t="str">
        <f t="shared" si="28"/>
        <v xml:space="preserve">      624:
        name: France 24 English HD
        package: Mix</v>
      </c>
    </row>
    <row r="275" spans="1:16" x14ac:dyDescent="0.25">
      <c r="A275">
        <v>625</v>
      </c>
      <c r="B275" t="s">
        <v>586</v>
      </c>
      <c r="D275" t="s">
        <v>279</v>
      </c>
      <c r="E275" t="s">
        <v>279</v>
      </c>
      <c r="I275" t="str">
        <f t="shared" si="27"/>
        <v>Full House</v>
      </c>
      <c r="K275" t="str">
        <f t="shared" si="26"/>
        <v>NHK World HD</v>
      </c>
      <c r="L275">
        <f t="shared" si="30"/>
        <v>625</v>
      </c>
      <c r="M275" t="str">
        <f>IF(NOT(ISERROR(VLOOKUP(B275&amp;" HD",B:B,1,FALSE))),VLOOKUP(B275&amp;" HD",K:L,2,FALSE),"")</f>
        <v/>
      </c>
      <c r="N275" t="str">
        <f>IF(NOT(ISERROR(VLOOKUP(B275&amp;" +1",B:B,1,FALSE))),VLOOKUP(B275&amp;" +1",K:L,2,FALSE),"")</f>
        <v/>
      </c>
      <c r="P275" t="str">
        <f t="shared" si="28"/>
        <v xml:space="preserve">      625:
        name: NHK World HD
        package: Full House</v>
      </c>
    </row>
    <row r="276" spans="1:16" x14ac:dyDescent="0.25">
      <c r="A276">
        <v>700</v>
      </c>
      <c r="B276" t="s">
        <v>588</v>
      </c>
      <c r="D276" t="s">
        <v>279</v>
      </c>
      <c r="E276" t="s">
        <v>279</v>
      </c>
      <c r="I276" t="str">
        <f t="shared" si="27"/>
        <v>Mix</v>
      </c>
      <c r="K276" t="str">
        <f t="shared" si="26"/>
        <v>Kids TV on Demand</v>
      </c>
      <c r="L276">
        <f t="shared" si="30"/>
        <v>700</v>
      </c>
      <c r="M276" t="str">
        <f>IF(NOT(ISERROR(VLOOKUP(B276&amp;" HD",B:B,1,FALSE))),VLOOKUP(B276&amp;" HD",K:L,2,FALSE),"")</f>
        <v/>
      </c>
      <c r="N276" t="str">
        <f>IF(NOT(ISERROR(VLOOKUP(B276&amp;" +1",B:B,1,FALSE))),VLOOKUP(B276&amp;" +1",K:L,2,FALSE),"")</f>
        <v/>
      </c>
      <c r="P276" t="str">
        <f t="shared" si="28"/>
        <v xml:space="preserve">      700:
        name: Kids TV on Demand
        package: Mix</v>
      </c>
    </row>
    <row r="277" spans="1:16" x14ac:dyDescent="0.25">
      <c r="A277">
        <v>701</v>
      </c>
      <c r="B277" t="s">
        <v>212</v>
      </c>
      <c r="D277">
        <v>710</v>
      </c>
      <c r="E277" t="s">
        <v>279</v>
      </c>
      <c r="I277" t="str">
        <f t="shared" si="27"/>
        <v>Free-to-air</v>
      </c>
      <c r="K277" t="str">
        <f t="shared" si="26"/>
        <v>CBBC</v>
      </c>
      <c r="L277">
        <f t="shared" si="30"/>
        <v>701</v>
      </c>
      <c r="M277">
        <f>IF(NOT(ISERROR(VLOOKUP(B277&amp;" HD",B:B,1,FALSE))),VLOOKUP(B277&amp;" HD",K:L,2,FALSE),"")</f>
        <v>710</v>
      </c>
      <c r="N277" t="str">
        <f>IF(NOT(ISERROR(VLOOKUP(B277&amp;" +1",B:B,1,FALSE))),VLOOKUP(B277&amp;" +1",K:L,2,FALSE),"")</f>
        <v/>
      </c>
      <c r="P277" t="str">
        <f t="shared" si="28"/>
        <v xml:space="preserve">      701:
        name: CBBC
        package: Free-to-air
        hd_channel: 710</v>
      </c>
    </row>
    <row r="278" spans="1:16" x14ac:dyDescent="0.25">
      <c r="A278">
        <v>702</v>
      </c>
      <c r="B278" t="s">
        <v>213</v>
      </c>
      <c r="D278">
        <v>711</v>
      </c>
      <c r="E278" t="s">
        <v>279</v>
      </c>
      <c r="I278" t="str">
        <f t="shared" si="27"/>
        <v>Free-to-air</v>
      </c>
      <c r="K278" t="str">
        <f t="shared" si="26"/>
        <v>CBeebies</v>
      </c>
      <c r="L278">
        <f t="shared" si="30"/>
        <v>702</v>
      </c>
      <c r="M278">
        <f>IF(NOT(ISERROR(VLOOKUP(B278&amp;" HD",B:B,1,FALSE))),VLOOKUP(B278&amp;" HD",K:L,2,FALSE),"")</f>
        <v>711</v>
      </c>
      <c r="N278" t="str">
        <f>IF(NOT(ISERROR(VLOOKUP(B278&amp;" +1",B:B,1,FALSE))),VLOOKUP(B278&amp;" +1",K:L,2,FALSE),"")</f>
        <v/>
      </c>
      <c r="P278" t="str">
        <f t="shared" si="28"/>
        <v xml:space="preserve">      702:
        name: CBeebies
        package: Free-to-air
        hd_channel: 711</v>
      </c>
    </row>
    <row r="279" spans="1:16" x14ac:dyDescent="0.25">
      <c r="A279">
        <v>703</v>
      </c>
      <c r="B279" t="s">
        <v>592</v>
      </c>
      <c r="D279" t="s">
        <v>279</v>
      </c>
      <c r="E279" t="s">
        <v>279</v>
      </c>
      <c r="I279" t="str">
        <f t="shared" si="27"/>
        <v>Premium</v>
      </c>
      <c r="K279" t="str">
        <f t="shared" si="26"/>
        <v>BabyTV</v>
      </c>
      <c r="L279">
        <f t="shared" si="30"/>
        <v>703</v>
      </c>
      <c r="M279" t="str">
        <f>IF(NOT(ISERROR(VLOOKUP(B279&amp;" HD",B:B,1,FALSE))),VLOOKUP(B279&amp;" HD",K:L,2,FALSE),"")</f>
        <v/>
      </c>
      <c r="N279" t="str">
        <f>IF(NOT(ISERROR(VLOOKUP(B279&amp;" +1",B:B,1,FALSE))),VLOOKUP(B279&amp;" +1",K:L,2,FALSE),"")</f>
        <v/>
      </c>
      <c r="P279" t="str">
        <f t="shared" si="28"/>
        <v xml:space="preserve">      703:
        name: BabyTV
        package: Premium</v>
      </c>
    </row>
    <row r="280" spans="1:16" x14ac:dyDescent="0.25">
      <c r="A280">
        <v>704</v>
      </c>
      <c r="B280" t="s">
        <v>214</v>
      </c>
      <c r="D280">
        <v>732</v>
      </c>
      <c r="E280">
        <v>705</v>
      </c>
      <c r="I280" t="str">
        <f t="shared" si="27"/>
        <v>Mix</v>
      </c>
      <c r="K280" t="str">
        <f t="shared" si="26"/>
        <v>Cartoon Network</v>
      </c>
      <c r="L280">
        <f t="shared" si="30"/>
        <v>704</v>
      </c>
      <c r="M280">
        <f>IF(NOT(ISERROR(VLOOKUP(B280&amp;" HD",B:B,1,FALSE))),VLOOKUP(B280&amp;" HD",K:L,2,FALSE),"")</f>
        <v>732</v>
      </c>
      <c r="N280">
        <f>IF(NOT(ISERROR(VLOOKUP(B280&amp;" +1",B:B,1,FALSE))),VLOOKUP(B280&amp;" +1",K:L,2,FALSE),"")</f>
        <v>705</v>
      </c>
      <c r="P280" t="str">
        <f t="shared" si="28"/>
        <v xml:space="preserve">      704:
        name: Cartoon Network
        package: Mix
        hd_channel: 732
        plus_one: 705</v>
      </c>
    </row>
    <row r="281" spans="1:16" x14ac:dyDescent="0.25">
      <c r="A281">
        <v>705</v>
      </c>
      <c r="B281" t="s">
        <v>215</v>
      </c>
      <c r="D281" t="s">
        <v>279</v>
      </c>
      <c r="E281" t="s">
        <v>279</v>
      </c>
      <c r="I281" t="str">
        <f t="shared" si="27"/>
        <v>Mix</v>
      </c>
      <c r="K281" t="str">
        <f t="shared" si="26"/>
        <v>Cartoon Network +1</v>
      </c>
      <c r="L281">
        <f t="shared" si="30"/>
        <v>705</v>
      </c>
      <c r="M281" t="str">
        <f>IF(NOT(ISERROR(VLOOKUP(B281&amp;" HD",B:B,1,FALSE))),VLOOKUP(B281&amp;" HD",K:L,2,FALSE),"")</f>
        <v/>
      </c>
      <c r="N281" t="str">
        <f>IF(NOT(ISERROR(VLOOKUP(B281&amp;" +1",B:B,1,FALSE))),VLOOKUP(B281&amp;" +1",K:L,2,FALSE),"")</f>
        <v/>
      </c>
      <c r="P281" t="str">
        <f t="shared" si="28"/>
        <v xml:space="preserve">      705:
        name: Cartoon Network +1
        package: Mix</v>
      </c>
    </row>
    <row r="282" spans="1:16" x14ac:dyDescent="0.25">
      <c r="A282">
        <v>706</v>
      </c>
      <c r="B282" t="s">
        <v>216</v>
      </c>
      <c r="D282" t="s">
        <v>279</v>
      </c>
      <c r="E282" t="s">
        <v>279</v>
      </c>
      <c r="I282" t="str">
        <f t="shared" si="27"/>
        <v>Mix</v>
      </c>
      <c r="K282" t="str">
        <f t="shared" si="26"/>
        <v>Cartoonito</v>
      </c>
      <c r="L282">
        <f t="shared" si="30"/>
        <v>706</v>
      </c>
      <c r="M282" t="str">
        <f>IF(NOT(ISERROR(VLOOKUP(B282&amp;" HD",B:B,1,FALSE))),VLOOKUP(B282&amp;" HD",K:L,2,FALSE),"")</f>
        <v/>
      </c>
      <c r="N282" t="str">
        <f>IF(NOT(ISERROR(VLOOKUP(B282&amp;" +1",B:B,1,FALSE))),VLOOKUP(B282&amp;" +1",K:L,2,FALSE),"")</f>
        <v/>
      </c>
      <c r="P282" t="str">
        <f t="shared" si="28"/>
        <v xml:space="preserve">      706:
        name: Cartoonito
        package: Mix</v>
      </c>
    </row>
    <row r="283" spans="1:16" x14ac:dyDescent="0.25">
      <c r="A283">
        <v>707</v>
      </c>
      <c r="B283" t="s">
        <v>217</v>
      </c>
      <c r="D283" t="s">
        <v>279</v>
      </c>
      <c r="I283" t="str">
        <f t="shared" si="27"/>
        <v>Full House</v>
      </c>
      <c r="K283" t="str">
        <f t="shared" si="26"/>
        <v>Disney XD</v>
      </c>
      <c r="L283">
        <f t="shared" si="30"/>
        <v>707</v>
      </c>
      <c r="M283" t="str">
        <f>IF(NOT(ISERROR(VLOOKUP(B283&amp;" HD",B:B,1,FALSE))),VLOOKUP(B283&amp;" HD",K:L,2,FALSE),"")</f>
        <v/>
      </c>
      <c r="N283" t="str">
        <f>IF(NOT(ISERROR(VLOOKUP(B283&amp;" +1",B:B,1,FALSE))),VLOOKUP(B283&amp;" +1",K:L,2,FALSE),"")</f>
        <v/>
      </c>
      <c r="P283" t="str">
        <f t="shared" si="28"/>
        <v xml:space="preserve">      707:
        name: Disney XD
        package: Full House</v>
      </c>
    </row>
    <row r="284" spans="1:16" x14ac:dyDescent="0.25">
      <c r="A284">
        <v>710</v>
      </c>
      <c r="B284" t="s">
        <v>218</v>
      </c>
      <c r="D284" t="s">
        <v>279</v>
      </c>
      <c r="E284" t="s">
        <v>279</v>
      </c>
      <c r="I284" t="str">
        <f t="shared" si="27"/>
        <v>Player</v>
      </c>
      <c r="K284" t="str">
        <f t="shared" si="26"/>
        <v>CBBC HD</v>
      </c>
      <c r="L284">
        <f t="shared" si="30"/>
        <v>710</v>
      </c>
      <c r="M284" t="str">
        <f>IF(NOT(ISERROR(VLOOKUP(B284&amp;" HD",B:B,1,FALSE))),VLOOKUP(B284&amp;" HD",K:L,2,FALSE),"")</f>
        <v/>
      </c>
      <c r="N284" t="str">
        <f>IF(NOT(ISERROR(VLOOKUP(B284&amp;" +1",B:B,1,FALSE))),VLOOKUP(B284&amp;" +1",K:L,2,FALSE),"")</f>
        <v/>
      </c>
      <c r="P284" t="str">
        <f t="shared" si="28"/>
        <v xml:space="preserve">      710:
        name: CBBC HD
        package: Player</v>
      </c>
    </row>
    <row r="285" spans="1:16" x14ac:dyDescent="0.25">
      <c r="A285">
        <v>711</v>
      </c>
      <c r="B285" t="s">
        <v>219</v>
      </c>
      <c r="D285" t="s">
        <v>279</v>
      </c>
      <c r="E285" t="s">
        <v>279</v>
      </c>
      <c r="I285" t="str">
        <f t="shared" si="27"/>
        <v>Player</v>
      </c>
      <c r="K285" t="str">
        <f t="shared" si="26"/>
        <v>CBeebies HD</v>
      </c>
      <c r="L285">
        <f t="shared" si="30"/>
        <v>711</v>
      </c>
      <c r="M285" t="str">
        <f>IF(NOT(ISERROR(VLOOKUP(B285&amp;" HD",B:B,1,FALSE))),VLOOKUP(B285&amp;" HD",K:L,2,FALSE),"")</f>
        <v/>
      </c>
      <c r="N285" t="str">
        <f>IF(NOT(ISERROR(VLOOKUP(B285&amp;" +1",B:B,1,FALSE))),VLOOKUP(B285&amp;" +1",K:L,2,FALSE),"")</f>
        <v/>
      </c>
      <c r="P285" t="str">
        <f t="shared" si="28"/>
        <v xml:space="preserve">      711:
        name: CBeebies HD
        package: Player</v>
      </c>
    </row>
    <row r="286" spans="1:16" x14ac:dyDescent="0.25">
      <c r="A286">
        <v>712</v>
      </c>
      <c r="B286" t="s">
        <v>220</v>
      </c>
      <c r="D286">
        <v>714</v>
      </c>
      <c r="E286">
        <v>713</v>
      </c>
      <c r="I286" t="str">
        <f t="shared" si="27"/>
        <v>Fun</v>
      </c>
      <c r="K286" t="str">
        <f t="shared" si="26"/>
        <v>Nickelodeon</v>
      </c>
      <c r="L286">
        <f t="shared" si="30"/>
        <v>712</v>
      </c>
      <c r="M286">
        <f>IF(NOT(ISERROR(VLOOKUP(B286&amp;" HD",B:B,1,FALSE))),VLOOKUP(B286&amp;" HD",K:L,2,FALSE),"")</f>
        <v>714</v>
      </c>
      <c r="N286">
        <f>IF(NOT(ISERROR(VLOOKUP(B286&amp;" +1",B:B,1,FALSE))),VLOOKUP(B286&amp;" +1",K:L,2,FALSE),"")</f>
        <v>713</v>
      </c>
      <c r="P286" t="str">
        <f t="shared" si="28"/>
        <v xml:space="preserve">      712:
        name: Nickelodeon
        package: Fun
        hd_channel: 714
        plus_one: 713</v>
      </c>
    </row>
    <row r="287" spans="1:16" x14ac:dyDescent="0.25">
      <c r="A287">
        <v>713</v>
      </c>
      <c r="B287" t="s">
        <v>597</v>
      </c>
      <c r="D287" t="s">
        <v>279</v>
      </c>
      <c r="E287" t="s">
        <v>279</v>
      </c>
      <c r="I287" t="str">
        <f t="shared" si="27"/>
        <v>Fun</v>
      </c>
      <c r="K287" t="str">
        <f t="shared" si="26"/>
        <v>Nickelodeon +1</v>
      </c>
      <c r="L287">
        <f t="shared" si="30"/>
        <v>713</v>
      </c>
      <c r="M287" t="str">
        <f>IF(NOT(ISERROR(VLOOKUP(B287&amp;" HD",B:B,1,FALSE))),VLOOKUP(B287&amp;" HD",K:L,2,FALSE),"")</f>
        <v/>
      </c>
      <c r="N287" t="str">
        <f>IF(NOT(ISERROR(VLOOKUP(B287&amp;" +1",B:B,1,FALSE))),VLOOKUP(B287&amp;" +1",K:L,2,FALSE),"")</f>
        <v/>
      </c>
      <c r="P287" t="str">
        <f t="shared" si="28"/>
        <v xml:space="preserve">      713:
        name: Nickelodeon +1
        package: Fun</v>
      </c>
    </row>
    <row r="288" spans="1:16" x14ac:dyDescent="0.25">
      <c r="A288">
        <v>714</v>
      </c>
      <c r="B288" t="s">
        <v>600</v>
      </c>
      <c r="D288" t="s">
        <v>279</v>
      </c>
      <c r="E288" t="s">
        <v>279</v>
      </c>
      <c r="I288" t="str">
        <f t="shared" si="27"/>
        <v>Full House</v>
      </c>
      <c r="K288" t="str">
        <f t="shared" si="26"/>
        <v>Nickelodeon HD</v>
      </c>
      <c r="L288">
        <f t="shared" si="30"/>
        <v>714</v>
      </c>
      <c r="M288" t="str">
        <f>IF(NOT(ISERROR(VLOOKUP(B288&amp;" HD",B:B,1,FALSE))),VLOOKUP(B288&amp;" HD",K:L,2,FALSE),"")</f>
        <v/>
      </c>
      <c r="N288" t="str">
        <f>IF(NOT(ISERROR(VLOOKUP(B288&amp;" +1",B:B,1,FALSE))),VLOOKUP(B288&amp;" +1",K:L,2,FALSE),"")</f>
        <v/>
      </c>
      <c r="P288" t="str">
        <f t="shared" si="28"/>
        <v xml:space="preserve">      714:
        name: Nickelodeon HD
        package: Full House</v>
      </c>
    </row>
    <row r="289" spans="1:16" x14ac:dyDescent="0.25">
      <c r="A289">
        <v>715</v>
      </c>
      <c r="B289" t="s">
        <v>221</v>
      </c>
      <c r="D289" t="s">
        <v>279</v>
      </c>
      <c r="E289" t="s">
        <v>279</v>
      </c>
      <c r="I289" t="str">
        <f t="shared" si="27"/>
        <v>Fun</v>
      </c>
      <c r="K289" t="str">
        <f t="shared" si="26"/>
        <v>Nick Jr.</v>
      </c>
      <c r="L289">
        <f t="shared" si="30"/>
        <v>715</v>
      </c>
      <c r="M289" t="str">
        <f>IF(NOT(ISERROR(VLOOKUP(B289&amp;" HD",B:B,1,FALSE))),VLOOKUP(B289&amp;" HD",K:L,2,FALSE),"")</f>
        <v/>
      </c>
      <c r="N289" t="str">
        <f>IF(NOT(ISERROR(VLOOKUP(B289&amp;" +1",B:B,1,FALSE))),VLOOKUP(B289&amp;" +1",K:L,2,FALSE),"")</f>
        <v/>
      </c>
      <c r="P289" t="str">
        <f t="shared" si="28"/>
        <v xml:space="preserve">      715:
        name: Nick Jr.
        package: Fun</v>
      </c>
    </row>
    <row r="290" spans="1:16" x14ac:dyDescent="0.25">
      <c r="A290">
        <v>716</v>
      </c>
      <c r="B290" t="s">
        <v>222</v>
      </c>
      <c r="D290" t="s">
        <v>279</v>
      </c>
      <c r="E290" t="s">
        <v>279</v>
      </c>
      <c r="I290" t="str">
        <f t="shared" si="27"/>
        <v>Full House</v>
      </c>
      <c r="K290" t="str">
        <f t="shared" si="26"/>
        <v>Nick Jr. Too</v>
      </c>
      <c r="L290">
        <f t="shared" si="30"/>
        <v>716</v>
      </c>
      <c r="M290" t="str">
        <f>IF(NOT(ISERROR(VLOOKUP(B290&amp;" HD",B:B,1,FALSE))),VLOOKUP(B290&amp;" HD",K:L,2,FALSE),"")</f>
        <v/>
      </c>
      <c r="N290" t="str">
        <f>IF(NOT(ISERROR(VLOOKUP(B290&amp;" +1",B:B,1,FALSE))),VLOOKUP(B290&amp;" +1",K:L,2,FALSE),"")</f>
        <v/>
      </c>
      <c r="P290" t="str">
        <f t="shared" si="28"/>
        <v xml:space="preserve">      716:
        name: Nick Jr. Too
        package: Full House</v>
      </c>
    </row>
    <row r="291" spans="1:16" x14ac:dyDescent="0.25">
      <c r="A291">
        <v>717</v>
      </c>
      <c r="B291" t="s">
        <v>223</v>
      </c>
      <c r="D291" t="s">
        <v>279</v>
      </c>
      <c r="E291" t="s">
        <v>279</v>
      </c>
      <c r="I291" t="str">
        <f t="shared" si="27"/>
        <v>Fun</v>
      </c>
      <c r="K291" t="str">
        <f t="shared" si="26"/>
        <v>Nicktoons</v>
      </c>
      <c r="L291">
        <f t="shared" si="30"/>
        <v>717</v>
      </c>
      <c r="M291" t="str">
        <f>IF(NOT(ISERROR(VLOOKUP(B291&amp;" HD",B:B,1,FALSE))),VLOOKUP(B291&amp;" HD",K:L,2,FALSE),"")</f>
        <v/>
      </c>
      <c r="N291" t="str">
        <f>IF(NOT(ISERROR(VLOOKUP(B291&amp;" +1",B:B,1,FALSE))),VLOOKUP(B291&amp;" +1",K:L,2,FALSE),"")</f>
        <v/>
      </c>
      <c r="P291" t="str">
        <f t="shared" si="28"/>
        <v xml:space="preserve">      717:
        name: Nicktoons
        package: Fun</v>
      </c>
    </row>
    <row r="292" spans="1:16" x14ac:dyDescent="0.25">
      <c r="A292">
        <v>724</v>
      </c>
      <c r="B292" t="s">
        <v>224</v>
      </c>
      <c r="D292" t="s">
        <v>279</v>
      </c>
      <c r="E292">
        <v>725</v>
      </c>
      <c r="I292" t="str">
        <f t="shared" si="27"/>
        <v>Full House</v>
      </c>
      <c r="K292" t="str">
        <f t="shared" si="26"/>
        <v>Disney Channel</v>
      </c>
      <c r="L292">
        <f t="shared" si="30"/>
        <v>724</v>
      </c>
      <c r="M292" t="str">
        <f>IF(NOT(ISERROR(VLOOKUP(B292&amp;" HD",B:B,1,FALSE))),VLOOKUP(B292&amp;" HD",K:L,2,FALSE),"")</f>
        <v/>
      </c>
      <c r="N292">
        <f>IF(NOT(ISERROR(VLOOKUP(B292&amp;" +1",B:B,1,FALSE))),VLOOKUP(B292&amp;" +1",K:L,2,FALSE),"")</f>
        <v>725</v>
      </c>
      <c r="P292" t="str">
        <f t="shared" si="28"/>
        <v xml:space="preserve">      724:
        name: Disney Channel
        package: Full House
        plus_one: 725</v>
      </c>
    </row>
    <row r="293" spans="1:16" x14ac:dyDescent="0.25">
      <c r="A293">
        <v>725</v>
      </c>
      <c r="B293" t="s">
        <v>225</v>
      </c>
      <c r="D293" t="s">
        <v>279</v>
      </c>
      <c r="E293" t="s">
        <v>279</v>
      </c>
      <c r="I293" t="str">
        <f t="shared" si="27"/>
        <v>Full House</v>
      </c>
      <c r="K293" t="str">
        <f t="shared" si="26"/>
        <v>Disney Channel +1</v>
      </c>
      <c r="L293">
        <f t="shared" si="30"/>
        <v>725</v>
      </c>
      <c r="M293" t="str">
        <f>IF(NOT(ISERROR(VLOOKUP(B293&amp;" HD",B:B,1,FALSE))),VLOOKUP(B293&amp;" HD",K:L,2,FALSE),"")</f>
        <v/>
      </c>
      <c r="N293" t="str">
        <f>IF(NOT(ISERROR(VLOOKUP(B293&amp;" +1",B:B,1,FALSE))),VLOOKUP(B293&amp;" +1",K:L,2,FALSE),"")</f>
        <v/>
      </c>
      <c r="P293" t="str">
        <f t="shared" si="28"/>
        <v xml:space="preserve">      725:
        name: Disney Channel +1
        package: Full House</v>
      </c>
    </row>
    <row r="294" spans="1:16" x14ac:dyDescent="0.25">
      <c r="A294">
        <v>727</v>
      </c>
      <c r="B294" t="s">
        <v>226</v>
      </c>
      <c r="D294" t="s">
        <v>279</v>
      </c>
      <c r="E294" t="s">
        <v>279</v>
      </c>
      <c r="I294" t="str">
        <f t="shared" si="27"/>
        <v>Full House</v>
      </c>
      <c r="K294" t="str">
        <f t="shared" si="26"/>
        <v>Disney Junior</v>
      </c>
      <c r="L294">
        <f t="shared" si="30"/>
        <v>727</v>
      </c>
      <c r="M294" t="str">
        <f>IF(NOT(ISERROR(VLOOKUP(B294&amp;" HD",B:B,1,FALSE))),VLOOKUP(B294&amp;" HD",K:L,2,FALSE),"")</f>
        <v/>
      </c>
      <c r="N294" t="str">
        <f>IF(NOT(ISERROR(VLOOKUP(B294&amp;" +1",B:B,1,FALSE))),VLOOKUP(B294&amp;" +1",K:L,2,FALSE),"")</f>
        <v/>
      </c>
      <c r="P294" t="str">
        <f t="shared" si="28"/>
        <v xml:space="preserve">      727:
        name: Disney Junior
        package: Full House</v>
      </c>
    </row>
    <row r="295" spans="1:16" x14ac:dyDescent="0.25">
      <c r="A295">
        <v>730</v>
      </c>
      <c r="B295" t="s">
        <v>227</v>
      </c>
      <c r="D295" t="s">
        <v>279</v>
      </c>
      <c r="E295">
        <v>731</v>
      </c>
      <c r="I295" t="str">
        <f t="shared" si="27"/>
        <v>Mix</v>
      </c>
      <c r="K295" t="str">
        <f t="shared" si="26"/>
        <v>Boomerang</v>
      </c>
      <c r="L295">
        <f t="shared" si="30"/>
        <v>730</v>
      </c>
      <c r="M295" t="str">
        <f>IF(NOT(ISERROR(VLOOKUP(B295&amp;" HD",B:B,1,FALSE))),VLOOKUP(B295&amp;" HD",K:L,2,FALSE),"")</f>
        <v/>
      </c>
      <c r="N295">
        <f>IF(NOT(ISERROR(VLOOKUP(B295&amp;" +1",B:B,1,FALSE))),VLOOKUP(B295&amp;" +1",K:L,2,FALSE),"")</f>
        <v>731</v>
      </c>
      <c r="P295" t="str">
        <f t="shared" si="28"/>
        <v xml:space="preserve">      730:
        name: Boomerang
        package: Mix
        plus_one: 731</v>
      </c>
    </row>
    <row r="296" spans="1:16" x14ac:dyDescent="0.25">
      <c r="A296">
        <v>731</v>
      </c>
      <c r="B296" t="s">
        <v>228</v>
      </c>
      <c r="D296" t="s">
        <v>279</v>
      </c>
      <c r="E296" t="s">
        <v>279</v>
      </c>
      <c r="I296" t="str">
        <f t="shared" si="27"/>
        <v>Mix</v>
      </c>
      <c r="K296" t="str">
        <f t="shared" si="26"/>
        <v>Boomerang +1</v>
      </c>
      <c r="L296">
        <f t="shared" si="30"/>
        <v>731</v>
      </c>
      <c r="M296" t="str">
        <f>IF(NOT(ISERROR(VLOOKUP(B296&amp;" HD",B:B,1,FALSE))),VLOOKUP(B296&amp;" HD",K:L,2,FALSE),"")</f>
        <v/>
      </c>
      <c r="N296" t="str">
        <f>IF(NOT(ISERROR(VLOOKUP(B296&amp;" +1",B:B,1,FALSE))),VLOOKUP(B296&amp;" +1",K:L,2,FALSE),"")</f>
        <v/>
      </c>
      <c r="P296" t="str">
        <f t="shared" si="28"/>
        <v xml:space="preserve">      731:
        name: Boomerang +1
        package: Mix</v>
      </c>
    </row>
    <row r="297" spans="1:16" x14ac:dyDescent="0.25">
      <c r="A297">
        <v>732</v>
      </c>
      <c r="B297" t="s">
        <v>229</v>
      </c>
      <c r="D297" t="s">
        <v>279</v>
      </c>
      <c r="E297" t="s">
        <v>279</v>
      </c>
      <c r="I297" t="str">
        <f t="shared" si="27"/>
        <v>Full House</v>
      </c>
      <c r="K297" t="str">
        <f t="shared" si="26"/>
        <v>Cartoon Network HD</v>
      </c>
      <c r="L297">
        <f t="shared" si="30"/>
        <v>732</v>
      </c>
      <c r="M297" t="str">
        <f>IF(NOT(ISERROR(VLOOKUP(B297&amp;" HD",B:B,1,FALSE))),VLOOKUP(B297&amp;" HD",K:L,2,FALSE),"")</f>
        <v/>
      </c>
      <c r="N297" t="str">
        <f>IF(NOT(ISERROR(VLOOKUP(B297&amp;" +1",B:B,1,FALSE))),VLOOKUP(B297&amp;" +1",K:L,2,FALSE),"")</f>
        <v/>
      </c>
      <c r="P297" t="str">
        <f t="shared" si="28"/>
        <v xml:space="preserve">      732:
        name: Cartoon Network HD
        package: Full House</v>
      </c>
    </row>
    <row r="298" spans="1:16" x14ac:dyDescent="0.25">
      <c r="A298">
        <v>734</v>
      </c>
      <c r="B298" t="s">
        <v>230</v>
      </c>
      <c r="D298" t="s">
        <v>279</v>
      </c>
      <c r="E298" t="s">
        <v>279</v>
      </c>
      <c r="I298" t="str">
        <f t="shared" si="27"/>
        <v>Player</v>
      </c>
      <c r="K298" t="str">
        <f t="shared" si="26"/>
        <v>CITV</v>
      </c>
      <c r="L298">
        <f t="shared" si="30"/>
        <v>734</v>
      </c>
      <c r="M298" t="str">
        <f>IF(NOT(ISERROR(VLOOKUP(B298&amp;" HD",B:B,1,FALSE))),VLOOKUP(B298&amp;" HD",K:L,2,FALSE),"")</f>
        <v/>
      </c>
      <c r="N298" t="str">
        <f>IF(NOT(ISERROR(VLOOKUP(B298&amp;" +1",B:B,1,FALSE))),VLOOKUP(B298&amp;" +1",K:L,2,FALSE),"")</f>
        <v/>
      </c>
      <c r="P298" t="str">
        <f t="shared" si="28"/>
        <v xml:space="preserve">      734:
        name: CITV
        package: Player</v>
      </c>
    </row>
    <row r="299" spans="1:16" x14ac:dyDescent="0.25">
      <c r="A299">
        <v>736</v>
      </c>
      <c r="B299" t="s">
        <v>231</v>
      </c>
      <c r="D299" t="s">
        <v>279</v>
      </c>
      <c r="E299" t="s">
        <v>279</v>
      </c>
      <c r="I299" t="str">
        <f t="shared" si="27"/>
        <v>Player</v>
      </c>
      <c r="K299" t="str">
        <f t="shared" si="26"/>
        <v>POP</v>
      </c>
      <c r="L299">
        <f t="shared" si="30"/>
        <v>736</v>
      </c>
      <c r="M299" t="str">
        <f>IF(NOT(ISERROR(VLOOKUP(B299&amp;" HD",B:B,1,FALSE))),VLOOKUP(B299&amp;" HD",K:L,2,FALSE),"")</f>
        <v/>
      </c>
      <c r="N299" t="str">
        <f>IF(NOT(ISERROR(VLOOKUP(B299&amp;" +1",B:B,1,FALSE))),VLOOKUP(B299&amp;" +1",K:L,2,FALSE),"")</f>
        <v/>
      </c>
      <c r="P299" t="str">
        <f t="shared" si="28"/>
        <v xml:space="preserve">      736:
        name: POP
        package: Player</v>
      </c>
    </row>
    <row r="300" spans="1:16" x14ac:dyDescent="0.25">
      <c r="A300">
        <v>737</v>
      </c>
      <c r="B300" t="s">
        <v>232</v>
      </c>
      <c r="D300" t="s">
        <v>279</v>
      </c>
      <c r="E300" t="s">
        <v>279</v>
      </c>
      <c r="I300" t="str">
        <f t="shared" si="27"/>
        <v>Player</v>
      </c>
      <c r="K300" t="str">
        <f t="shared" si="26"/>
        <v>Tiny Pop</v>
      </c>
      <c r="L300">
        <f t="shared" si="30"/>
        <v>737</v>
      </c>
      <c r="M300" t="str">
        <f>IF(NOT(ISERROR(VLOOKUP(B300&amp;" HD",B:B,1,FALSE))),VLOOKUP(B300&amp;" HD",K:L,2,FALSE),"")</f>
        <v/>
      </c>
      <c r="N300" t="str">
        <f>IF(NOT(ISERROR(VLOOKUP(B300&amp;" +1",B:B,1,FALSE))),VLOOKUP(B300&amp;" +1",K:L,2,FALSE),"")</f>
        <v/>
      </c>
      <c r="P300" t="str">
        <f t="shared" si="28"/>
        <v xml:space="preserve">      737:
        name: Tiny Pop
        package: Player</v>
      </c>
    </row>
    <row r="301" spans="1:16" x14ac:dyDescent="0.25">
      <c r="A301">
        <v>739</v>
      </c>
      <c r="B301" t="s">
        <v>336</v>
      </c>
      <c r="D301" t="s">
        <v>279</v>
      </c>
      <c r="E301" t="s">
        <v>279</v>
      </c>
      <c r="I301" t="str">
        <f t="shared" si="27"/>
        <v>Full House</v>
      </c>
      <c r="K301" t="str">
        <f t="shared" si="26"/>
        <v>ZooMoo HD</v>
      </c>
      <c r="L301">
        <f t="shared" ref="L301" si="31">A301</f>
        <v>739</v>
      </c>
      <c r="M301" t="str">
        <f>IF(NOT(ISERROR(VLOOKUP(B301&amp;" HD",B:B,1,FALSE))),VLOOKUP(B301&amp;" HD",K:L,2,FALSE),"")</f>
        <v/>
      </c>
      <c r="N301" t="str">
        <f>IF(NOT(ISERROR(VLOOKUP(B301&amp;" +1",B:B,1,FALSE))),VLOOKUP(B301&amp;" +1",K:L,2,FALSE),"")</f>
        <v/>
      </c>
      <c r="P301" t="str">
        <f t="shared" si="28"/>
        <v xml:space="preserve">      739:
        name: ZooMoo HD
        package: Full House</v>
      </c>
    </row>
    <row r="302" spans="1:16" x14ac:dyDescent="0.25">
      <c r="A302">
        <v>740</v>
      </c>
      <c r="B302" t="s">
        <v>233</v>
      </c>
      <c r="D302" t="s">
        <v>279</v>
      </c>
      <c r="E302" t="s">
        <v>279</v>
      </c>
      <c r="I302" t="str">
        <f t="shared" si="27"/>
        <v>Player</v>
      </c>
      <c r="K302" t="str">
        <f t="shared" si="26"/>
        <v>QVC</v>
      </c>
      <c r="L302">
        <f t="shared" si="30"/>
        <v>740</v>
      </c>
      <c r="M302" t="str">
        <f>IF(NOT(ISERROR(VLOOKUP(B302&amp;" HD",B:B,1,FALSE))),VLOOKUP(B302&amp;" HD",K:L,2,FALSE),"")</f>
        <v/>
      </c>
      <c r="N302" t="str">
        <f>IF(NOT(ISERROR(VLOOKUP(B302&amp;" +1",B:B,1,FALSE))),VLOOKUP(B302&amp;" +1",K:L,2,FALSE),"")</f>
        <v/>
      </c>
      <c r="P302" t="str">
        <f t="shared" si="28"/>
        <v xml:space="preserve">      740:
        name: QVC
        package: Player</v>
      </c>
    </row>
    <row r="303" spans="1:16" x14ac:dyDescent="0.25">
      <c r="A303">
        <v>741</v>
      </c>
      <c r="B303" t="s">
        <v>234</v>
      </c>
      <c r="D303" t="s">
        <v>279</v>
      </c>
      <c r="E303" t="s">
        <v>279</v>
      </c>
      <c r="I303" t="str">
        <f t="shared" si="27"/>
        <v>Player</v>
      </c>
      <c r="K303" t="str">
        <f t="shared" si="26"/>
        <v>QVC Beauty</v>
      </c>
      <c r="L303">
        <f t="shared" si="30"/>
        <v>741</v>
      </c>
      <c r="M303" t="str">
        <f>IF(NOT(ISERROR(VLOOKUP(B303&amp;" HD",B:B,1,FALSE))),VLOOKUP(B303&amp;" HD",K:L,2,FALSE),"")</f>
        <v/>
      </c>
      <c r="N303" t="str">
        <f>IF(NOT(ISERROR(VLOOKUP(B303&amp;" +1",B:B,1,FALSE))),VLOOKUP(B303&amp;" +1",K:L,2,FALSE),"")</f>
        <v/>
      </c>
      <c r="P303" t="str">
        <f t="shared" si="28"/>
        <v xml:space="preserve">      741:
        name: QVC Beauty
        package: Player</v>
      </c>
    </row>
    <row r="304" spans="1:16" x14ac:dyDescent="0.25">
      <c r="A304">
        <v>742</v>
      </c>
      <c r="B304" t="s">
        <v>235</v>
      </c>
      <c r="D304" t="s">
        <v>279</v>
      </c>
      <c r="E304" t="s">
        <v>279</v>
      </c>
      <c r="I304" t="str">
        <f t="shared" si="27"/>
        <v>Player</v>
      </c>
      <c r="K304" t="str">
        <f t="shared" si="26"/>
        <v>QVC Style</v>
      </c>
      <c r="L304">
        <f t="shared" si="30"/>
        <v>742</v>
      </c>
      <c r="M304" t="str">
        <f>IF(NOT(ISERROR(VLOOKUP(B304&amp;" HD",B:B,1,FALSE))),VLOOKUP(B304&amp;" HD",K:L,2,FALSE),"")</f>
        <v/>
      </c>
      <c r="N304" t="str">
        <f>IF(NOT(ISERROR(VLOOKUP(B304&amp;" +1",B:B,1,FALSE))),VLOOKUP(B304&amp;" +1",K:L,2,FALSE),"")</f>
        <v/>
      </c>
      <c r="P304" t="str">
        <f t="shared" si="28"/>
        <v xml:space="preserve">      742:
        name: QVC Style
        package: Player</v>
      </c>
    </row>
    <row r="305" spans="1:16" x14ac:dyDescent="0.25">
      <c r="A305">
        <v>747</v>
      </c>
      <c r="B305" t="s">
        <v>236</v>
      </c>
      <c r="D305" t="s">
        <v>279</v>
      </c>
      <c r="E305" t="s">
        <v>279</v>
      </c>
      <c r="I305" t="str">
        <f t="shared" si="27"/>
        <v>Player</v>
      </c>
      <c r="K305" t="str">
        <f t="shared" si="26"/>
        <v>Ideal World</v>
      </c>
      <c r="L305">
        <f t="shared" si="30"/>
        <v>747</v>
      </c>
      <c r="M305" t="str">
        <f>IF(NOT(ISERROR(VLOOKUP(B305&amp;" HD",B:B,1,FALSE))),VLOOKUP(B305&amp;" HD",K:L,2,FALSE),"")</f>
        <v/>
      </c>
      <c r="N305" t="str">
        <f>IF(NOT(ISERROR(VLOOKUP(B305&amp;" +1",B:B,1,FALSE))),VLOOKUP(B305&amp;" +1",K:L,2,FALSE),"")</f>
        <v/>
      </c>
      <c r="P305" t="str">
        <f t="shared" si="28"/>
        <v xml:space="preserve">      747:
        name: Ideal World
        package: Player</v>
      </c>
    </row>
    <row r="306" spans="1:16" x14ac:dyDescent="0.25">
      <c r="A306">
        <v>748</v>
      </c>
      <c r="B306" t="s">
        <v>237</v>
      </c>
      <c r="D306" t="s">
        <v>279</v>
      </c>
      <c r="E306" t="s">
        <v>279</v>
      </c>
      <c r="I306" t="str">
        <f t="shared" si="27"/>
        <v>Player</v>
      </c>
      <c r="K306" t="str">
        <f t="shared" si="26"/>
        <v>Create and Craft</v>
      </c>
      <c r="L306">
        <f t="shared" si="30"/>
        <v>748</v>
      </c>
      <c r="M306" t="str">
        <f>IF(NOT(ISERROR(VLOOKUP(B306&amp;" HD",B:B,1,FALSE))),VLOOKUP(B306&amp;" HD",K:L,2,FALSE),"")</f>
        <v/>
      </c>
      <c r="N306" t="str">
        <f>IF(NOT(ISERROR(VLOOKUP(B306&amp;" +1",B:B,1,FALSE))),VLOOKUP(B306&amp;" +1",K:L,2,FALSE),"")</f>
        <v/>
      </c>
      <c r="P306" t="str">
        <f t="shared" si="28"/>
        <v xml:space="preserve">      748:
        name: Create and Craft
        package: Player</v>
      </c>
    </row>
    <row r="307" spans="1:16" x14ac:dyDescent="0.25">
      <c r="A307">
        <v>755</v>
      </c>
      <c r="B307" t="s">
        <v>238</v>
      </c>
      <c r="D307" t="s">
        <v>279</v>
      </c>
      <c r="E307" t="s">
        <v>279</v>
      </c>
      <c r="I307" t="str">
        <f t="shared" si="27"/>
        <v>Player</v>
      </c>
      <c r="K307" t="str">
        <f t="shared" si="26"/>
        <v>Gems TV</v>
      </c>
      <c r="L307">
        <f t="shared" si="30"/>
        <v>755</v>
      </c>
      <c r="M307" t="str">
        <f>IF(NOT(ISERROR(VLOOKUP(B307&amp;" HD",B:B,1,FALSE))),VLOOKUP(B307&amp;" HD",K:L,2,FALSE),"")</f>
        <v/>
      </c>
      <c r="N307" t="str">
        <f>IF(NOT(ISERROR(VLOOKUP(B307&amp;" +1",B:B,1,FALSE))),VLOOKUP(B307&amp;" +1",K:L,2,FALSE),"")</f>
        <v/>
      </c>
      <c r="P307" t="str">
        <f t="shared" si="28"/>
        <v xml:space="preserve">      755:
        name: Gems TV
        package: Player</v>
      </c>
    </row>
    <row r="308" spans="1:16" x14ac:dyDescent="0.25">
      <c r="A308">
        <v>756</v>
      </c>
      <c r="B308" t="s">
        <v>239</v>
      </c>
      <c r="D308" t="s">
        <v>279</v>
      </c>
      <c r="E308" t="s">
        <v>279</v>
      </c>
      <c r="I308" t="str">
        <f t="shared" si="27"/>
        <v>Player</v>
      </c>
      <c r="K308" t="str">
        <f t="shared" si="26"/>
        <v>Jewellery Maker</v>
      </c>
      <c r="L308">
        <f t="shared" si="30"/>
        <v>756</v>
      </c>
      <c r="M308" t="str">
        <f>IF(NOT(ISERROR(VLOOKUP(B308&amp;" HD",B:B,1,FALSE))),VLOOKUP(B308&amp;" HD",K:L,2,FALSE),"")</f>
        <v/>
      </c>
      <c r="N308" t="str">
        <f>IF(NOT(ISERROR(VLOOKUP(B308&amp;" +1",B:B,1,FALSE))),VLOOKUP(B308&amp;" +1",K:L,2,FALSE),"")</f>
        <v/>
      </c>
      <c r="P308" t="str">
        <f t="shared" si="28"/>
        <v xml:space="preserve">      756:
        name: Jewellery Maker
        package: Player</v>
      </c>
    </row>
    <row r="309" spans="1:16" x14ac:dyDescent="0.25">
      <c r="A309">
        <v>757</v>
      </c>
      <c r="B309" t="s">
        <v>240</v>
      </c>
      <c r="D309" t="s">
        <v>279</v>
      </c>
      <c r="E309" t="s">
        <v>279</v>
      </c>
      <c r="I309" t="str">
        <f t="shared" si="27"/>
        <v>Player</v>
      </c>
      <c r="K309" t="str">
        <f t="shared" si="26"/>
        <v>TJC</v>
      </c>
      <c r="L309">
        <f t="shared" si="30"/>
        <v>757</v>
      </c>
      <c r="M309" t="str">
        <f>IF(NOT(ISERROR(VLOOKUP(B309&amp;" HD",B:B,1,FALSE))),VLOOKUP(B309&amp;" HD",K:L,2,FALSE),"")</f>
        <v/>
      </c>
      <c r="N309" t="str">
        <f>IF(NOT(ISERROR(VLOOKUP(B309&amp;" +1",B:B,1,FALSE))),VLOOKUP(B309&amp;" +1",K:L,2,FALSE),"")</f>
        <v/>
      </c>
      <c r="P309" t="str">
        <f t="shared" si="28"/>
        <v xml:space="preserve">      757:
        name: TJC
        package: Player</v>
      </c>
    </row>
    <row r="310" spans="1:16" x14ac:dyDescent="0.25">
      <c r="A310">
        <v>801</v>
      </c>
      <c r="B310" t="s">
        <v>337</v>
      </c>
      <c r="D310" t="s">
        <v>279</v>
      </c>
      <c r="E310" t="s">
        <v>279</v>
      </c>
      <c r="I310" t="str">
        <f t="shared" si="27"/>
        <v>Premium</v>
      </c>
      <c r="K310" t="str">
        <f t="shared" si="26"/>
        <v>Star Gold HD</v>
      </c>
      <c r="L310">
        <f t="shared" si="30"/>
        <v>801</v>
      </c>
      <c r="M310" t="str">
        <f>IF(NOT(ISERROR(VLOOKUP(B310&amp;" HD",B:B,1,FALSE))),VLOOKUP(B310&amp;" HD",K:L,2,FALSE),"")</f>
        <v/>
      </c>
      <c r="N310" t="str">
        <f>IF(NOT(ISERROR(VLOOKUP(B310&amp;" +1",B:B,1,FALSE))),VLOOKUP(B310&amp;" +1",K:L,2,FALSE),"")</f>
        <v/>
      </c>
      <c r="P310" t="str">
        <f t="shared" si="28"/>
        <v xml:space="preserve">      801:
        name: Star Gold HD
        package: Premium</v>
      </c>
    </row>
    <row r="311" spans="1:16" x14ac:dyDescent="0.25">
      <c r="A311">
        <v>803</v>
      </c>
      <c r="B311" t="s">
        <v>338</v>
      </c>
      <c r="D311" t="s">
        <v>279</v>
      </c>
      <c r="E311" t="s">
        <v>279</v>
      </c>
      <c r="I311" t="str">
        <f t="shared" si="27"/>
        <v>Premium</v>
      </c>
      <c r="K311" t="str">
        <f t="shared" si="26"/>
        <v>Star Plus HD</v>
      </c>
      <c r="L311">
        <f t="shared" si="30"/>
        <v>803</v>
      </c>
      <c r="M311" t="str">
        <f>IF(NOT(ISERROR(VLOOKUP(B311&amp;" HD",B:B,1,FALSE))),VLOOKUP(B311&amp;" HD",K:L,2,FALSE),"")</f>
        <v/>
      </c>
      <c r="N311" t="str">
        <f>IF(NOT(ISERROR(VLOOKUP(B311&amp;" +1",B:B,1,FALSE))),VLOOKUP(B311&amp;" +1",K:L,2,FALSE),"")</f>
        <v/>
      </c>
      <c r="P311" t="str">
        <f t="shared" si="28"/>
        <v xml:space="preserve">      803:
        name: Star Plus HD
        package: Premium</v>
      </c>
    </row>
    <row r="312" spans="1:16" x14ac:dyDescent="0.25">
      <c r="A312">
        <v>804</v>
      </c>
      <c r="B312" t="s">
        <v>241</v>
      </c>
      <c r="D312" t="s">
        <v>279</v>
      </c>
      <c r="E312" t="s">
        <v>279</v>
      </c>
      <c r="I312" t="str">
        <f t="shared" si="27"/>
        <v>Premium</v>
      </c>
      <c r="K312" t="str">
        <f t="shared" si="26"/>
        <v>Star Bharat</v>
      </c>
      <c r="L312">
        <f t="shared" si="30"/>
        <v>804</v>
      </c>
      <c r="M312" t="str">
        <f>IF(NOT(ISERROR(VLOOKUP(B312&amp;" HD",B:B,1,FALSE))),VLOOKUP(B312&amp;" HD",K:L,2,FALSE),"")</f>
        <v/>
      </c>
      <c r="N312" t="str">
        <f>IF(NOT(ISERROR(VLOOKUP(B312&amp;" +1",B:B,1,FALSE))),VLOOKUP(B312&amp;" +1",K:L,2,FALSE),"")</f>
        <v/>
      </c>
      <c r="P312" t="str">
        <f t="shared" si="28"/>
        <v xml:space="preserve">      804:
        name: Star Bharat
        package: Premium</v>
      </c>
    </row>
    <row r="313" spans="1:16" x14ac:dyDescent="0.25">
      <c r="A313">
        <v>805</v>
      </c>
      <c r="B313" t="s">
        <v>609</v>
      </c>
      <c r="D313" t="s">
        <v>279</v>
      </c>
      <c r="E313" t="s">
        <v>279</v>
      </c>
      <c r="I313" t="str">
        <f t="shared" si="27"/>
        <v>Premium</v>
      </c>
      <c r="K313" t="str">
        <f t="shared" si="26"/>
        <v>Sony Entertainment Television Asia HD</v>
      </c>
      <c r="L313">
        <f t="shared" si="30"/>
        <v>805</v>
      </c>
      <c r="M313" t="str">
        <f>IF(NOT(ISERROR(VLOOKUP(B313&amp;" HD",B:B,1,FALSE))),VLOOKUP(B313&amp;" HD",K:L,2,FALSE),"")</f>
        <v/>
      </c>
      <c r="N313" t="str">
        <f>IF(NOT(ISERROR(VLOOKUP(B313&amp;" +1",B:B,1,FALSE))),VLOOKUP(B313&amp;" +1",K:L,2,FALSE),"")</f>
        <v/>
      </c>
      <c r="P313" t="str">
        <f t="shared" si="28"/>
        <v xml:space="preserve">      805:
        name: Sony Entertainment Television Asia HD
        package: Premium</v>
      </c>
    </row>
    <row r="314" spans="1:16" x14ac:dyDescent="0.25">
      <c r="A314">
        <v>806</v>
      </c>
      <c r="B314" t="s">
        <v>339</v>
      </c>
      <c r="D314" t="s">
        <v>279</v>
      </c>
      <c r="E314" t="s">
        <v>279</v>
      </c>
      <c r="I314" t="str">
        <f t="shared" si="27"/>
        <v>Premium</v>
      </c>
      <c r="K314" t="str">
        <f t="shared" si="26"/>
        <v>SONY Max HD</v>
      </c>
      <c r="L314">
        <f t="shared" si="30"/>
        <v>806</v>
      </c>
      <c r="M314" t="str">
        <f>IF(NOT(ISERROR(VLOOKUP(B314&amp;" HD",B:B,1,FALSE))),VLOOKUP(B314&amp;" HD",K:L,2,FALSE),"")</f>
        <v/>
      </c>
      <c r="N314" t="str">
        <f>IF(NOT(ISERROR(VLOOKUP(B314&amp;" +1",B:B,1,FALSE))),VLOOKUP(B314&amp;" +1",K:L,2,FALSE),"")</f>
        <v/>
      </c>
      <c r="P314" t="str">
        <f t="shared" si="28"/>
        <v xml:space="preserve">      806:
        name: SONY Max HD
        package: Premium</v>
      </c>
    </row>
    <row r="315" spans="1:16" x14ac:dyDescent="0.25">
      <c r="A315">
        <v>807</v>
      </c>
      <c r="B315" t="s">
        <v>340</v>
      </c>
      <c r="D315" t="s">
        <v>279</v>
      </c>
      <c r="E315" t="s">
        <v>279</v>
      </c>
      <c r="I315" t="str">
        <f t="shared" si="27"/>
        <v>Mix</v>
      </c>
      <c r="K315" t="str">
        <f t="shared" si="26"/>
        <v>SONY SAB</v>
      </c>
      <c r="L315">
        <f t="shared" si="30"/>
        <v>807</v>
      </c>
      <c r="M315" t="str">
        <f>IF(NOT(ISERROR(VLOOKUP(B315&amp;" HD",B:B,1,FALSE))),VLOOKUP(B315&amp;" HD",K:L,2,FALSE),"")</f>
        <v/>
      </c>
      <c r="N315" t="str">
        <f>IF(NOT(ISERROR(VLOOKUP(B315&amp;" +1",B:B,1,FALSE))),VLOOKUP(B315&amp;" +1",K:L,2,FALSE),"")</f>
        <v/>
      </c>
      <c r="P315" t="str">
        <f t="shared" si="28"/>
        <v xml:space="preserve">      807:
        name: SONY SAB
        package: Mix</v>
      </c>
    </row>
    <row r="316" spans="1:16" x14ac:dyDescent="0.25">
      <c r="A316">
        <v>809</v>
      </c>
      <c r="B316" t="s">
        <v>341</v>
      </c>
      <c r="D316" t="s">
        <v>279</v>
      </c>
      <c r="E316" t="s">
        <v>279</v>
      </c>
      <c r="I316" t="str">
        <f t="shared" si="27"/>
        <v>Premium</v>
      </c>
      <c r="K316" t="str">
        <f t="shared" si="26"/>
        <v>Zee TV HD</v>
      </c>
      <c r="L316">
        <f t="shared" si="30"/>
        <v>809</v>
      </c>
      <c r="M316" t="str">
        <f>IF(NOT(ISERROR(VLOOKUP(B316&amp;" HD",B:B,1,FALSE))),VLOOKUP(B316&amp;" HD",K:L,2,FALSE),"")</f>
        <v/>
      </c>
      <c r="N316" t="str">
        <f>IF(NOT(ISERROR(VLOOKUP(B316&amp;" +1",B:B,1,FALSE))),VLOOKUP(B316&amp;" +1",K:L,2,FALSE),"")</f>
        <v/>
      </c>
      <c r="P316" t="str">
        <f t="shared" si="28"/>
        <v xml:space="preserve">      809:
        name: Zee TV HD
        package: Premium</v>
      </c>
    </row>
    <row r="317" spans="1:16" x14ac:dyDescent="0.25">
      <c r="A317">
        <v>810</v>
      </c>
      <c r="B317" t="s">
        <v>342</v>
      </c>
      <c r="D317" t="s">
        <v>279</v>
      </c>
      <c r="E317" t="s">
        <v>279</v>
      </c>
      <c r="I317" t="str">
        <f t="shared" si="27"/>
        <v>Premium</v>
      </c>
      <c r="K317" t="str">
        <f t="shared" si="26"/>
        <v>Zee Cinema HD</v>
      </c>
      <c r="L317">
        <f t="shared" si="30"/>
        <v>810</v>
      </c>
      <c r="M317" t="str">
        <f>IF(NOT(ISERROR(VLOOKUP(B317&amp;" HD",B:B,1,FALSE))),VLOOKUP(B317&amp;" HD",K:L,2,FALSE),"")</f>
        <v/>
      </c>
      <c r="N317" t="str">
        <f>IF(NOT(ISERROR(VLOOKUP(B317&amp;" +1",B:B,1,FALSE))),VLOOKUP(B317&amp;" +1",K:L,2,FALSE),"")</f>
        <v/>
      </c>
      <c r="P317" t="str">
        <f t="shared" si="28"/>
        <v xml:space="preserve">      810:
        name: Zee Cinema HD
        package: Premium</v>
      </c>
    </row>
    <row r="318" spans="1:16" x14ac:dyDescent="0.25">
      <c r="A318">
        <v>811</v>
      </c>
      <c r="B318" s="2" t="s">
        <v>343</v>
      </c>
      <c r="D318" t="s">
        <v>279</v>
      </c>
      <c r="E318" t="s">
        <v>279</v>
      </c>
      <c r="I318" t="str">
        <f t="shared" si="27"/>
        <v>Mix</v>
      </c>
      <c r="K318" t="str">
        <f t="shared" si="26"/>
        <v>'&amp;TV'</v>
      </c>
      <c r="L318">
        <f t="shared" si="30"/>
        <v>811</v>
      </c>
      <c r="M318" t="str">
        <f>IF(NOT(ISERROR(VLOOKUP(B318&amp;" HD",B:B,1,FALSE))),VLOOKUP(B318&amp;" HD",K:L,2,FALSE),"")</f>
        <v/>
      </c>
      <c r="N318" t="str">
        <f>IF(NOT(ISERROR(VLOOKUP(B318&amp;" +1",B:B,1,FALSE))),VLOOKUP(B318&amp;" +1",K:L,2,FALSE),"")</f>
        <v/>
      </c>
      <c r="P318" t="str">
        <f t="shared" si="28"/>
        <v xml:space="preserve">      811:
        name: '&amp;TV'
        package: Mix</v>
      </c>
    </row>
    <row r="319" spans="1:16" x14ac:dyDescent="0.25">
      <c r="A319">
        <v>812</v>
      </c>
      <c r="B319" t="s">
        <v>344</v>
      </c>
      <c r="D319" t="s">
        <v>279</v>
      </c>
      <c r="E319" t="s">
        <v>279</v>
      </c>
      <c r="I319" t="str">
        <f t="shared" si="27"/>
        <v>Premium</v>
      </c>
      <c r="K319" t="str">
        <f t="shared" ref="K319:K385" si="32">IF(IFERROR(FIND("&amp;",B319),0)=0,B319,CONCATENATE("'",B319,"'"))</f>
        <v>Living Foodz HD</v>
      </c>
      <c r="L319">
        <f t="shared" si="30"/>
        <v>812</v>
      </c>
      <c r="M319" t="str">
        <f>IF(NOT(ISERROR(VLOOKUP(B319&amp;" HD",B:B,1,FALSE))),VLOOKUP(B319&amp;" HD",K:L,2,FALSE),"")</f>
        <v/>
      </c>
      <c r="N319" t="str">
        <f>IF(NOT(ISERROR(VLOOKUP(B319&amp;" +1",B:B,1,FALSE))),VLOOKUP(B319&amp;" +1",K:L,2,FALSE),"")</f>
        <v/>
      </c>
      <c r="P319" t="str">
        <f t="shared" si="28"/>
        <v xml:space="preserve">      812:
        name: Living Foodz HD
        package: Premium</v>
      </c>
    </row>
    <row r="320" spans="1:16" x14ac:dyDescent="0.25">
      <c r="A320">
        <v>813</v>
      </c>
      <c r="B320" t="s">
        <v>242</v>
      </c>
      <c r="D320" t="s">
        <v>279</v>
      </c>
      <c r="E320" t="s">
        <v>279</v>
      </c>
      <c r="I320" t="str">
        <f t="shared" ref="I320:I386" si="33">VLOOKUP(A320,PACKAGES,6,FALSE)</f>
        <v>Mix</v>
      </c>
      <c r="K320" t="str">
        <f t="shared" si="32"/>
        <v>Zing</v>
      </c>
      <c r="L320">
        <f t="shared" si="30"/>
        <v>813</v>
      </c>
      <c r="M320" t="str">
        <f>IF(NOT(ISERROR(VLOOKUP(B320&amp;" HD",B:B,1,FALSE))),VLOOKUP(B320&amp;" HD",K:L,2,FALSE),"")</f>
        <v/>
      </c>
      <c r="N320" t="str">
        <f>IF(NOT(ISERROR(VLOOKUP(B320&amp;" +1",B:B,1,FALSE))),VLOOKUP(B320&amp;" +1",K:L,2,FALSE),"")</f>
        <v/>
      </c>
      <c r="P320" t="str">
        <f t="shared" si="28"/>
        <v xml:space="preserve">      813:
        name: Zing
        package: Mix</v>
      </c>
    </row>
    <row r="321" spans="1:16" x14ac:dyDescent="0.25">
      <c r="A321">
        <v>815</v>
      </c>
      <c r="B321" t="s">
        <v>243</v>
      </c>
      <c r="D321" t="s">
        <v>279</v>
      </c>
      <c r="E321" t="s">
        <v>279</v>
      </c>
      <c r="I321" t="str">
        <f t="shared" si="33"/>
        <v>Premium</v>
      </c>
      <c r="K321" t="str">
        <f t="shared" si="32"/>
        <v>B4U Movies</v>
      </c>
      <c r="L321">
        <f t="shared" si="30"/>
        <v>815</v>
      </c>
      <c r="M321" t="str">
        <f>IF(NOT(ISERROR(VLOOKUP(B321&amp;" HD",B:B,1,FALSE))),VLOOKUP(B321&amp;" HD",K:L,2,FALSE),"")</f>
        <v/>
      </c>
      <c r="N321" t="str">
        <f>IF(NOT(ISERROR(VLOOKUP(B321&amp;" +1",B:B,1,FALSE))),VLOOKUP(B321&amp;" +1",K:L,2,FALSE),"")</f>
        <v/>
      </c>
      <c r="P321" t="str">
        <f t="shared" si="28"/>
        <v xml:space="preserve">      815:
        name: B4U Movies
        package: Premium</v>
      </c>
    </row>
    <row r="322" spans="1:16" x14ac:dyDescent="0.25">
      <c r="A322">
        <v>816</v>
      </c>
      <c r="B322" t="s">
        <v>244</v>
      </c>
      <c r="D322" t="s">
        <v>279</v>
      </c>
      <c r="E322" t="s">
        <v>279</v>
      </c>
      <c r="I322" t="str">
        <f t="shared" si="33"/>
        <v>Mix</v>
      </c>
      <c r="K322" t="str">
        <f t="shared" si="32"/>
        <v>B4U Music</v>
      </c>
      <c r="L322">
        <f t="shared" si="30"/>
        <v>816</v>
      </c>
      <c r="M322" t="str">
        <f>IF(NOT(ISERROR(VLOOKUP(B322&amp;" HD",B:B,1,FALSE))),VLOOKUP(B322&amp;" HD",K:L,2,FALSE),"")</f>
        <v/>
      </c>
      <c r="N322" t="str">
        <f>IF(NOT(ISERROR(VLOOKUP(B322&amp;" +1",B:B,1,FALSE))),VLOOKUP(B322&amp;" +1",K:L,2,FALSE),"")</f>
        <v/>
      </c>
      <c r="P322" t="str">
        <f t="shared" si="28"/>
        <v xml:space="preserve">      816:
        name: B4U Music
        package: Mix</v>
      </c>
    </row>
    <row r="323" spans="1:16" x14ac:dyDescent="0.25">
      <c r="A323">
        <v>825</v>
      </c>
      <c r="B323" t="s">
        <v>616</v>
      </c>
      <c r="D323" t="s">
        <v>279</v>
      </c>
      <c r="E323" t="s">
        <v>279</v>
      </c>
      <c r="I323" t="str">
        <f t="shared" si="33"/>
        <v>Full House</v>
      </c>
      <c r="K323" t="str">
        <f t="shared" si="32"/>
        <v>TV5MONDE Europe</v>
      </c>
      <c r="L323">
        <f t="shared" si="30"/>
        <v>825</v>
      </c>
      <c r="M323" t="str">
        <f>IF(NOT(ISERROR(VLOOKUP(B323&amp;" HD",B:B,1,FALSE))),VLOOKUP(B323&amp;" HD",K:L,2,FALSE),"")</f>
        <v/>
      </c>
      <c r="N323" t="str">
        <f>IF(NOT(ISERROR(VLOOKUP(B323&amp;" +1",B:B,1,FALSE))),VLOOKUP(B323&amp;" +1",K:L,2,FALSE),"")</f>
        <v/>
      </c>
      <c r="P323" t="str">
        <f t="shared" ref="P323:P386" si="34">SUBSTITUTE(CONCATENATE("      ",A323,":","\nname: ",K323,IF(C323&lt;&gt;"","\nshow: "&amp;C323,""),IF(I323&lt;&gt;"","\npackage: "&amp;I323,""),IF(D323&lt;&gt;"","\nhd_channel: "&amp;D323,""),IF(E323&lt;&gt;"","\nplus_one: "&amp;E323,""),IF(F323&lt;&gt;"","\nlogo: "&amp;F323,""),IF(G323&lt;&gt;"","\ntarget: "&amp;G323,""),IF(H323&lt;&gt;"","\nsource: "&amp;H323,"")),"\n",CHAR(10)&amp;"        ")</f>
        <v xml:space="preserve">      825:
        name: TV5MONDE Europe
        package: Full House</v>
      </c>
    </row>
    <row r="324" spans="1:16" x14ac:dyDescent="0.25">
      <c r="A324">
        <v>826</v>
      </c>
      <c r="B324" t="s">
        <v>345</v>
      </c>
      <c r="D324" t="s">
        <v>279</v>
      </c>
      <c r="E324" t="s">
        <v>279</v>
      </c>
      <c r="I324" t="str">
        <f t="shared" si="33"/>
        <v>Mix</v>
      </c>
      <c r="K324" t="str">
        <f t="shared" si="32"/>
        <v>Colors</v>
      </c>
      <c r="L324">
        <f t="shared" si="30"/>
        <v>826</v>
      </c>
      <c r="M324" t="str">
        <f>IF(NOT(ISERROR(VLOOKUP(B324&amp;" HD",B:B,1,FALSE))),VLOOKUP(B324&amp;" HD",K:L,2,FALSE),"")</f>
        <v/>
      </c>
      <c r="N324" t="str">
        <f>IF(NOT(ISERROR(VLOOKUP(B324&amp;" +1",B:B,1,FALSE))),VLOOKUP(B324&amp;" +1",K:L,2,FALSE),"")</f>
        <v/>
      </c>
      <c r="P324" t="str">
        <f t="shared" si="34"/>
        <v xml:space="preserve">      826:
        name: Colors
        package: Mix</v>
      </c>
    </row>
    <row r="325" spans="1:16" x14ac:dyDescent="0.25">
      <c r="A325">
        <v>827</v>
      </c>
      <c r="B325" t="s">
        <v>619</v>
      </c>
      <c r="D325" t="s">
        <v>279</v>
      </c>
      <c r="E325" t="s">
        <v>279</v>
      </c>
      <c r="I325" t="str">
        <f t="shared" si="33"/>
        <v>Mix</v>
      </c>
      <c r="K325" t="str">
        <f t="shared" si="32"/>
        <v>Rishtey</v>
      </c>
      <c r="L325">
        <f t="shared" si="30"/>
        <v>827</v>
      </c>
      <c r="M325" t="str">
        <f>IF(NOT(ISERROR(VLOOKUP(B325&amp;" HD",B:B,1,FALSE))),VLOOKUP(B325&amp;" HD",K:L,2,FALSE),"")</f>
        <v/>
      </c>
      <c r="N325" t="str">
        <f>IF(NOT(ISERROR(VLOOKUP(B325&amp;" +1",B:B,1,FALSE))),VLOOKUP(B325&amp;" +1",K:L,2,FALSE),"")</f>
        <v/>
      </c>
      <c r="P325" t="str">
        <f t="shared" si="34"/>
        <v xml:space="preserve">      827:
        name: Rishtey
        package: Mix</v>
      </c>
    </row>
    <row r="326" spans="1:16" x14ac:dyDescent="0.25">
      <c r="A326">
        <v>828</v>
      </c>
      <c r="B326" t="s">
        <v>245</v>
      </c>
      <c r="D326" t="s">
        <v>279</v>
      </c>
      <c r="E326" t="s">
        <v>279</v>
      </c>
      <c r="I326" t="str">
        <f t="shared" si="33"/>
        <v>Mix</v>
      </c>
      <c r="K326" t="str">
        <f t="shared" si="32"/>
        <v>Rishtey Cineplex</v>
      </c>
      <c r="L326">
        <f t="shared" si="30"/>
        <v>828</v>
      </c>
      <c r="M326" t="str">
        <f>IF(NOT(ISERROR(VLOOKUP(B326&amp;" HD",B:B,1,FALSE))),VLOOKUP(B326&amp;" HD",K:L,2,FALSE),"")</f>
        <v/>
      </c>
      <c r="N326" t="str">
        <f>IF(NOT(ISERROR(VLOOKUP(B326&amp;" +1",B:B,1,FALSE))),VLOOKUP(B326&amp;" +1",K:L,2,FALSE),"")</f>
        <v/>
      </c>
      <c r="P326" t="str">
        <f t="shared" si="34"/>
        <v xml:space="preserve">      828:
        name: Rishtey Cineplex
        package: Mix</v>
      </c>
    </row>
    <row r="327" spans="1:16" x14ac:dyDescent="0.25">
      <c r="A327">
        <v>829</v>
      </c>
      <c r="B327" t="s">
        <v>246</v>
      </c>
      <c r="D327" t="s">
        <v>279</v>
      </c>
      <c r="E327" t="s">
        <v>279</v>
      </c>
      <c r="I327" t="str">
        <f t="shared" si="33"/>
        <v>Premium</v>
      </c>
      <c r="K327" t="str">
        <f t="shared" si="32"/>
        <v>NDTV Good Times</v>
      </c>
      <c r="L327">
        <f t="shared" si="30"/>
        <v>829</v>
      </c>
      <c r="M327" t="str">
        <f>IF(NOT(ISERROR(VLOOKUP(B327&amp;" HD",B:B,1,FALSE))),VLOOKUP(B327&amp;" HD",K:L,2,FALSE),"")</f>
        <v/>
      </c>
      <c r="N327" t="str">
        <f>IF(NOT(ISERROR(VLOOKUP(B327&amp;" +1",B:B,1,FALSE))),VLOOKUP(B327&amp;" +1",K:L,2,FALSE),"")</f>
        <v/>
      </c>
      <c r="P327" t="str">
        <f t="shared" si="34"/>
        <v xml:space="preserve">      829:
        name: NDTV Good Times
        package: Premium</v>
      </c>
    </row>
    <row r="328" spans="1:16" x14ac:dyDescent="0.25">
      <c r="A328">
        <v>831</v>
      </c>
      <c r="B328" t="s">
        <v>247</v>
      </c>
      <c r="D328" t="s">
        <v>279</v>
      </c>
      <c r="E328" t="s">
        <v>279</v>
      </c>
      <c r="I328" t="str">
        <f t="shared" si="33"/>
        <v>Mix</v>
      </c>
      <c r="K328" t="str">
        <f t="shared" si="32"/>
        <v>Al Jazeera Arabic</v>
      </c>
      <c r="L328">
        <f t="shared" si="30"/>
        <v>831</v>
      </c>
      <c r="M328" t="str">
        <f>IF(NOT(ISERROR(VLOOKUP(B328&amp;" HD",B:B,1,FALSE))),VLOOKUP(B328&amp;" HD",K:L,2,FALSE),"")</f>
        <v/>
      </c>
      <c r="N328" t="str">
        <f>IF(NOT(ISERROR(VLOOKUP(B328&amp;" +1",B:B,1,FALSE))),VLOOKUP(B328&amp;" +1",K:L,2,FALSE),"")</f>
        <v/>
      </c>
      <c r="P328" t="str">
        <f t="shared" si="34"/>
        <v xml:space="preserve">      831:
        name: Al Jazeera Arabic
        package: Mix</v>
      </c>
    </row>
    <row r="329" spans="1:16" x14ac:dyDescent="0.25">
      <c r="A329">
        <v>832</v>
      </c>
      <c r="B329" t="s">
        <v>346</v>
      </c>
      <c r="D329" t="s">
        <v>279</v>
      </c>
      <c r="E329" t="s">
        <v>279</v>
      </c>
      <c r="I329" t="str">
        <f t="shared" si="33"/>
        <v>Mix</v>
      </c>
      <c r="K329" t="str">
        <f t="shared" si="32"/>
        <v>France 24 French HD</v>
      </c>
      <c r="L329">
        <f t="shared" si="30"/>
        <v>832</v>
      </c>
      <c r="M329" t="str">
        <f>IF(NOT(ISERROR(VLOOKUP(B329&amp;" HD",B:B,1,FALSE))),VLOOKUP(B329&amp;" HD",K:L,2,FALSE),"")</f>
        <v/>
      </c>
      <c r="N329" t="str">
        <f>IF(NOT(ISERROR(VLOOKUP(B329&amp;" +1",B:B,1,FALSE))),VLOOKUP(B329&amp;" +1",K:L,2,FALSE),"")</f>
        <v/>
      </c>
      <c r="P329" t="str">
        <f t="shared" si="34"/>
        <v xml:space="preserve">      832:
        name: France 24 French HD
        package: Mix</v>
      </c>
    </row>
    <row r="330" spans="1:16" x14ac:dyDescent="0.25">
      <c r="A330">
        <v>833</v>
      </c>
      <c r="B330" t="s">
        <v>248</v>
      </c>
      <c r="D330" t="s">
        <v>279</v>
      </c>
      <c r="E330" t="s">
        <v>279</v>
      </c>
      <c r="I330" t="str">
        <f t="shared" si="33"/>
        <v>Mix</v>
      </c>
      <c r="K330" t="str">
        <f t="shared" si="32"/>
        <v>Hum Europe</v>
      </c>
      <c r="L330">
        <f t="shared" si="30"/>
        <v>833</v>
      </c>
      <c r="M330" t="str">
        <f>IF(NOT(ISERROR(VLOOKUP(B330&amp;" HD",B:B,1,FALSE))),VLOOKUP(B330&amp;" HD",K:L,2,FALSE),"")</f>
        <v/>
      </c>
      <c r="N330" t="str">
        <f>IF(NOT(ISERROR(VLOOKUP(B330&amp;" +1",B:B,1,FALSE))),VLOOKUP(B330&amp;" +1",K:L,2,FALSE),"")</f>
        <v/>
      </c>
      <c r="P330" t="str">
        <f t="shared" si="34"/>
        <v xml:space="preserve">      833:
        name: Hum Europe
        package: Mix</v>
      </c>
    </row>
    <row r="331" spans="1:16" x14ac:dyDescent="0.25">
      <c r="A331">
        <v>834</v>
      </c>
      <c r="B331" t="s">
        <v>11</v>
      </c>
      <c r="D331" t="s">
        <v>279</v>
      </c>
      <c r="E331" t="s">
        <v>279</v>
      </c>
      <c r="I331" t="str">
        <f t="shared" si="33"/>
        <v>Mix</v>
      </c>
      <c r="K331" t="str">
        <f t="shared" si="32"/>
        <v>Worldbox</v>
      </c>
      <c r="L331">
        <f t="shared" si="30"/>
        <v>834</v>
      </c>
      <c r="M331" t="str">
        <f>IF(NOT(ISERROR(VLOOKUP(B331&amp;" HD",B:B,1,FALSE))),VLOOKUP(B331&amp;" HD",K:L,2,FALSE),"")</f>
        <v/>
      </c>
      <c r="N331" t="str">
        <f>IF(NOT(ISERROR(VLOOKUP(B331&amp;" +1",B:B,1,FALSE))),VLOOKUP(B331&amp;" +1",K:L,2,FALSE),"")</f>
        <v/>
      </c>
      <c r="P331" t="str">
        <f t="shared" si="34"/>
        <v xml:space="preserve">      834:
        name: Worldbox
        package: Mix</v>
      </c>
    </row>
    <row r="332" spans="1:16" x14ac:dyDescent="0.25">
      <c r="A332">
        <v>836</v>
      </c>
      <c r="B332" t="s">
        <v>249</v>
      </c>
      <c r="D332" t="s">
        <v>279</v>
      </c>
      <c r="E332" t="s">
        <v>279</v>
      </c>
      <c r="I332" t="str">
        <f t="shared" si="33"/>
        <v>Mix</v>
      </c>
      <c r="K332" t="str">
        <f t="shared" si="32"/>
        <v>NDTV India</v>
      </c>
      <c r="L332">
        <f t="shared" ref="L332:L399" si="35">A332</f>
        <v>836</v>
      </c>
      <c r="M332" t="str">
        <f>IF(NOT(ISERROR(VLOOKUP(B332&amp;" HD",B:B,1,FALSE))),VLOOKUP(B332&amp;" HD",K:L,2,FALSE),"")</f>
        <v/>
      </c>
      <c r="N332" t="str">
        <f>IF(NOT(ISERROR(VLOOKUP(B332&amp;" +1",B:B,1,FALSE))),VLOOKUP(B332&amp;" +1",K:L,2,FALSE),"")</f>
        <v/>
      </c>
      <c r="P332" t="str">
        <f t="shared" si="34"/>
        <v xml:space="preserve">      836:
        name: NDTV India
        package: Mix</v>
      </c>
    </row>
    <row r="333" spans="1:16" x14ac:dyDescent="0.25">
      <c r="A333">
        <v>837</v>
      </c>
      <c r="B333" t="s">
        <v>250</v>
      </c>
      <c r="D333" t="s">
        <v>279</v>
      </c>
      <c r="E333" t="s">
        <v>279</v>
      </c>
      <c r="I333" t="str">
        <f t="shared" si="33"/>
        <v>Premium</v>
      </c>
      <c r="K333" t="str">
        <f t="shared" si="32"/>
        <v>NDTV Spice</v>
      </c>
      <c r="L333">
        <f t="shared" si="35"/>
        <v>837</v>
      </c>
      <c r="M333" t="str">
        <f>IF(NOT(ISERROR(VLOOKUP(B333&amp;" HD",B:B,1,FALSE))),VLOOKUP(B333&amp;" HD",K:L,2,FALSE),"")</f>
        <v/>
      </c>
      <c r="N333" t="str">
        <f>IF(NOT(ISERROR(VLOOKUP(B333&amp;" +1",B:B,1,FALSE))),VLOOKUP(B333&amp;" +1",K:L,2,FALSE),"")</f>
        <v/>
      </c>
      <c r="P333" t="str">
        <f t="shared" si="34"/>
        <v xml:space="preserve">      837:
        name: NDTV Spice
        package: Premium</v>
      </c>
    </row>
    <row r="334" spans="1:16" x14ac:dyDescent="0.25">
      <c r="A334">
        <v>838</v>
      </c>
      <c r="B334" t="s">
        <v>347</v>
      </c>
      <c r="D334" t="s">
        <v>279</v>
      </c>
      <c r="E334" t="s">
        <v>279</v>
      </c>
      <c r="I334" t="str">
        <f t="shared" si="33"/>
        <v>Mix</v>
      </c>
      <c r="K334" t="str">
        <f t="shared" si="32"/>
        <v>Islam Channel</v>
      </c>
      <c r="L334">
        <f t="shared" si="35"/>
        <v>838</v>
      </c>
      <c r="M334" t="str">
        <f>IF(NOT(ISERROR(VLOOKUP(B334&amp;" HD",B:B,1,FALSE))),VLOOKUP(B334&amp;" HD",K:L,2,FALSE),"")</f>
        <v/>
      </c>
      <c r="N334" t="str">
        <f>IF(NOT(ISERROR(VLOOKUP(B334&amp;" +1",B:B,1,FALSE))),VLOOKUP(B334&amp;" +1",K:L,2,FALSE),"")</f>
        <v/>
      </c>
      <c r="P334" t="str">
        <f t="shared" si="34"/>
        <v xml:space="preserve">      838:
        name: Islam Channel
        package: Mix</v>
      </c>
    </row>
    <row r="335" spans="1:16" x14ac:dyDescent="0.25">
      <c r="A335">
        <v>839</v>
      </c>
      <c r="B335" t="s">
        <v>251</v>
      </c>
      <c r="D335" t="s">
        <v>279</v>
      </c>
      <c r="E335" t="s">
        <v>279</v>
      </c>
      <c r="I335" t="str">
        <f t="shared" si="33"/>
        <v>Mix</v>
      </c>
      <c r="K335" t="str">
        <f t="shared" si="32"/>
        <v>Islam Channel Urdu</v>
      </c>
      <c r="L335">
        <f t="shared" si="35"/>
        <v>839</v>
      </c>
      <c r="M335" t="str">
        <f>IF(NOT(ISERROR(VLOOKUP(B335&amp;" HD",B:B,1,FALSE))),VLOOKUP(B335&amp;" HD",K:L,2,FALSE),"")</f>
        <v/>
      </c>
      <c r="N335" t="str">
        <f>IF(NOT(ISERROR(VLOOKUP(B335&amp;" +1",B:B,1,FALSE))),VLOOKUP(B335&amp;" +1",K:L,2,FALSE),"")</f>
        <v/>
      </c>
      <c r="P335" t="str">
        <f t="shared" si="34"/>
        <v xml:space="preserve">      839:
        name: Islam Channel Urdu
        package: Mix</v>
      </c>
    </row>
    <row r="336" spans="1:16" x14ac:dyDescent="0.25">
      <c r="A336">
        <v>840</v>
      </c>
      <c r="B336" t="s">
        <v>626</v>
      </c>
      <c r="D336" t="s">
        <v>279</v>
      </c>
      <c r="E336" t="s">
        <v>279</v>
      </c>
      <c r="I336" t="str">
        <f t="shared" si="33"/>
        <v>Mix</v>
      </c>
      <c r="K336" t="str">
        <f t="shared" si="32"/>
        <v>Brit Asia TV</v>
      </c>
      <c r="L336">
        <f t="shared" si="35"/>
        <v>840</v>
      </c>
      <c r="M336" t="str">
        <f>IF(NOT(ISERROR(VLOOKUP(B336&amp;" HD",B:B,1,FALSE))),VLOOKUP(B336&amp;" HD",K:L,2,FALSE),"")</f>
        <v/>
      </c>
      <c r="N336" t="str">
        <f>IF(NOT(ISERROR(VLOOKUP(B336&amp;" +1",B:B,1,FALSE))),VLOOKUP(B336&amp;" +1",K:L,2,FALSE),"")</f>
        <v/>
      </c>
      <c r="P336" t="str">
        <f t="shared" si="34"/>
        <v xml:space="preserve">      840:
        name: Brit Asia TV
        package: Mix</v>
      </c>
    </row>
    <row r="337" spans="1:16" x14ac:dyDescent="0.25">
      <c r="A337">
        <v>841</v>
      </c>
      <c r="B337" t="s">
        <v>252</v>
      </c>
      <c r="D337" t="s">
        <v>279</v>
      </c>
      <c r="E337" t="s">
        <v>279</v>
      </c>
      <c r="I337" t="str">
        <f t="shared" si="33"/>
        <v>Mix</v>
      </c>
      <c r="K337" t="str">
        <f t="shared" si="32"/>
        <v>MTV Beats</v>
      </c>
      <c r="L337">
        <f t="shared" si="35"/>
        <v>841</v>
      </c>
      <c r="M337" t="str">
        <f>IF(NOT(ISERROR(VLOOKUP(B337&amp;" HD",B:B,1,FALSE))),VLOOKUP(B337&amp;" HD",K:L,2,FALSE),"")</f>
        <v/>
      </c>
      <c r="N337" t="str">
        <f>IF(NOT(ISERROR(VLOOKUP(B337&amp;" +1",B:B,1,FALSE))),VLOOKUP(B337&amp;" +1",K:L,2,FALSE),"")</f>
        <v/>
      </c>
      <c r="P337" t="str">
        <f t="shared" si="34"/>
        <v xml:space="preserve">      841:
        name: MTV Beats
        package: Mix</v>
      </c>
    </row>
    <row r="338" spans="1:16" x14ac:dyDescent="0.25">
      <c r="A338">
        <v>842</v>
      </c>
      <c r="B338" t="s">
        <v>629</v>
      </c>
      <c r="D338" t="s">
        <v>279</v>
      </c>
      <c r="E338" t="s">
        <v>279</v>
      </c>
      <c r="I338" t="str">
        <f t="shared" si="33"/>
        <v>Mix</v>
      </c>
      <c r="K338" t="str">
        <f t="shared" si="32"/>
        <v>ABN TV</v>
      </c>
      <c r="L338">
        <f t="shared" si="35"/>
        <v>842</v>
      </c>
      <c r="M338" t="str">
        <f>IF(NOT(ISERROR(VLOOKUP(B338&amp;" HD",B:B,1,FALSE))),VLOOKUP(B338&amp;" HD",K:L,2,FALSE),"")</f>
        <v/>
      </c>
      <c r="N338" t="str">
        <f>IF(NOT(ISERROR(VLOOKUP(B338&amp;" +1",B:B,1,FALSE))),VLOOKUP(B338&amp;" +1",K:L,2,FALSE),"")</f>
        <v/>
      </c>
      <c r="P338" t="str">
        <f t="shared" si="34"/>
        <v xml:space="preserve">      842:
        name: ABN TV
        package: Mix</v>
      </c>
    </row>
    <row r="339" spans="1:16" x14ac:dyDescent="0.25">
      <c r="A339">
        <v>851</v>
      </c>
      <c r="B339" t="s">
        <v>349</v>
      </c>
      <c r="D339" t="s">
        <v>279</v>
      </c>
      <c r="E339" t="s">
        <v>279</v>
      </c>
      <c r="I339" t="str">
        <f t="shared" si="33"/>
        <v>Free-to-air</v>
      </c>
      <c r="K339" t="str">
        <f t="shared" si="32"/>
        <v>BBC One AD</v>
      </c>
      <c r="L339">
        <f t="shared" si="35"/>
        <v>851</v>
      </c>
      <c r="M339" t="str">
        <f>IF(NOT(ISERROR(VLOOKUP(B339&amp;" HD",B:B,1,FALSE))),VLOOKUP(B339&amp;" HD",K:L,2,FALSE),"")</f>
        <v/>
      </c>
      <c r="N339" t="str">
        <f>IF(NOT(ISERROR(VLOOKUP(B339&amp;" +1",B:B,1,FALSE))),VLOOKUP(B339&amp;" +1",K:L,2,FALSE),"")</f>
        <v/>
      </c>
      <c r="P339" t="str">
        <f t="shared" si="34"/>
        <v xml:space="preserve">      851:
        name: BBC One AD
        package: Free-to-air</v>
      </c>
    </row>
    <row r="340" spans="1:16" x14ac:dyDescent="0.25">
      <c r="A340">
        <v>852</v>
      </c>
      <c r="B340" t="s">
        <v>350</v>
      </c>
      <c r="D340" t="s">
        <v>279</v>
      </c>
      <c r="E340" t="s">
        <v>279</v>
      </c>
      <c r="I340" t="str">
        <f t="shared" si="33"/>
        <v>Free-to-air</v>
      </c>
      <c r="K340" t="str">
        <f t="shared" si="32"/>
        <v>BBC Two AD</v>
      </c>
      <c r="L340">
        <f t="shared" si="35"/>
        <v>852</v>
      </c>
      <c r="M340" t="str">
        <f>IF(NOT(ISERROR(VLOOKUP(B340&amp;" HD",B:B,1,FALSE))),VLOOKUP(B340&amp;" HD",K:L,2,FALSE),"")</f>
        <v/>
      </c>
      <c r="N340" t="str">
        <f>IF(NOT(ISERROR(VLOOKUP(B340&amp;" +1",B:B,1,FALSE))),VLOOKUP(B340&amp;" +1",K:L,2,FALSE),"")</f>
        <v/>
      </c>
      <c r="P340" t="str">
        <f t="shared" si="34"/>
        <v xml:space="preserve">      852:
        name: BBC Two AD
        package: Free-to-air</v>
      </c>
    </row>
    <row r="341" spans="1:16" x14ac:dyDescent="0.25">
      <c r="A341">
        <v>853</v>
      </c>
      <c r="B341" t="s">
        <v>351</v>
      </c>
      <c r="D341" t="s">
        <v>279</v>
      </c>
      <c r="E341" t="s">
        <v>279</v>
      </c>
      <c r="I341" t="str">
        <f t="shared" si="33"/>
        <v>Free-to-air</v>
      </c>
      <c r="K341" t="str">
        <f t="shared" si="32"/>
        <v>ITV AD</v>
      </c>
      <c r="L341">
        <f t="shared" si="35"/>
        <v>853</v>
      </c>
      <c r="M341" t="str">
        <f>IF(NOT(ISERROR(VLOOKUP(B341&amp;" HD",B:B,1,FALSE))),VLOOKUP(B341&amp;" HD",K:L,2,FALSE),"")</f>
        <v/>
      </c>
      <c r="N341" t="str">
        <f>IF(NOT(ISERROR(VLOOKUP(B341&amp;" +1",B:B,1,FALSE))),VLOOKUP(B341&amp;" +1",K:L,2,FALSE),"")</f>
        <v/>
      </c>
      <c r="P341" t="str">
        <f t="shared" si="34"/>
        <v xml:space="preserve">      853:
        name: ITV AD
        package: Free-to-air</v>
      </c>
    </row>
    <row r="342" spans="1:16" x14ac:dyDescent="0.25">
      <c r="A342">
        <v>854</v>
      </c>
      <c r="B342" t="s">
        <v>352</v>
      </c>
      <c r="D342" t="s">
        <v>279</v>
      </c>
      <c r="E342" t="s">
        <v>279</v>
      </c>
      <c r="I342" t="str">
        <f t="shared" si="33"/>
        <v>Free-to-air</v>
      </c>
      <c r="K342" t="str">
        <f t="shared" si="32"/>
        <v>Channel 4 AD</v>
      </c>
      <c r="L342">
        <f t="shared" si="35"/>
        <v>854</v>
      </c>
      <c r="M342" t="str">
        <f>IF(NOT(ISERROR(VLOOKUP(B342&amp;" HD",B:B,1,FALSE))),VLOOKUP(B342&amp;" HD",K:L,2,FALSE),"")</f>
        <v/>
      </c>
      <c r="N342" t="str">
        <f>IF(NOT(ISERROR(VLOOKUP(B342&amp;" +1",B:B,1,FALSE))),VLOOKUP(B342&amp;" +1",K:L,2,FALSE),"")</f>
        <v/>
      </c>
      <c r="P342" t="str">
        <f t="shared" si="34"/>
        <v xml:space="preserve">      854:
        name: Channel 4 AD
        package: Free-to-air</v>
      </c>
    </row>
    <row r="343" spans="1:16" x14ac:dyDescent="0.25">
      <c r="A343">
        <v>855</v>
      </c>
      <c r="B343" t="s">
        <v>353</v>
      </c>
      <c r="D343" t="s">
        <v>279</v>
      </c>
      <c r="E343" t="s">
        <v>279</v>
      </c>
      <c r="I343" t="str">
        <f t="shared" si="33"/>
        <v>Free-to-air</v>
      </c>
      <c r="K343" t="str">
        <f t="shared" si="32"/>
        <v>Channel 5 AD</v>
      </c>
      <c r="L343">
        <f t="shared" si="35"/>
        <v>855</v>
      </c>
      <c r="M343" t="str">
        <f>IF(NOT(ISERROR(VLOOKUP(B343&amp;" HD",B:B,1,FALSE))),VLOOKUP(B343&amp;" HD",K:L,2,FALSE),"")</f>
        <v/>
      </c>
      <c r="N343" t="str">
        <f>IF(NOT(ISERROR(VLOOKUP(B343&amp;" +1",B:B,1,FALSE))),VLOOKUP(B343&amp;" +1",K:L,2,FALSE),"")</f>
        <v/>
      </c>
      <c r="P343" t="str">
        <f t="shared" si="34"/>
        <v xml:space="preserve">      855:
        name: Channel 5 AD
        package: Free-to-air</v>
      </c>
    </row>
    <row r="344" spans="1:16" x14ac:dyDescent="0.25">
      <c r="A344">
        <v>856</v>
      </c>
      <c r="B344" t="s">
        <v>354</v>
      </c>
      <c r="D344" t="s">
        <v>279</v>
      </c>
      <c r="E344" t="s">
        <v>279</v>
      </c>
      <c r="I344" t="str">
        <f t="shared" si="33"/>
        <v>Free-to-air</v>
      </c>
      <c r="K344" t="str">
        <f t="shared" si="32"/>
        <v>S4C AD</v>
      </c>
      <c r="L344">
        <f t="shared" si="35"/>
        <v>856</v>
      </c>
      <c r="M344" t="str">
        <f>IF(NOT(ISERROR(VLOOKUP(B344&amp;" HD",B:B,1,FALSE))),VLOOKUP(B344&amp;" HD",K:L,2,FALSE),"")</f>
        <v/>
      </c>
      <c r="N344" t="str">
        <f>IF(NOT(ISERROR(VLOOKUP(B344&amp;" +1",B:B,1,FALSE))),VLOOKUP(B344&amp;" +1",K:L,2,FALSE),"")</f>
        <v/>
      </c>
      <c r="P344" t="str">
        <f t="shared" si="34"/>
        <v xml:space="preserve">      856:
        name: S4C AD
        package: Free-to-air</v>
      </c>
    </row>
    <row r="345" spans="1:16" x14ac:dyDescent="0.25">
      <c r="A345">
        <v>858</v>
      </c>
      <c r="B345" t="s">
        <v>12</v>
      </c>
      <c r="D345" t="s">
        <v>279</v>
      </c>
      <c r="E345" t="s">
        <v>279</v>
      </c>
      <c r="I345" t="str">
        <f t="shared" ref="I345" si="36">VLOOKUP(A345,PACKAGES,6,FALSE)</f>
        <v>Player</v>
      </c>
      <c r="K345" t="str">
        <f t="shared" ref="K345" si="37">IF(IFERROR(FIND("&amp;",B345),0)=0,B345,CONCATENATE("'",B345,"'"))</f>
        <v>BBC One</v>
      </c>
      <c r="L345">
        <f t="shared" ref="L345" si="38">A345</f>
        <v>858</v>
      </c>
      <c r="M345">
        <f>IF(NOT(ISERROR(VLOOKUP(B345&amp;" HD",B:B,1,FALSE))),VLOOKUP(B345&amp;" HD",K:L,2,FALSE),"")</f>
        <v>101</v>
      </c>
      <c r="N345" t="str">
        <f>IF(NOT(ISERROR(VLOOKUP(B345&amp;" +1",B:B,1,FALSE))),VLOOKUP(B345&amp;" +1",K:L,2,FALSE),"")</f>
        <v/>
      </c>
      <c r="P345" t="str">
        <f t="shared" si="34"/>
        <v xml:space="preserve">      858:
        name: BBC One
        package: Player</v>
      </c>
    </row>
    <row r="346" spans="1:16" x14ac:dyDescent="0.25">
      <c r="A346">
        <v>861</v>
      </c>
      <c r="B346" t="s">
        <v>635</v>
      </c>
      <c r="D346" t="s">
        <v>279</v>
      </c>
      <c r="E346" t="s">
        <v>279</v>
      </c>
      <c r="I346" t="str">
        <f t="shared" si="33"/>
        <v>Player</v>
      </c>
      <c r="K346" t="str">
        <f t="shared" si="32"/>
        <v>BBC One London</v>
      </c>
      <c r="L346">
        <f t="shared" si="35"/>
        <v>861</v>
      </c>
      <c r="M346" t="str">
        <f>IF(NOT(ISERROR(VLOOKUP(B346&amp;" HD",B:B,1,FALSE))),VLOOKUP(B346&amp;" HD",K:L,2,FALSE),"")</f>
        <v/>
      </c>
      <c r="N346" t="str">
        <f>IF(NOT(ISERROR(VLOOKUP(B346&amp;" +1",B:B,1,FALSE))),VLOOKUP(B346&amp;" +1",K:L,2,FALSE),"")</f>
        <v/>
      </c>
      <c r="P346" t="str">
        <f t="shared" si="34"/>
        <v xml:space="preserve">      861:
        name: BBC One London
        package: Player</v>
      </c>
    </row>
    <row r="347" spans="1:16" x14ac:dyDescent="0.25">
      <c r="A347">
        <v>862</v>
      </c>
      <c r="B347" t="s">
        <v>253</v>
      </c>
      <c r="D347" t="s">
        <v>279</v>
      </c>
      <c r="E347" t="s">
        <v>279</v>
      </c>
      <c r="I347" t="str">
        <f t="shared" si="33"/>
        <v>Player</v>
      </c>
      <c r="K347" t="str">
        <f t="shared" si="32"/>
        <v>BBC One Scotland</v>
      </c>
      <c r="L347">
        <f t="shared" si="35"/>
        <v>862</v>
      </c>
      <c r="M347" t="str">
        <f>IF(NOT(ISERROR(VLOOKUP(B347&amp;" HD",B:B,1,FALSE))),VLOOKUP(B347&amp;" HD",K:L,2,FALSE),"")</f>
        <v/>
      </c>
      <c r="N347" t="str">
        <f>IF(NOT(ISERROR(VLOOKUP(B347&amp;" +1",B:B,1,FALSE))),VLOOKUP(B347&amp;" +1",K:L,2,FALSE),"")</f>
        <v/>
      </c>
      <c r="P347" t="str">
        <f t="shared" si="34"/>
        <v xml:space="preserve">      862:
        name: BBC One Scotland
        package: Player</v>
      </c>
    </row>
    <row r="348" spans="1:16" x14ac:dyDescent="0.25">
      <c r="A348">
        <v>863</v>
      </c>
      <c r="B348" t="s">
        <v>636</v>
      </c>
      <c r="D348" t="s">
        <v>279</v>
      </c>
      <c r="E348" t="s">
        <v>279</v>
      </c>
      <c r="I348" t="str">
        <f t="shared" si="33"/>
        <v>Player</v>
      </c>
      <c r="K348" t="str">
        <f t="shared" si="32"/>
        <v>BBC One Northern Ireland</v>
      </c>
      <c r="L348">
        <f t="shared" si="35"/>
        <v>863</v>
      </c>
      <c r="M348" t="str">
        <f>IF(NOT(ISERROR(VLOOKUP(B348&amp;" HD",B:B,1,FALSE))),VLOOKUP(B348&amp;" HD",K:L,2,FALSE),"")</f>
        <v/>
      </c>
      <c r="N348" t="str">
        <f>IF(NOT(ISERROR(VLOOKUP(B348&amp;" +1",B:B,1,FALSE))),VLOOKUP(B348&amp;" +1",K:L,2,FALSE),"")</f>
        <v/>
      </c>
      <c r="P348" t="str">
        <f t="shared" si="34"/>
        <v xml:space="preserve">      863:
        name: BBC One Northern Ireland
        package: Player</v>
      </c>
    </row>
    <row r="349" spans="1:16" x14ac:dyDescent="0.25">
      <c r="A349">
        <v>864</v>
      </c>
      <c r="B349" t="s">
        <v>254</v>
      </c>
      <c r="D349" t="s">
        <v>279</v>
      </c>
      <c r="E349" t="s">
        <v>279</v>
      </c>
      <c r="I349" t="str">
        <f t="shared" si="33"/>
        <v>Player</v>
      </c>
      <c r="K349" t="str">
        <f t="shared" si="32"/>
        <v>BBC One Wales</v>
      </c>
      <c r="L349">
        <f t="shared" si="35"/>
        <v>864</v>
      </c>
      <c r="M349" t="str">
        <f>IF(NOT(ISERROR(VLOOKUP(B349&amp;" HD",B:B,1,FALSE))),VLOOKUP(B349&amp;" HD",K:L,2,FALSE),"")</f>
        <v/>
      </c>
      <c r="N349" t="str">
        <f>IF(NOT(ISERROR(VLOOKUP(B349&amp;" +1",B:B,1,FALSE))),VLOOKUP(B349&amp;" +1",K:L,2,FALSE),"")</f>
        <v/>
      </c>
      <c r="P349" t="str">
        <f t="shared" si="34"/>
        <v xml:space="preserve">      864:
        name: BBC One Wales
        package: Player</v>
      </c>
    </row>
    <row r="350" spans="1:16" x14ac:dyDescent="0.25">
      <c r="A350">
        <v>865</v>
      </c>
      <c r="B350" t="s">
        <v>255</v>
      </c>
      <c r="D350" t="s">
        <v>279</v>
      </c>
      <c r="E350" t="s">
        <v>279</v>
      </c>
      <c r="I350" t="str">
        <f t="shared" si="33"/>
        <v>Player</v>
      </c>
      <c r="K350" t="str">
        <f t="shared" si="32"/>
        <v>BBC Two England</v>
      </c>
      <c r="L350">
        <f t="shared" si="35"/>
        <v>865</v>
      </c>
      <c r="M350" t="str">
        <f>IF(NOT(ISERROR(VLOOKUP(B350&amp;" HD",B:B,1,FALSE))),VLOOKUP(B350&amp;" HD",K:L,2,FALSE),"")</f>
        <v/>
      </c>
      <c r="N350" t="str">
        <f>IF(NOT(ISERROR(VLOOKUP(B350&amp;" +1",B:B,1,FALSE))),VLOOKUP(B350&amp;" +1",K:L,2,FALSE),"")</f>
        <v/>
      </c>
      <c r="P350" t="str">
        <f t="shared" si="34"/>
        <v xml:space="preserve">      865:
        name: BBC Two England
        package: Player</v>
      </c>
    </row>
    <row r="351" spans="1:16" x14ac:dyDescent="0.25">
      <c r="A351">
        <v>870</v>
      </c>
      <c r="B351" s="4" t="s">
        <v>13</v>
      </c>
      <c r="D351" t="s">
        <v>279</v>
      </c>
      <c r="E351" t="s">
        <v>279</v>
      </c>
      <c r="I351" t="str">
        <f t="shared" ref="I351:I352" si="39">VLOOKUP(A351,PACKAGES,6,FALSE)</f>
        <v>Player</v>
      </c>
      <c r="K351" t="str">
        <f t="shared" ref="K351:K352" si="40">IF(IFERROR(FIND("&amp;",B351),0)=0,B351,CONCATENATE("'",B351,"'"))</f>
        <v>ITV</v>
      </c>
      <c r="L351">
        <f t="shared" ref="L351:L352" si="41">A351</f>
        <v>870</v>
      </c>
      <c r="M351">
        <f>IF(NOT(ISERROR(VLOOKUP(B351&amp;" HD",B:B,1,FALSE))),VLOOKUP(B351&amp;" HD",K:L,2,FALSE),"")</f>
        <v>113</v>
      </c>
      <c r="N351">
        <f>IF(NOT(ISERROR(VLOOKUP(B351&amp;" +1",B:B,1,FALSE))),VLOOKUP(B351&amp;" +1",K:L,2,FALSE),"")</f>
        <v>114</v>
      </c>
      <c r="P351" t="str">
        <f t="shared" si="34"/>
        <v xml:space="preserve">      870:
        name: ITV
        package: Player</v>
      </c>
    </row>
    <row r="352" spans="1:16" x14ac:dyDescent="0.25">
      <c r="A352">
        <v>871</v>
      </c>
      <c r="B352" s="4" t="s">
        <v>13</v>
      </c>
      <c r="D352" t="s">
        <v>279</v>
      </c>
      <c r="E352" t="s">
        <v>279</v>
      </c>
      <c r="I352" t="str">
        <f t="shared" si="39"/>
        <v>Player</v>
      </c>
      <c r="K352" t="str">
        <f t="shared" si="40"/>
        <v>ITV</v>
      </c>
      <c r="L352">
        <f t="shared" si="41"/>
        <v>871</v>
      </c>
      <c r="M352">
        <f>IF(NOT(ISERROR(VLOOKUP(B352&amp;" HD",B:B,1,FALSE))),VLOOKUP(B352&amp;" HD",K:L,2,FALSE),"")</f>
        <v>113</v>
      </c>
      <c r="N352">
        <f>IF(NOT(ISERROR(VLOOKUP(B352&amp;" +1",B:B,1,FALSE))),VLOOKUP(B352&amp;" +1",K:L,2,FALSE),"")</f>
        <v>114</v>
      </c>
      <c r="P352" t="str">
        <f t="shared" si="34"/>
        <v xml:space="preserve">      871:
        name: ITV
        package: Player</v>
      </c>
    </row>
    <row r="353" spans="1:16" x14ac:dyDescent="0.25">
      <c r="A353">
        <v>875</v>
      </c>
      <c r="B353" t="s">
        <v>282</v>
      </c>
      <c r="C353" t="str">
        <f>"true"</f>
        <v>true</v>
      </c>
      <c r="D353" t="s">
        <v>279</v>
      </c>
      <c r="E353" t="s">
        <v>279</v>
      </c>
      <c r="F353" s="3" t="s">
        <v>288</v>
      </c>
      <c r="I353" t="str">
        <f t="shared" si="33"/>
        <v>Player</v>
      </c>
      <c r="K353" t="str">
        <f t="shared" si="32"/>
        <v>RTÉ One</v>
      </c>
      <c r="L353">
        <f t="shared" si="35"/>
        <v>875</v>
      </c>
      <c r="M353" t="str">
        <f>IF(NOT(ISERROR(VLOOKUP(B353&amp;" HD",B:B,1,FALSE))),VLOOKUP(B353&amp;" HD",K:L,2,FALSE),"")</f>
        <v/>
      </c>
      <c r="N353" t="str">
        <f>IF(NOT(ISERROR(VLOOKUP(B353&amp;" +1",B:B,1,FALSE))),VLOOKUP(B353&amp;" +1",K:L,2,FALSE),"")</f>
        <v/>
      </c>
      <c r="P353" t="str">
        <f t="shared" si="34"/>
        <v xml:space="preserve">      875:
        name: RTÉ One
        show: true
        package: Player
        logo: https://www.freeview.co.uk/app/themes/freeview/assets/images/channels/entertainment/rteone.png</v>
      </c>
    </row>
    <row r="354" spans="1:16" x14ac:dyDescent="0.25">
      <c r="A354">
        <v>876</v>
      </c>
      <c r="B354" t="s">
        <v>639</v>
      </c>
      <c r="C354" t="str">
        <f>"true"</f>
        <v>true</v>
      </c>
      <c r="D354" t="s">
        <v>279</v>
      </c>
      <c r="E354" t="s">
        <v>279</v>
      </c>
      <c r="F354" s="3" t="s">
        <v>288</v>
      </c>
      <c r="I354" t="str">
        <f t="shared" si="33"/>
        <v>Player</v>
      </c>
      <c r="K354" t="str">
        <f t="shared" si="32"/>
        <v>RTÉ 2</v>
      </c>
      <c r="L354">
        <f t="shared" si="35"/>
        <v>876</v>
      </c>
      <c r="M354" t="str">
        <f>IF(NOT(ISERROR(VLOOKUP(B354&amp;" HD",B:B,1,FALSE))),VLOOKUP(B354&amp;" HD",K:L,2,FALSE),"")</f>
        <v/>
      </c>
      <c r="N354" t="str">
        <f>IF(NOT(ISERROR(VLOOKUP(B354&amp;" +1",B:B,1,FALSE))),VLOOKUP(B354&amp;" +1",K:L,2,FALSE),"")</f>
        <v/>
      </c>
      <c r="P354" t="str">
        <f t="shared" si="34"/>
        <v xml:space="preserve">      876:
        name: RTÉ 2
        show: true
        package: Player
        logo: https://www.freeview.co.uk/app/themes/freeview/assets/images/channels/entertainment/rteone.png</v>
      </c>
    </row>
    <row r="355" spans="1:16" x14ac:dyDescent="0.25">
      <c r="A355">
        <v>877</v>
      </c>
      <c r="B355" t="s">
        <v>283</v>
      </c>
      <c r="D355" t="s">
        <v>279</v>
      </c>
      <c r="E355" t="s">
        <v>279</v>
      </c>
      <c r="I355" t="str">
        <f t="shared" si="33"/>
        <v>Player</v>
      </c>
      <c r="K355" t="str">
        <f t="shared" si="32"/>
        <v>TG4</v>
      </c>
      <c r="L355">
        <f t="shared" si="35"/>
        <v>877</v>
      </c>
      <c r="M355" t="str">
        <f>IF(NOT(ISERROR(VLOOKUP(B355&amp;" HD",B:B,1,FALSE))),VLOOKUP(B355&amp;" HD",K:L,2,FALSE),"")</f>
        <v/>
      </c>
      <c r="N355" t="str">
        <f>IF(NOT(ISERROR(VLOOKUP(B355&amp;" +1",B:B,1,FALSE))),VLOOKUP(B355&amp;" +1",K:L,2,FALSE),"")</f>
        <v/>
      </c>
      <c r="P355" t="str">
        <f t="shared" si="34"/>
        <v xml:space="preserve">      877:
        name: TG4
        package: Player</v>
      </c>
    </row>
    <row r="356" spans="1:16" x14ac:dyDescent="0.25">
      <c r="A356">
        <v>901</v>
      </c>
      <c r="B356" t="s">
        <v>256</v>
      </c>
      <c r="D356" t="s">
        <v>279</v>
      </c>
      <c r="E356" t="s">
        <v>279</v>
      </c>
      <c r="G356" t="s">
        <v>284</v>
      </c>
      <c r="H356" t="s">
        <v>285</v>
      </c>
      <c r="I356" t="str">
        <f t="shared" si="33"/>
        <v>Free-to-air</v>
      </c>
      <c r="K356" t="str">
        <f t="shared" si="32"/>
        <v>BBC Radio 1</v>
      </c>
      <c r="L356">
        <f t="shared" si="35"/>
        <v>901</v>
      </c>
      <c r="M356" t="str">
        <f>IF(NOT(ISERROR(VLOOKUP(B356&amp;" HD",B:B,1,FALSE))),VLOOKUP(B356&amp;" HD",K:L,2,FALSE),"")</f>
        <v/>
      </c>
      <c r="N356" t="str">
        <f>IF(NOT(ISERROR(VLOOKUP(B356&amp;" +1",B:B,1,FALSE))),VLOOKUP(B356&amp;" +1",K:L,2,FALSE),"")</f>
        <v/>
      </c>
      <c r="P356" t="str">
        <f t="shared" si="34"/>
        <v xml:space="preserve">      901:
        name: BBC Radio 1
        package: Free-to-air
        target: media_player.family_room
        source: Virgin V6</v>
      </c>
    </row>
    <row r="357" spans="1:16" x14ac:dyDescent="0.25">
      <c r="A357">
        <v>902</v>
      </c>
      <c r="B357" t="s">
        <v>257</v>
      </c>
      <c r="D357" t="s">
        <v>279</v>
      </c>
      <c r="E357" t="s">
        <v>279</v>
      </c>
      <c r="G357" t="s">
        <v>284</v>
      </c>
      <c r="H357" t="s">
        <v>286</v>
      </c>
      <c r="I357" t="str">
        <f t="shared" si="33"/>
        <v>Free-to-air</v>
      </c>
      <c r="K357" t="str">
        <f t="shared" si="32"/>
        <v>BBC Radio 2</v>
      </c>
      <c r="L357">
        <f t="shared" si="35"/>
        <v>902</v>
      </c>
      <c r="M357" t="str">
        <f>IF(NOT(ISERROR(VLOOKUP(B357&amp;" HD",B:B,1,FALSE))),VLOOKUP(B357&amp;" HD",K:L,2,FALSE),"")</f>
        <v/>
      </c>
      <c r="N357" t="str">
        <f>IF(NOT(ISERROR(VLOOKUP(B357&amp;" +1",B:B,1,FALSE))),VLOOKUP(B357&amp;" +1",K:L,2,FALSE),"")</f>
        <v/>
      </c>
      <c r="P357" t="str">
        <f t="shared" si="34"/>
        <v xml:space="preserve">      902:
        name: BBC Radio 2
        package: Free-to-air
        target: media_player.family_room
        source: Virgin Tivo</v>
      </c>
    </row>
    <row r="358" spans="1:16" x14ac:dyDescent="0.25">
      <c r="A358">
        <v>903</v>
      </c>
      <c r="B358" t="s">
        <v>258</v>
      </c>
      <c r="D358" t="s">
        <v>279</v>
      </c>
      <c r="E358" t="s">
        <v>279</v>
      </c>
      <c r="G358" t="s">
        <v>284</v>
      </c>
      <c r="H358" t="s">
        <v>287</v>
      </c>
      <c r="I358" t="str">
        <f t="shared" si="33"/>
        <v>Free-to-air</v>
      </c>
      <c r="K358" t="str">
        <f t="shared" si="32"/>
        <v>BBC Radio 3</v>
      </c>
      <c r="L358">
        <f t="shared" si="35"/>
        <v>903</v>
      </c>
      <c r="M358" t="str">
        <f>IF(NOT(ISERROR(VLOOKUP(B358&amp;" HD",B:B,1,FALSE))),VLOOKUP(B358&amp;" HD",K:L,2,FALSE),"")</f>
        <v/>
      </c>
      <c r="N358" t="str">
        <f>IF(NOT(ISERROR(VLOOKUP(B358&amp;" +1",B:B,1,FALSE))),VLOOKUP(B358&amp;" +1",K:L,2,FALSE),"")</f>
        <v/>
      </c>
      <c r="P358" t="str">
        <f t="shared" si="34"/>
        <v xml:space="preserve">      903:
        name: BBC Radio 3
        package: Free-to-air
        target: media_player.family_room
        source: CCTV</v>
      </c>
    </row>
    <row r="359" spans="1:16" x14ac:dyDescent="0.25">
      <c r="A359">
        <v>904</v>
      </c>
      <c r="B359" t="s">
        <v>355</v>
      </c>
      <c r="D359" t="s">
        <v>279</v>
      </c>
      <c r="E359" t="s">
        <v>279</v>
      </c>
      <c r="I359" t="str">
        <f t="shared" si="33"/>
        <v>Free-to-air</v>
      </c>
      <c r="K359" t="str">
        <f t="shared" si="32"/>
        <v>BBC Radio 4</v>
      </c>
      <c r="L359">
        <f t="shared" si="35"/>
        <v>904</v>
      </c>
      <c r="M359" t="str">
        <f>IF(NOT(ISERROR(VLOOKUP(B359&amp;" HD",B:B,1,FALSE))),VLOOKUP(B359&amp;" HD",K:L,2,FALSE),"")</f>
        <v/>
      </c>
      <c r="N359" t="str">
        <f>IF(NOT(ISERROR(VLOOKUP(B359&amp;" +1",B:B,1,FALSE))),VLOOKUP(B359&amp;" +1",K:L,2,FALSE),"")</f>
        <v/>
      </c>
      <c r="P359" t="str">
        <f t="shared" si="34"/>
        <v xml:space="preserve">      904:
        name: BBC Radio 4
        package: Free-to-air</v>
      </c>
    </row>
    <row r="360" spans="1:16" x14ac:dyDescent="0.25">
      <c r="A360">
        <v>905</v>
      </c>
      <c r="B360" t="s">
        <v>259</v>
      </c>
      <c r="D360" t="s">
        <v>279</v>
      </c>
      <c r="E360" t="s">
        <v>279</v>
      </c>
      <c r="I360" t="str">
        <f t="shared" si="33"/>
        <v>Free-to-air</v>
      </c>
      <c r="K360" t="str">
        <f t="shared" si="32"/>
        <v>BBC Radio 5 Live</v>
      </c>
      <c r="L360">
        <f t="shared" si="35"/>
        <v>905</v>
      </c>
      <c r="M360" t="str">
        <f>IF(NOT(ISERROR(VLOOKUP(B360&amp;" HD",B:B,1,FALSE))),VLOOKUP(B360&amp;" HD",K:L,2,FALSE),"")</f>
        <v/>
      </c>
      <c r="N360" t="str">
        <f>IF(NOT(ISERROR(VLOOKUP(B360&amp;" +1",B:B,1,FALSE))),VLOOKUP(B360&amp;" +1",K:L,2,FALSE),"")</f>
        <v/>
      </c>
      <c r="P360" t="str">
        <f t="shared" si="34"/>
        <v xml:space="preserve">      905:
        name: BBC Radio 5 Live
        package: Free-to-air</v>
      </c>
    </row>
    <row r="361" spans="1:16" x14ac:dyDescent="0.25">
      <c r="A361">
        <v>906</v>
      </c>
      <c r="B361" t="s">
        <v>260</v>
      </c>
      <c r="D361" t="s">
        <v>279</v>
      </c>
      <c r="E361" t="s">
        <v>279</v>
      </c>
      <c r="I361" t="str">
        <f t="shared" si="33"/>
        <v>Free-to-air</v>
      </c>
      <c r="K361" t="str">
        <f t="shared" si="32"/>
        <v>BBC World Service</v>
      </c>
      <c r="L361">
        <f t="shared" si="35"/>
        <v>906</v>
      </c>
      <c r="M361" t="str">
        <f>IF(NOT(ISERROR(VLOOKUP(B361&amp;" HD",B:B,1,FALSE))),VLOOKUP(B361&amp;" HD",K:L,2,FALSE),"")</f>
        <v/>
      </c>
      <c r="N361" t="str">
        <f>IF(NOT(ISERROR(VLOOKUP(B361&amp;" +1",B:B,1,FALSE))),VLOOKUP(B361&amp;" +1",K:L,2,FALSE),"")</f>
        <v/>
      </c>
      <c r="P361" t="str">
        <f t="shared" si="34"/>
        <v xml:space="preserve">      906:
        name: BBC World Service
        package: Free-to-air</v>
      </c>
    </row>
    <row r="362" spans="1:16" x14ac:dyDescent="0.25">
      <c r="A362">
        <v>907</v>
      </c>
      <c r="B362" t="s">
        <v>642</v>
      </c>
      <c r="D362" t="s">
        <v>279</v>
      </c>
      <c r="E362" t="s">
        <v>279</v>
      </c>
      <c r="I362" t="str">
        <f t="shared" si="33"/>
        <v>Free-to-air</v>
      </c>
      <c r="K362" t="str">
        <f t="shared" si="32"/>
        <v>BBC Radio 1Xtra</v>
      </c>
      <c r="L362">
        <f t="shared" si="35"/>
        <v>907</v>
      </c>
      <c r="M362" t="str">
        <f>IF(NOT(ISERROR(VLOOKUP(B362&amp;" HD",B:B,1,FALSE))),VLOOKUP(B362&amp;" HD",K:L,2,FALSE),"")</f>
        <v/>
      </c>
      <c r="N362" t="str">
        <f>IF(NOT(ISERROR(VLOOKUP(B362&amp;" +1",B:B,1,FALSE))),VLOOKUP(B362&amp;" +1",K:L,2,FALSE),"")</f>
        <v/>
      </c>
      <c r="P362" t="str">
        <f t="shared" si="34"/>
        <v xml:space="preserve">      907:
        name: BBC Radio 1Xtra
        package: Free-to-air</v>
      </c>
    </row>
    <row r="363" spans="1:16" x14ac:dyDescent="0.25">
      <c r="A363">
        <v>908</v>
      </c>
      <c r="B363" s="4" t="s">
        <v>643</v>
      </c>
      <c r="D363" t="s">
        <v>279</v>
      </c>
      <c r="E363" t="s">
        <v>279</v>
      </c>
      <c r="I363" t="str">
        <f t="shared" si="33"/>
        <v>Free-to-air</v>
      </c>
      <c r="K363" t="str">
        <f t="shared" si="32"/>
        <v>BBC Radio 5 Live Sports Extra</v>
      </c>
      <c r="L363">
        <f t="shared" si="35"/>
        <v>908</v>
      </c>
      <c r="M363" t="str">
        <f>IF(NOT(ISERROR(VLOOKUP(B363&amp;" HD",B:B,1,FALSE))),VLOOKUP(B363&amp;" HD",K:L,2,FALSE),"")</f>
        <v/>
      </c>
      <c r="N363" t="str">
        <f>IF(NOT(ISERROR(VLOOKUP(B363&amp;" +1",B:B,1,FALSE))),VLOOKUP(B363&amp;" +1",K:L,2,FALSE),"")</f>
        <v/>
      </c>
      <c r="P363" t="str">
        <f t="shared" si="34"/>
        <v xml:space="preserve">      908:
        name: BBC Radio 5 Live Sports Extra
        package: Free-to-air</v>
      </c>
    </row>
    <row r="364" spans="1:16" x14ac:dyDescent="0.25">
      <c r="A364">
        <v>909</v>
      </c>
      <c r="B364" t="s">
        <v>261</v>
      </c>
      <c r="D364" t="s">
        <v>279</v>
      </c>
      <c r="E364" t="s">
        <v>279</v>
      </c>
      <c r="I364" t="str">
        <f t="shared" si="33"/>
        <v>Free-to-air</v>
      </c>
      <c r="K364" t="str">
        <f t="shared" si="32"/>
        <v>BBC Radio 6 Music</v>
      </c>
      <c r="L364">
        <f t="shared" si="35"/>
        <v>909</v>
      </c>
      <c r="M364" t="str">
        <f>IF(NOT(ISERROR(VLOOKUP(B364&amp;" HD",B:B,1,FALSE))),VLOOKUP(B364&amp;" HD",K:L,2,FALSE),"")</f>
        <v/>
      </c>
      <c r="N364" t="str">
        <f>IF(NOT(ISERROR(VLOOKUP(B364&amp;" +1",B:B,1,FALSE))),VLOOKUP(B364&amp;" +1",K:L,2,FALSE),"")</f>
        <v/>
      </c>
      <c r="P364" t="str">
        <f t="shared" si="34"/>
        <v xml:space="preserve">      909:
        name: BBC Radio 6 Music
        package: Free-to-air</v>
      </c>
    </row>
    <row r="365" spans="1:16" x14ac:dyDescent="0.25">
      <c r="A365">
        <v>910</v>
      </c>
      <c r="B365" t="s">
        <v>262</v>
      </c>
      <c r="D365" t="s">
        <v>279</v>
      </c>
      <c r="E365" t="s">
        <v>279</v>
      </c>
      <c r="I365" t="str">
        <f t="shared" si="33"/>
        <v>Free-to-air</v>
      </c>
      <c r="K365" t="str">
        <f t="shared" si="32"/>
        <v>BBC Radio 4 Extra</v>
      </c>
      <c r="L365">
        <f t="shared" si="35"/>
        <v>910</v>
      </c>
      <c r="M365" t="str">
        <f>IF(NOT(ISERROR(VLOOKUP(B365&amp;" HD",B:B,1,FALSE))),VLOOKUP(B365&amp;" HD",K:L,2,FALSE),"")</f>
        <v/>
      </c>
      <c r="N365" t="str">
        <f>IF(NOT(ISERROR(VLOOKUP(B365&amp;" +1",B:B,1,FALSE))),VLOOKUP(B365&amp;" +1",K:L,2,FALSE),"")</f>
        <v/>
      </c>
      <c r="P365" t="str">
        <f t="shared" si="34"/>
        <v xml:space="preserve">      910:
        name: BBC Radio 4 Extra
        package: Free-to-air</v>
      </c>
    </row>
    <row r="366" spans="1:16" x14ac:dyDescent="0.25">
      <c r="A366">
        <v>911</v>
      </c>
      <c r="B366" t="s">
        <v>356</v>
      </c>
      <c r="D366" t="s">
        <v>279</v>
      </c>
      <c r="E366" t="s">
        <v>279</v>
      </c>
      <c r="I366" t="str">
        <f t="shared" si="33"/>
        <v>Free-to-air</v>
      </c>
      <c r="K366" t="str">
        <f t="shared" si="32"/>
        <v>BBC Radio 4 LW</v>
      </c>
      <c r="L366">
        <f t="shared" si="35"/>
        <v>911</v>
      </c>
      <c r="M366" t="str">
        <f>IF(NOT(ISERROR(VLOOKUP(B366&amp;" HD",B:B,1,FALSE))),VLOOKUP(B366&amp;" HD",K:L,2,FALSE),"")</f>
        <v/>
      </c>
      <c r="N366" t="str">
        <f>IF(NOT(ISERROR(VLOOKUP(B366&amp;" +1",B:B,1,FALSE))),VLOOKUP(B366&amp;" +1",K:L,2,FALSE),"")</f>
        <v/>
      </c>
      <c r="P366" t="str">
        <f t="shared" si="34"/>
        <v xml:space="preserve">      911:
        name: BBC Radio 4 LW
        package: Free-to-air</v>
      </c>
    </row>
    <row r="367" spans="1:16" x14ac:dyDescent="0.25">
      <c r="A367">
        <v>912</v>
      </c>
      <c r="B367" t="s">
        <v>263</v>
      </c>
      <c r="D367" t="s">
        <v>279</v>
      </c>
      <c r="E367" t="s">
        <v>279</v>
      </c>
      <c r="I367" t="str">
        <f t="shared" si="33"/>
        <v>Free-to-air</v>
      </c>
      <c r="K367" t="str">
        <f t="shared" si="32"/>
        <v>BBC Asian Network</v>
      </c>
      <c r="L367">
        <f t="shared" si="35"/>
        <v>912</v>
      </c>
      <c r="M367" t="str">
        <f>IF(NOT(ISERROR(VLOOKUP(B367&amp;" HD",B:B,1,FALSE))),VLOOKUP(B367&amp;" HD",K:L,2,FALSE),"")</f>
        <v/>
      </c>
      <c r="N367" t="str">
        <f>IF(NOT(ISERROR(VLOOKUP(B367&amp;" +1",B:B,1,FALSE))),VLOOKUP(B367&amp;" +1",K:L,2,FALSE),"")</f>
        <v/>
      </c>
      <c r="P367" t="str">
        <f t="shared" si="34"/>
        <v xml:space="preserve">      912:
        name: BBC Asian Network
        package: Free-to-air</v>
      </c>
    </row>
    <row r="368" spans="1:16" x14ac:dyDescent="0.25">
      <c r="A368">
        <v>915</v>
      </c>
      <c r="B368" t="s">
        <v>264</v>
      </c>
      <c r="D368" t="s">
        <v>279</v>
      </c>
      <c r="E368" t="s">
        <v>279</v>
      </c>
      <c r="I368" t="str">
        <f t="shared" si="33"/>
        <v>Free-to-air</v>
      </c>
      <c r="K368" t="str">
        <f t="shared" si="32"/>
        <v>Absolute Radio</v>
      </c>
      <c r="L368">
        <f t="shared" si="35"/>
        <v>915</v>
      </c>
      <c r="M368" t="str">
        <f>IF(NOT(ISERROR(VLOOKUP(B368&amp;" HD",B:B,1,FALSE))),VLOOKUP(B368&amp;" HD",K:L,2,FALSE),"")</f>
        <v/>
      </c>
      <c r="N368" t="str">
        <f>IF(NOT(ISERROR(VLOOKUP(B368&amp;" +1",B:B,1,FALSE))),VLOOKUP(B368&amp;" +1",K:L,2,FALSE),"")</f>
        <v/>
      </c>
      <c r="P368" t="str">
        <f t="shared" si="34"/>
        <v xml:space="preserve">      915:
        name: Absolute Radio
        package: Free-to-air</v>
      </c>
    </row>
    <row r="369" spans="1:16" x14ac:dyDescent="0.25">
      <c r="A369">
        <v>916</v>
      </c>
      <c r="B369" t="s">
        <v>265</v>
      </c>
      <c r="D369" t="s">
        <v>279</v>
      </c>
      <c r="E369" t="s">
        <v>279</v>
      </c>
      <c r="I369" t="str">
        <f t="shared" si="33"/>
        <v>Free-to-air</v>
      </c>
      <c r="K369" t="str">
        <f t="shared" si="32"/>
        <v>Smooth Radio</v>
      </c>
      <c r="L369">
        <f t="shared" si="35"/>
        <v>916</v>
      </c>
      <c r="M369" t="str">
        <f>IF(NOT(ISERROR(VLOOKUP(B369&amp;" HD",B:B,1,FALSE))),VLOOKUP(B369&amp;" HD",K:L,2,FALSE),"")</f>
        <v/>
      </c>
      <c r="N369" t="str">
        <f>IF(NOT(ISERROR(VLOOKUP(B369&amp;" +1",B:B,1,FALSE))),VLOOKUP(B369&amp;" +1",K:L,2,FALSE),"")</f>
        <v/>
      </c>
      <c r="P369" t="str">
        <f t="shared" si="34"/>
        <v xml:space="preserve">      916:
        name: Smooth Radio
        package: Free-to-air</v>
      </c>
    </row>
    <row r="370" spans="1:16" x14ac:dyDescent="0.25">
      <c r="A370">
        <v>917</v>
      </c>
      <c r="B370" s="4" t="s">
        <v>646</v>
      </c>
      <c r="D370" t="s">
        <v>279</v>
      </c>
      <c r="E370" t="s">
        <v>279</v>
      </c>
      <c r="I370" t="str">
        <f t="shared" si="33"/>
        <v>Free-to-air</v>
      </c>
      <c r="K370" t="str">
        <f t="shared" si="32"/>
        <v>RTÉ Radio 1</v>
      </c>
      <c r="L370">
        <f t="shared" si="35"/>
        <v>917</v>
      </c>
      <c r="M370" t="str">
        <f>IF(NOT(ISERROR(VLOOKUP(B370&amp;" HD",B:B,1,FALSE))),VLOOKUP(B370&amp;" HD",K:L,2,FALSE),"")</f>
        <v/>
      </c>
      <c r="N370" t="str">
        <f>IF(NOT(ISERROR(VLOOKUP(B370&amp;" +1",B:B,1,FALSE))),VLOOKUP(B370&amp;" +1",K:L,2,FALSE),"")</f>
        <v/>
      </c>
      <c r="P370" t="str">
        <f t="shared" si="34"/>
        <v xml:space="preserve">      917:
        name: RTÉ Radio 1
        package: Free-to-air</v>
      </c>
    </row>
    <row r="371" spans="1:16" x14ac:dyDescent="0.25">
      <c r="A371">
        <v>918</v>
      </c>
      <c r="B371" s="4" t="s">
        <v>647</v>
      </c>
      <c r="D371" t="s">
        <v>279</v>
      </c>
      <c r="E371" t="s">
        <v>279</v>
      </c>
      <c r="I371" t="str">
        <f t="shared" si="33"/>
        <v>Free-to-air</v>
      </c>
      <c r="K371" t="str">
        <f t="shared" si="32"/>
        <v>Heart London</v>
      </c>
      <c r="L371">
        <f t="shared" si="35"/>
        <v>918</v>
      </c>
      <c r="M371" t="str">
        <f>IF(NOT(ISERROR(VLOOKUP(B371&amp;" HD",B:B,1,FALSE))),VLOOKUP(B371&amp;" HD",K:L,2,FALSE),"")</f>
        <v/>
      </c>
      <c r="N371" t="str">
        <f>IF(NOT(ISERROR(VLOOKUP(B371&amp;" +1",B:B,1,FALSE))),VLOOKUP(B371&amp;" +1",K:L,2,FALSE),"")</f>
        <v/>
      </c>
      <c r="P371" t="str">
        <f t="shared" si="34"/>
        <v xml:space="preserve">      918:
        name: Heart London
        package: Free-to-air</v>
      </c>
    </row>
    <row r="372" spans="1:16" x14ac:dyDescent="0.25">
      <c r="A372">
        <v>919</v>
      </c>
      <c r="B372" t="s">
        <v>357</v>
      </c>
      <c r="D372" t="s">
        <v>279</v>
      </c>
      <c r="E372" t="s">
        <v>279</v>
      </c>
      <c r="I372" t="str">
        <f t="shared" si="33"/>
        <v>Free-to-air</v>
      </c>
      <c r="K372" t="str">
        <f t="shared" si="32"/>
        <v>LBC</v>
      </c>
      <c r="L372">
        <f t="shared" si="35"/>
        <v>919</v>
      </c>
      <c r="M372" t="str">
        <f>IF(NOT(ISERROR(VLOOKUP(B372&amp;" HD",B:B,1,FALSE))),VLOOKUP(B372&amp;" HD",K:L,2,FALSE),"")</f>
        <v/>
      </c>
      <c r="N372" t="str">
        <f>IF(NOT(ISERROR(VLOOKUP(B372&amp;" +1",B:B,1,FALSE))),VLOOKUP(B372&amp;" +1",K:L,2,FALSE),"")</f>
        <v/>
      </c>
      <c r="P372" t="str">
        <f t="shared" si="34"/>
        <v xml:space="preserve">      919:
        name: LBC
        package: Free-to-air</v>
      </c>
    </row>
    <row r="373" spans="1:16" x14ac:dyDescent="0.25">
      <c r="A373">
        <v>920</v>
      </c>
      <c r="B373" s="4" t="s">
        <v>648</v>
      </c>
      <c r="D373" t="s">
        <v>279</v>
      </c>
      <c r="E373" t="s">
        <v>279</v>
      </c>
      <c r="I373" t="str">
        <f t="shared" si="33"/>
        <v>Free-to-air</v>
      </c>
      <c r="K373" t="str">
        <f t="shared" si="32"/>
        <v>WRN Broadcast</v>
      </c>
      <c r="L373">
        <f t="shared" si="35"/>
        <v>920</v>
      </c>
      <c r="M373" t="str">
        <f>IF(NOT(ISERROR(VLOOKUP(B373&amp;" HD",B:B,1,FALSE))),VLOOKUP(B373&amp;" HD",K:L,2,FALSE),"")</f>
        <v/>
      </c>
      <c r="N373" t="str">
        <f>IF(NOT(ISERROR(VLOOKUP(B373&amp;" +1",B:B,1,FALSE))),VLOOKUP(B373&amp;" +1",K:L,2,FALSE),"")</f>
        <v/>
      </c>
      <c r="P373" t="str">
        <f t="shared" si="34"/>
        <v xml:space="preserve">      920:
        name: WRN Broadcast
        package: Free-to-air</v>
      </c>
    </row>
    <row r="374" spans="1:16" x14ac:dyDescent="0.25">
      <c r="A374">
        <v>921</v>
      </c>
      <c r="B374" t="s">
        <v>266</v>
      </c>
      <c r="D374" t="s">
        <v>279</v>
      </c>
      <c r="E374" t="s">
        <v>279</v>
      </c>
      <c r="I374" t="str">
        <f t="shared" si="33"/>
        <v>Free-to-air</v>
      </c>
      <c r="K374" t="str">
        <f t="shared" si="32"/>
        <v>Heart 80s</v>
      </c>
      <c r="L374">
        <f t="shared" si="35"/>
        <v>921</v>
      </c>
      <c r="M374" t="str">
        <f>IF(NOT(ISERROR(VLOOKUP(B374&amp;" HD",B:B,1,FALSE))),VLOOKUP(B374&amp;" HD",K:L,2,FALSE),"")</f>
        <v/>
      </c>
      <c r="N374" t="str">
        <f>IF(NOT(ISERROR(VLOOKUP(B374&amp;" +1",B:B,1,FALSE))),VLOOKUP(B374&amp;" +1",K:L,2,FALSE),"")</f>
        <v/>
      </c>
      <c r="P374" t="str">
        <f t="shared" si="34"/>
        <v xml:space="preserve">      921:
        name: Heart 80s
        package: Free-to-air</v>
      </c>
    </row>
    <row r="375" spans="1:16" x14ac:dyDescent="0.25">
      <c r="A375">
        <v>922</v>
      </c>
      <c r="B375" t="s">
        <v>267</v>
      </c>
      <c r="D375" t="s">
        <v>279</v>
      </c>
      <c r="E375" t="s">
        <v>279</v>
      </c>
      <c r="I375" t="str">
        <f t="shared" si="33"/>
        <v>Free-to-air</v>
      </c>
      <c r="K375" t="str">
        <f t="shared" si="32"/>
        <v>Classic FM</v>
      </c>
      <c r="L375">
        <f t="shared" si="35"/>
        <v>922</v>
      </c>
      <c r="M375" t="str">
        <f>IF(NOT(ISERROR(VLOOKUP(B375&amp;" HD",B:B,1,FALSE))),VLOOKUP(B375&amp;" HD",K:L,2,FALSE),"")</f>
        <v/>
      </c>
      <c r="N375" t="str">
        <f>IF(NOT(ISERROR(VLOOKUP(B375&amp;" +1",B:B,1,FALSE))),VLOOKUP(B375&amp;" +1",K:L,2,FALSE),"")</f>
        <v/>
      </c>
      <c r="P375" t="str">
        <f t="shared" si="34"/>
        <v xml:space="preserve">      922:
        name: Classic FM
        package: Free-to-air</v>
      </c>
    </row>
    <row r="376" spans="1:16" x14ac:dyDescent="0.25">
      <c r="A376">
        <v>923</v>
      </c>
      <c r="B376" t="s">
        <v>29</v>
      </c>
      <c r="D376" t="s">
        <v>279</v>
      </c>
      <c r="I376" t="str">
        <f t="shared" si="33"/>
        <v>Free-to-air</v>
      </c>
      <c r="K376" t="str">
        <f t="shared" si="32"/>
        <v>Gold</v>
      </c>
      <c r="L376">
        <f t="shared" si="35"/>
        <v>923</v>
      </c>
      <c r="M376">
        <f>IF(NOT(ISERROR(VLOOKUP(B376&amp;" HD",B:B,1,FALSE))),VLOOKUP(B376&amp;" HD",K:L,2,FALSE),"")</f>
        <v>124</v>
      </c>
      <c r="P376" t="str">
        <f t="shared" si="34"/>
        <v xml:space="preserve">      923:
        name: Gold
        package: Free-to-air</v>
      </c>
    </row>
    <row r="377" spans="1:16" x14ac:dyDescent="0.25">
      <c r="A377">
        <v>924</v>
      </c>
      <c r="B377" t="s">
        <v>268</v>
      </c>
      <c r="D377" t="s">
        <v>279</v>
      </c>
      <c r="E377" t="s">
        <v>279</v>
      </c>
      <c r="I377" t="str">
        <f t="shared" si="33"/>
        <v>Free-to-air</v>
      </c>
      <c r="K377" t="str">
        <f t="shared" si="32"/>
        <v>Planet Rock</v>
      </c>
      <c r="L377">
        <f t="shared" si="35"/>
        <v>924</v>
      </c>
      <c r="M377" t="str">
        <f>IF(NOT(ISERROR(VLOOKUP(B377&amp;" HD",B:B,1,FALSE))),VLOOKUP(B377&amp;" HD",K:L,2,FALSE),"")</f>
        <v/>
      </c>
      <c r="N377" t="str">
        <f>IF(NOT(ISERROR(VLOOKUP(B377&amp;" +1",B:B,1,FALSE))),VLOOKUP(B377&amp;" +1",K:L,2,FALSE),"")</f>
        <v/>
      </c>
      <c r="P377" t="str">
        <f t="shared" si="34"/>
        <v xml:space="preserve">      924:
        name: Planet Rock
        package: Free-to-air</v>
      </c>
    </row>
    <row r="378" spans="1:16" x14ac:dyDescent="0.25">
      <c r="A378">
        <v>927</v>
      </c>
      <c r="B378" t="s">
        <v>269</v>
      </c>
      <c r="D378" t="s">
        <v>279</v>
      </c>
      <c r="E378" t="s">
        <v>279</v>
      </c>
      <c r="I378" t="str">
        <f t="shared" si="33"/>
        <v>Free-to-air</v>
      </c>
      <c r="K378" t="str">
        <f t="shared" si="32"/>
        <v>Talksport</v>
      </c>
      <c r="L378">
        <f t="shared" si="35"/>
        <v>927</v>
      </c>
      <c r="M378" t="str">
        <f>IF(NOT(ISERROR(VLOOKUP(B378&amp;" HD",B:B,1,FALSE))),VLOOKUP(B378&amp;" HD",K:L,2,FALSE),"")</f>
        <v/>
      </c>
      <c r="N378" t="str">
        <f>IF(NOT(ISERROR(VLOOKUP(B378&amp;" +1",B:B,1,FALSE))),VLOOKUP(B378&amp;" +1",K:L,2,FALSE),"")</f>
        <v/>
      </c>
      <c r="P378" t="str">
        <f t="shared" si="34"/>
        <v xml:space="preserve">      927:
        name: Talksport
        package: Free-to-air</v>
      </c>
    </row>
    <row r="379" spans="1:16" x14ac:dyDescent="0.25">
      <c r="A379">
        <v>928</v>
      </c>
      <c r="B379" s="4" t="s">
        <v>147</v>
      </c>
      <c r="D379" t="s">
        <v>279</v>
      </c>
      <c r="E379" t="s">
        <v>279</v>
      </c>
      <c r="I379" t="str">
        <f t="shared" si="33"/>
        <v>Free-to-air</v>
      </c>
      <c r="K379" t="str">
        <f t="shared" si="32"/>
        <v>Magic</v>
      </c>
      <c r="L379">
        <f t="shared" si="35"/>
        <v>928</v>
      </c>
      <c r="M379" t="str">
        <f>IF(NOT(ISERROR(VLOOKUP(B379&amp;" HD",B:B,1,FALSE))),VLOOKUP(B379&amp;" HD",K:L,2,FALSE),"")</f>
        <v/>
      </c>
      <c r="N379" t="str">
        <f>IF(NOT(ISERROR(VLOOKUP(B379&amp;" +1",B:B,1,FALSE))),VLOOKUP(B379&amp;" +1",K:L,2,FALSE),"")</f>
        <v/>
      </c>
      <c r="P379" t="str">
        <f t="shared" si="34"/>
        <v xml:space="preserve">      928:
        name: Magic
        package: Free-to-air</v>
      </c>
    </row>
    <row r="380" spans="1:16" x14ac:dyDescent="0.25">
      <c r="A380">
        <v>930</v>
      </c>
      <c r="B380" t="s">
        <v>270</v>
      </c>
      <c r="D380" t="s">
        <v>279</v>
      </c>
      <c r="E380" t="s">
        <v>279</v>
      </c>
      <c r="I380" t="str">
        <f t="shared" si="33"/>
        <v>Free-to-air</v>
      </c>
      <c r="K380" t="str">
        <f t="shared" si="32"/>
        <v>BBC Radio Scotland</v>
      </c>
      <c r="L380">
        <f t="shared" si="35"/>
        <v>930</v>
      </c>
      <c r="M380" t="str">
        <f>IF(NOT(ISERROR(VLOOKUP(B380&amp;" HD",B:B,1,FALSE))),VLOOKUP(B380&amp;" HD",K:L,2,FALSE),"")</f>
        <v/>
      </c>
      <c r="N380" t="str">
        <f>IF(NOT(ISERROR(VLOOKUP(B380&amp;" +1",B:B,1,FALSE))),VLOOKUP(B380&amp;" +1",K:L,2,FALSE),"")</f>
        <v/>
      </c>
      <c r="P380" t="str">
        <f t="shared" si="34"/>
        <v xml:space="preserve">      930:
        name: BBC Radio Scotland
        package: Free-to-air</v>
      </c>
    </row>
    <row r="381" spans="1:16" x14ac:dyDescent="0.25">
      <c r="A381">
        <v>931</v>
      </c>
      <c r="B381" t="s">
        <v>271</v>
      </c>
      <c r="D381" t="s">
        <v>279</v>
      </c>
      <c r="E381" t="s">
        <v>279</v>
      </c>
      <c r="I381" t="str">
        <f t="shared" si="33"/>
        <v>Free-to-air</v>
      </c>
      <c r="K381" t="str">
        <f t="shared" si="32"/>
        <v>BBC Radio Wales</v>
      </c>
      <c r="L381">
        <f t="shared" si="35"/>
        <v>931</v>
      </c>
      <c r="M381" t="str">
        <f>IF(NOT(ISERROR(VLOOKUP(B381&amp;" HD",B:B,1,FALSE))),VLOOKUP(B381&amp;" HD",K:L,2,FALSE),"")</f>
        <v/>
      </c>
      <c r="N381" t="str">
        <f>IF(NOT(ISERROR(VLOOKUP(B381&amp;" +1",B:B,1,FALSE))),VLOOKUP(B381&amp;" +1",K:L,2,FALSE),"")</f>
        <v/>
      </c>
      <c r="P381" t="str">
        <f t="shared" si="34"/>
        <v xml:space="preserve">      931:
        name: BBC Radio Wales
        package: Free-to-air</v>
      </c>
    </row>
    <row r="382" spans="1:16" x14ac:dyDescent="0.25">
      <c r="A382">
        <v>932</v>
      </c>
      <c r="B382" t="s">
        <v>272</v>
      </c>
      <c r="D382" t="s">
        <v>279</v>
      </c>
      <c r="E382" t="s">
        <v>279</v>
      </c>
      <c r="I382" t="str">
        <f t="shared" si="33"/>
        <v>Free-to-air</v>
      </c>
      <c r="K382" t="str">
        <f t="shared" si="32"/>
        <v>BBC Radio Ulster</v>
      </c>
      <c r="L382">
        <f t="shared" si="35"/>
        <v>932</v>
      </c>
      <c r="M382" t="str">
        <f>IF(NOT(ISERROR(VLOOKUP(B382&amp;" HD",B:B,1,FALSE))),VLOOKUP(B382&amp;" HD",K:L,2,FALSE),"")</f>
        <v/>
      </c>
      <c r="N382" t="str">
        <f>IF(NOT(ISERROR(VLOOKUP(B382&amp;" +1",B:B,1,FALSE))),VLOOKUP(B382&amp;" +1",K:L,2,FALSE),"")</f>
        <v/>
      </c>
      <c r="P382" t="str">
        <f t="shared" si="34"/>
        <v xml:space="preserve">      932:
        name: BBC Radio Ulster
        package: Free-to-air</v>
      </c>
    </row>
    <row r="383" spans="1:16" x14ac:dyDescent="0.25">
      <c r="A383">
        <v>933</v>
      </c>
      <c r="B383" s="4" t="s">
        <v>358</v>
      </c>
      <c r="D383" t="s">
        <v>279</v>
      </c>
      <c r="E383" t="s">
        <v>279</v>
      </c>
      <c r="I383" t="str">
        <f t="shared" si="33"/>
        <v>Free-to-air</v>
      </c>
      <c r="K383" t="str">
        <f t="shared" si="32"/>
        <v>BBC Radio Foyle</v>
      </c>
      <c r="L383">
        <f t="shared" ref="L383" si="42">A383</f>
        <v>933</v>
      </c>
      <c r="M383" t="str">
        <f>IF(NOT(ISERROR(VLOOKUP(B383&amp;" HD",B:B,1,FALSE))),VLOOKUP(B383&amp;" HD",K:L,2,FALSE),"")</f>
        <v/>
      </c>
      <c r="N383" t="str">
        <f>IF(NOT(ISERROR(VLOOKUP(B383&amp;" +1",B:B,1,FALSE))),VLOOKUP(B383&amp;" +1",K:L,2,FALSE),"")</f>
        <v/>
      </c>
      <c r="P383" t="str">
        <f t="shared" si="34"/>
        <v xml:space="preserve">      933:
        name: BBC Radio Foyle
        package: Free-to-air</v>
      </c>
    </row>
    <row r="384" spans="1:16" x14ac:dyDescent="0.25">
      <c r="A384">
        <v>934</v>
      </c>
      <c r="B384" t="s">
        <v>651</v>
      </c>
      <c r="D384" t="s">
        <v>279</v>
      </c>
      <c r="E384" t="s">
        <v>279</v>
      </c>
      <c r="I384" t="str">
        <f t="shared" si="33"/>
        <v>Free-to-air</v>
      </c>
      <c r="K384" t="str">
        <f t="shared" si="32"/>
        <v>BBC Radio nan Gàidheal</v>
      </c>
      <c r="L384">
        <f t="shared" si="35"/>
        <v>934</v>
      </c>
      <c r="M384" t="str">
        <f>IF(NOT(ISERROR(VLOOKUP(B384&amp;" HD",B:B,1,FALSE))),VLOOKUP(B384&amp;" HD",K:L,2,FALSE),"")</f>
        <v/>
      </c>
      <c r="N384" t="str">
        <f>IF(NOT(ISERROR(VLOOKUP(B384&amp;" +1",B:B,1,FALSE))),VLOOKUP(B384&amp;" +1",K:L,2,FALSE),"")</f>
        <v/>
      </c>
      <c r="P384" t="str">
        <f t="shared" si="34"/>
        <v xml:space="preserve">      934:
        name: BBC Radio nan Gàidheal
        package: Free-to-air</v>
      </c>
    </row>
    <row r="385" spans="1:16" x14ac:dyDescent="0.25">
      <c r="A385">
        <v>936</v>
      </c>
      <c r="B385" t="s">
        <v>273</v>
      </c>
      <c r="D385" t="s">
        <v>279</v>
      </c>
      <c r="E385" t="s">
        <v>279</v>
      </c>
      <c r="I385" t="str">
        <f t="shared" si="33"/>
        <v>Free-to-air</v>
      </c>
      <c r="K385" t="str">
        <f t="shared" si="32"/>
        <v>BBC Radio Cymru</v>
      </c>
      <c r="L385">
        <f t="shared" si="35"/>
        <v>936</v>
      </c>
      <c r="M385" t="str">
        <f>IF(NOT(ISERROR(VLOOKUP(B385&amp;" HD",B:B,1,FALSE))),VLOOKUP(B385&amp;" HD",K:L,2,FALSE),"")</f>
        <v/>
      </c>
      <c r="N385" t="str">
        <f>IF(NOT(ISERROR(VLOOKUP(B385&amp;" +1",B:B,1,FALSE))),VLOOKUP(B385&amp;" +1",K:L,2,FALSE),"")</f>
        <v/>
      </c>
      <c r="P385" t="str">
        <f t="shared" si="34"/>
        <v xml:space="preserve">      936:
        name: BBC Radio Cymru
        package: Free-to-air</v>
      </c>
    </row>
    <row r="386" spans="1:16" x14ac:dyDescent="0.25">
      <c r="A386">
        <v>937</v>
      </c>
      <c r="B386" t="s">
        <v>359</v>
      </c>
      <c r="D386" t="s">
        <v>279</v>
      </c>
      <c r="E386" t="s">
        <v>279</v>
      </c>
      <c r="I386" t="str">
        <f t="shared" si="33"/>
        <v>Free-to-air</v>
      </c>
      <c r="K386" t="str">
        <f t="shared" ref="K386:K416" si="43">IF(IFERROR(FIND("&amp;",B386),0)=0,B386,CONCATENATE("'",B386,"'"))</f>
        <v>BBC London</v>
      </c>
      <c r="L386">
        <f t="shared" si="35"/>
        <v>937</v>
      </c>
      <c r="M386" t="str">
        <f>IF(NOT(ISERROR(VLOOKUP(B386&amp;" HD",B:B,1,FALSE))),VLOOKUP(B386&amp;" HD",K:L,2,FALSE),"")</f>
        <v/>
      </c>
      <c r="N386" t="str">
        <f>IF(NOT(ISERROR(VLOOKUP(B386&amp;" +1",B:B,1,FALSE))),VLOOKUP(B386&amp;" +1",K:L,2,FALSE),"")</f>
        <v/>
      </c>
      <c r="P386" t="str">
        <f t="shared" si="34"/>
        <v xml:space="preserve">      937:
        name: BBC London
        package: Free-to-air</v>
      </c>
    </row>
    <row r="387" spans="1:16" x14ac:dyDescent="0.25">
      <c r="A387">
        <v>951</v>
      </c>
      <c r="B387" t="s">
        <v>360</v>
      </c>
      <c r="D387" t="s">
        <v>279</v>
      </c>
      <c r="E387" t="s">
        <v>279</v>
      </c>
      <c r="I387" t="str">
        <f t="shared" ref="I387:I405" si="44">VLOOKUP(A387,PACKAGES,6,FALSE)</f>
        <v>Free-to-air</v>
      </c>
      <c r="K387" t="str">
        <f t="shared" si="43"/>
        <v>Absolute 80s</v>
      </c>
      <c r="L387">
        <f t="shared" si="35"/>
        <v>951</v>
      </c>
      <c r="M387" t="str">
        <f>IF(NOT(ISERROR(VLOOKUP(B387&amp;" HD",B:B,1,FALSE))),VLOOKUP(B387&amp;" HD",K:L,2,FALSE),"")</f>
        <v/>
      </c>
      <c r="N387" t="str">
        <f>IF(NOT(ISERROR(VLOOKUP(B387&amp;" +1",B:B,1,FALSE))),VLOOKUP(B387&amp;" +1",K:L,2,FALSE),"")</f>
        <v/>
      </c>
      <c r="P387" t="str">
        <f t="shared" ref="P387:P416" si="45">SUBSTITUTE(CONCATENATE("      ",A387,":","\nname: ",K387,IF(C387&lt;&gt;"","\nshow: "&amp;C387,""),IF(I387&lt;&gt;"","\npackage: "&amp;I387,""),IF(D387&lt;&gt;"","\nhd_channel: "&amp;D387,""),IF(E387&lt;&gt;"","\nplus_one: "&amp;E387,""),IF(F387&lt;&gt;"","\nlogo: "&amp;F387,""),IF(G387&lt;&gt;"","\ntarget: "&amp;G387,""),IF(H387&lt;&gt;"","\nsource: "&amp;H387,"")),"\n",CHAR(10)&amp;"        ")</f>
        <v xml:space="preserve">      951:
        name: Absolute 80s
        package: Free-to-air</v>
      </c>
    </row>
    <row r="388" spans="1:16" x14ac:dyDescent="0.25">
      <c r="A388">
        <v>952</v>
      </c>
      <c r="B388" t="s">
        <v>274</v>
      </c>
      <c r="D388" t="s">
        <v>279</v>
      </c>
      <c r="E388" t="s">
        <v>279</v>
      </c>
      <c r="I388" t="str">
        <f t="shared" si="44"/>
        <v>Free-to-air</v>
      </c>
      <c r="K388" t="str">
        <f t="shared" si="43"/>
        <v>Absolute Classic Rock</v>
      </c>
      <c r="L388">
        <f t="shared" si="35"/>
        <v>952</v>
      </c>
      <c r="M388" t="str">
        <f>IF(NOT(ISERROR(VLOOKUP(B388&amp;" HD",B:B,1,FALSE))),VLOOKUP(B388&amp;" HD",K:L,2,FALSE),"")</f>
        <v/>
      </c>
      <c r="N388" t="str">
        <f>IF(NOT(ISERROR(VLOOKUP(B388&amp;" +1",B:B,1,FALSE))),VLOOKUP(B388&amp;" +1",K:L,2,FALSE),"")</f>
        <v/>
      </c>
      <c r="P388" t="str">
        <f t="shared" si="45"/>
        <v xml:space="preserve">      952:
        name: Absolute Classic Rock
        package: Free-to-air</v>
      </c>
    </row>
    <row r="389" spans="1:16" x14ac:dyDescent="0.25">
      <c r="A389">
        <v>958</v>
      </c>
      <c r="B389" t="s">
        <v>654</v>
      </c>
      <c r="D389" t="s">
        <v>279</v>
      </c>
      <c r="E389" t="s">
        <v>279</v>
      </c>
      <c r="I389" t="str">
        <f t="shared" si="44"/>
        <v>Free-to-air</v>
      </c>
      <c r="K389" t="str">
        <f t="shared" si="43"/>
        <v>Capital London</v>
      </c>
      <c r="L389">
        <f t="shared" si="35"/>
        <v>958</v>
      </c>
      <c r="M389" t="str">
        <f>IF(NOT(ISERROR(VLOOKUP(B389&amp;" HD",B:B,1,FALSE))),VLOOKUP(B389&amp;" HD",K:L,2,FALSE),"")</f>
        <v/>
      </c>
      <c r="N389" t="str">
        <f>IF(NOT(ISERROR(VLOOKUP(B389&amp;" +1",B:B,1,FALSE))),VLOOKUP(B389&amp;" +1",K:L,2,FALSE),"")</f>
        <v/>
      </c>
      <c r="P389" t="str">
        <f t="shared" si="45"/>
        <v xml:space="preserve">      958:
        name: Capital London
        package: Free-to-air</v>
      </c>
    </row>
    <row r="390" spans="1:16" x14ac:dyDescent="0.25">
      <c r="A390">
        <v>959</v>
      </c>
      <c r="B390" t="s">
        <v>275</v>
      </c>
      <c r="D390" t="s">
        <v>279</v>
      </c>
      <c r="E390" t="s">
        <v>279</v>
      </c>
      <c r="I390" t="str">
        <f t="shared" si="44"/>
        <v>Free-to-air</v>
      </c>
      <c r="K390" t="str">
        <f t="shared" si="43"/>
        <v>Capital XTRA</v>
      </c>
      <c r="L390">
        <f t="shared" si="35"/>
        <v>959</v>
      </c>
      <c r="M390" t="str">
        <f>IF(NOT(ISERROR(VLOOKUP(B390&amp;" HD",B:B,1,FALSE))),VLOOKUP(B390&amp;" HD",K:L,2,FALSE),"")</f>
        <v/>
      </c>
      <c r="N390" t="str">
        <f>IF(NOT(ISERROR(VLOOKUP(B390&amp;" +1",B:B,1,FALSE))),VLOOKUP(B390&amp;" +1",K:L,2,FALSE),"")</f>
        <v/>
      </c>
      <c r="P390" t="str">
        <f t="shared" si="45"/>
        <v xml:space="preserve">      959:
        name: Capital XTRA
        package: Free-to-air</v>
      </c>
    </row>
    <row r="391" spans="1:16" x14ac:dyDescent="0.25">
      <c r="A391">
        <v>960</v>
      </c>
      <c r="B391" t="s">
        <v>276</v>
      </c>
      <c r="D391" t="s">
        <v>279</v>
      </c>
      <c r="E391" t="s">
        <v>279</v>
      </c>
      <c r="I391" t="str">
        <f t="shared" si="44"/>
        <v>Free-to-air</v>
      </c>
      <c r="K391" t="str">
        <f t="shared" si="43"/>
        <v>Radio X</v>
      </c>
      <c r="L391">
        <f t="shared" si="35"/>
        <v>960</v>
      </c>
      <c r="M391" t="str">
        <f>IF(NOT(ISERROR(VLOOKUP(B391&amp;" HD",B:B,1,FALSE))),VLOOKUP(B391&amp;" HD",K:L,2,FALSE),"")</f>
        <v/>
      </c>
      <c r="N391" t="str">
        <f>IF(NOT(ISERROR(VLOOKUP(B391&amp;" +1",B:B,1,FALSE))),VLOOKUP(B391&amp;" +1",K:L,2,FALSE),"")</f>
        <v/>
      </c>
      <c r="P391" t="str">
        <f t="shared" si="45"/>
        <v xml:space="preserve">      960:
        name: Radio X
        package: Free-to-air</v>
      </c>
    </row>
    <row r="392" spans="1:16" x14ac:dyDescent="0.25">
      <c r="A392">
        <v>963</v>
      </c>
      <c r="B392" t="s">
        <v>146</v>
      </c>
      <c r="D392" t="s">
        <v>279</v>
      </c>
      <c r="E392" t="s">
        <v>279</v>
      </c>
      <c r="I392" t="str">
        <f t="shared" si="44"/>
        <v>Free-to-air</v>
      </c>
      <c r="K392" t="str">
        <f t="shared" si="43"/>
        <v>Kiss</v>
      </c>
      <c r="L392">
        <f t="shared" si="35"/>
        <v>963</v>
      </c>
      <c r="M392" t="str">
        <f>IF(NOT(ISERROR(VLOOKUP(B392&amp;" HD",B:B,1,FALSE))),VLOOKUP(B392&amp;" HD",K:L,2,FALSE),"")</f>
        <v/>
      </c>
      <c r="N392" t="str">
        <f>IF(NOT(ISERROR(VLOOKUP(B392&amp;" +1",B:B,1,FALSE))),VLOOKUP(B392&amp;" +1",K:L,2,FALSE),"")</f>
        <v/>
      </c>
      <c r="P392" t="str">
        <f t="shared" si="45"/>
        <v xml:space="preserve">      963:
        name: Kiss
        package: Free-to-air</v>
      </c>
    </row>
    <row r="393" spans="1:16" x14ac:dyDescent="0.25">
      <c r="A393">
        <v>968</v>
      </c>
      <c r="B393" t="s">
        <v>669</v>
      </c>
      <c r="D393" t="s">
        <v>279</v>
      </c>
      <c r="E393" t="s">
        <v>279</v>
      </c>
      <c r="I393" t="str">
        <f t="shared" si="44"/>
        <v>Player</v>
      </c>
      <c r="K393" t="str">
        <f t="shared" si="43"/>
        <v>A Message for Parents</v>
      </c>
      <c r="L393">
        <f t="shared" ref="L393" si="46">A393</f>
        <v>968</v>
      </c>
      <c r="M393" t="str">
        <f>IF(NOT(ISERROR(VLOOKUP(B393&amp;" HD",B:B,1,FALSE))),VLOOKUP(B393&amp;" HD",K:L,2,FALSE),"")</f>
        <v/>
      </c>
      <c r="N393" t="str">
        <f>IF(NOT(ISERROR(VLOOKUP(B393&amp;" +1",B:B,1,FALSE))),VLOOKUP(B393&amp;" +1",K:L,2,FALSE),"")</f>
        <v/>
      </c>
      <c r="P393" t="str">
        <f t="shared" si="45"/>
        <v xml:space="preserve">      968:
        name: A Message for Parents
        package: Player</v>
      </c>
    </row>
    <row r="394" spans="1:16" x14ac:dyDescent="0.25">
      <c r="A394">
        <v>969</v>
      </c>
      <c r="B394" t="s">
        <v>656</v>
      </c>
      <c r="D394" t="s">
        <v>279</v>
      </c>
      <c r="E394" t="s">
        <v>279</v>
      </c>
      <c r="I394" t="str">
        <f t="shared" si="44"/>
        <v>Player</v>
      </c>
      <c r="K394" t="str">
        <f t="shared" si="43"/>
        <v>Adult Previews</v>
      </c>
      <c r="L394">
        <f t="shared" si="35"/>
        <v>969</v>
      </c>
      <c r="M394" t="str">
        <f>IF(NOT(ISERROR(VLOOKUP(B394&amp;" HD",B:B,1,FALSE))),VLOOKUP(B394&amp;" HD",K:L,2,FALSE),"")</f>
        <v/>
      </c>
      <c r="N394" t="str">
        <f>IF(NOT(ISERROR(VLOOKUP(B394&amp;" +1",B:B,1,FALSE))),VLOOKUP(B394&amp;" +1",K:L,2,FALSE),"")</f>
        <v/>
      </c>
      <c r="P394" t="str">
        <f t="shared" si="45"/>
        <v xml:space="preserve">      969:
        name: Adult Previews
        package: Player</v>
      </c>
    </row>
    <row r="395" spans="1:16" x14ac:dyDescent="0.25">
      <c r="A395">
        <v>970</v>
      </c>
      <c r="B395" t="s">
        <v>657</v>
      </c>
      <c r="D395" t="s">
        <v>279</v>
      </c>
      <c r="E395" t="s">
        <v>279</v>
      </c>
      <c r="I395" t="str">
        <f t="shared" si="44"/>
        <v>Pay-per-view</v>
      </c>
      <c r="K395" t="str">
        <f t="shared" si="43"/>
        <v>Television X Nightly</v>
      </c>
      <c r="L395">
        <f t="shared" si="35"/>
        <v>970</v>
      </c>
      <c r="M395" t="str">
        <f>IF(NOT(ISERROR(VLOOKUP(B395&amp;" HD",B:B,1,FALSE))),VLOOKUP(B395&amp;" HD",K:L,2,FALSE),"")</f>
        <v/>
      </c>
      <c r="N395" t="str">
        <f>IF(NOT(ISERROR(VLOOKUP(B395&amp;" +1",B:B,1,FALSE))),VLOOKUP(B395&amp;" +1",K:L,2,FALSE),"")</f>
        <v/>
      </c>
      <c r="P395" t="str">
        <f t="shared" si="45"/>
        <v xml:space="preserve">      970:
        name: Television X Nightly
        package: Pay-per-view</v>
      </c>
    </row>
    <row r="396" spans="1:16" x14ac:dyDescent="0.25">
      <c r="A396">
        <v>971</v>
      </c>
      <c r="B396" t="s">
        <v>703</v>
      </c>
      <c r="D396" t="s">
        <v>279</v>
      </c>
      <c r="E396" t="s">
        <v>279</v>
      </c>
      <c r="I396" t="str">
        <f t="shared" ref="I396" si="47">VLOOKUP(A396,PACKAGES,6,FALSE)</f>
        <v>Pay-per-view</v>
      </c>
      <c r="K396" t="str">
        <f t="shared" ref="K396" si="48">IF(IFERROR(FIND("&amp;",B396),0)=0,B396,CONCATENATE("'",B396,"'"))</f>
        <v>'Babes &amp; Brazzers'</v>
      </c>
      <c r="L396">
        <f t="shared" ref="L396" si="49">A396</f>
        <v>971</v>
      </c>
      <c r="M396" t="str">
        <f>IF(NOT(ISERROR(VLOOKUP(B396&amp;" HD",B:B,1,FALSE))),VLOOKUP(B396&amp;" HD",K:L,2,FALSE),"")</f>
        <v/>
      </c>
      <c r="N396" t="str">
        <f>IF(NOT(ISERROR(VLOOKUP(B396&amp;" +1",B:B,1,FALSE))),VLOOKUP(B396&amp;" +1",K:L,2,FALSE),"")</f>
        <v/>
      </c>
      <c r="P396" t="str">
        <f t="shared" si="45"/>
        <v xml:space="preserve">      971:
        name: 'Babes &amp; Brazzers'
        package: Pay-per-view</v>
      </c>
    </row>
    <row r="397" spans="1:16" x14ac:dyDescent="0.25">
      <c r="A397">
        <v>972</v>
      </c>
      <c r="B397" t="s">
        <v>659</v>
      </c>
      <c r="D397" t="s">
        <v>279</v>
      </c>
      <c r="E397" t="s">
        <v>279</v>
      </c>
      <c r="I397" t="str">
        <f t="shared" si="44"/>
        <v>Pay-per-view</v>
      </c>
      <c r="K397" t="str">
        <f t="shared" si="43"/>
        <v>Adult Channel Nightly</v>
      </c>
      <c r="L397">
        <f t="shared" si="35"/>
        <v>972</v>
      </c>
      <c r="M397" t="str">
        <f>IF(NOT(ISERROR(VLOOKUP(B397&amp;" HD",B:B,1,FALSE))),VLOOKUP(B397&amp;" HD",K:L,2,FALSE),"")</f>
        <v/>
      </c>
      <c r="N397" t="str">
        <f>IF(NOT(ISERROR(VLOOKUP(B397&amp;" +1",B:B,1,FALSE))),VLOOKUP(B397&amp;" +1",K:L,2,FALSE),"")</f>
        <v/>
      </c>
      <c r="P397" t="str">
        <f t="shared" si="45"/>
        <v xml:space="preserve">      972:
        name: Adult Channel Nightly
        package: Pay-per-view</v>
      </c>
    </row>
    <row r="398" spans="1:16" x14ac:dyDescent="0.25">
      <c r="A398">
        <v>973</v>
      </c>
      <c r="B398" t="s">
        <v>661</v>
      </c>
      <c r="D398" t="s">
        <v>279</v>
      </c>
      <c r="E398" t="s">
        <v>279</v>
      </c>
      <c r="I398" t="str">
        <f t="shared" si="44"/>
        <v>Pay-per-view</v>
      </c>
      <c r="K398" t="str">
        <f t="shared" si="43"/>
        <v>XXX Brits Nightly</v>
      </c>
      <c r="L398">
        <f t="shared" si="35"/>
        <v>973</v>
      </c>
      <c r="M398" t="str">
        <f>IF(NOT(ISERROR(VLOOKUP(B398&amp;" HD",B:B,1,FALSE))),VLOOKUP(B398&amp;" HD",K:L,2,FALSE),"")</f>
        <v/>
      </c>
      <c r="N398" t="str">
        <f>IF(NOT(ISERROR(VLOOKUP(B398&amp;" +1",B:B,1,FALSE))),VLOOKUP(B398&amp;" +1",K:L,2,FALSE),"")</f>
        <v/>
      </c>
      <c r="P398" t="str">
        <f t="shared" si="45"/>
        <v xml:space="preserve">      973:
        name: XXX Brits Nightly
        package: Pay-per-view</v>
      </c>
    </row>
    <row r="399" spans="1:16" x14ac:dyDescent="0.25">
      <c r="A399">
        <v>974</v>
      </c>
      <c r="B399" t="s">
        <v>662</v>
      </c>
      <c r="D399" t="s">
        <v>279</v>
      </c>
      <c r="E399" t="s">
        <v>279</v>
      </c>
      <c r="I399" t="str">
        <f t="shared" si="44"/>
        <v>Pay-per-view</v>
      </c>
      <c r="K399" t="str">
        <f t="shared" si="43"/>
        <v>xrated40+ Nightly</v>
      </c>
      <c r="L399">
        <f t="shared" si="35"/>
        <v>974</v>
      </c>
      <c r="M399" t="str">
        <f>IF(NOT(ISERROR(VLOOKUP(B399&amp;" HD",B:B,1,FALSE))),VLOOKUP(B399&amp;" HD",K:L,2,FALSE),"")</f>
        <v/>
      </c>
      <c r="N399" t="str">
        <f>IF(NOT(ISERROR(VLOOKUP(B399&amp;" +1",B:B,1,FALSE))),VLOOKUP(B399&amp;" +1",K:L,2,FALSE),"")</f>
        <v/>
      </c>
      <c r="P399" t="str">
        <f t="shared" si="45"/>
        <v xml:space="preserve">      974:
        name: xrated40+ Nightly
        package: Pay-per-view</v>
      </c>
    </row>
    <row r="400" spans="1:16" x14ac:dyDescent="0.25">
      <c r="A400">
        <v>975</v>
      </c>
      <c r="B400" t="s">
        <v>663</v>
      </c>
      <c r="D400" t="s">
        <v>279</v>
      </c>
      <c r="E400" t="s">
        <v>279</v>
      </c>
      <c r="I400" t="str">
        <f t="shared" si="44"/>
        <v>Pay-per-view</v>
      </c>
      <c r="K400" t="str">
        <f t="shared" si="43"/>
        <v>TVXPornstars Nightly</v>
      </c>
      <c r="L400">
        <f t="shared" ref="L400:L416" si="50">A400</f>
        <v>975</v>
      </c>
      <c r="M400" t="str">
        <f>IF(NOT(ISERROR(VLOOKUP(B400&amp;" HD",B:B,1,FALSE))),VLOOKUP(B400&amp;" HD",K:L,2,FALSE),"")</f>
        <v/>
      </c>
      <c r="N400" t="str">
        <f>IF(NOT(ISERROR(VLOOKUP(B400&amp;" +1",B:B,1,FALSE))),VLOOKUP(B400&amp;" +1",K:L,2,FALSE),"")</f>
        <v/>
      </c>
      <c r="P400" t="str">
        <f t="shared" si="45"/>
        <v xml:space="preserve">      975:
        name: TVXPornstars Nightly
        package: Pay-per-view</v>
      </c>
    </row>
    <row r="401" spans="1:16" x14ac:dyDescent="0.25">
      <c r="A401">
        <v>976</v>
      </c>
      <c r="B401" t="s">
        <v>664</v>
      </c>
      <c r="D401" t="s">
        <v>279</v>
      </c>
      <c r="E401" t="s">
        <v>279</v>
      </c>
      <c r="I401" t="str">
        <f t="shared" si="44"/>
        <v>Pay-per-view</v>
      </c>
      <c r="K401" t="str">
        <f t="shared" si="43"/>
        <v>Television X 2 Nightly</v>
      </c>
      <c r="L401">
        <f t="shared" si="50"/>
        <v>976</v>
      </c>
      <c r="M401" t="str">
        <f>IF(NOT(ISERROR(VLOOKUP(B401&amp;" HD",B:B,1,FALSE))),VLOOKUP(B401&amp;" HD",K:L,2,FALSE),"")</f>
        <v/>
      </c>
      <c r="N401" t="str">
        <f>IF(NOT(ISERROR(VLOOKUP(B401&amp;" +1",B:B,1,FALSE))),VLOOKUP(B401&amp;" +1",K:L,2,FALSE),"")</f>
        <v/>
      </c>
      <c r="P401" t="str">
        <f t="shared" si="45"/>
        <v xml:space="preserve">      976:
        name: Television X 2 Nightly
        package: Pay-per-view</v>
      </c>
    </row>
    <row r="402" spans="1:16" x14ac:dyDescent="0.25">
      <c r="A402">
        <v>978</v>
      </c>
      <c r="B402" t="s">
        <v>278</v>
      </c>
      <c r="D402" t="s">
        <v>279</v>
      </c>
      <c r="E402" t="s">
        <v>279</v>
      </c>
      <c r="I402" t="str">
        <f t="shared" si="44"/>
        <v>Premium</v>
      </c>
      <c r="K402" t="str">
        <f t="shared" si="43"/>
        <v>Television X</v>
      </c>
      <c r="L402">
        <f t="shared" si="50"/>
        <v>978</v>
      </c>
      <c r="M402" t="str">
        <f>IF(NOT(ISERROR(VLOOKUP(B402&amp;" HD",B:B,1,FALSE))),VLOOKUP(B402&amp;" HD",K:L,2,FALSE),"")</f>
        <v/>
      </c>
      <c r="N402" t="str">
        <f>IF(NOT(ISERROR(VLOOKUP(B402&amp;" +1",B:B,1,FALSE))),VLOOKUP(B402&amp;" +1",K:L,2,FALSE),"")</f>
        <v/>
      </c>
      <c r="P402" t="str">
        <f t="shared" si="45"/>
        <v xml:space="preserve">      978:
        name: Television X
        package: Premium</v>
      </c>
    </row>
    <row r="403" spans="1:16" x14ac:dyDescent="0.25">
      <c r="A403">
        <v>979</v>
      </c>
      <c r="B403" t="s">
        <v>666</v>
      </c>
      <c r="D403" t="s">
        <v>279</v>
      </c>
      <c r="E403" t="s">
        <v>279</v>
      </c>
      <c r="I403" t="str">
        <f t="shared" ref="I403" si="51">VLOOKUP(A403,PACKAGES,6,FALSE)</f>
        <v>Premium</v>
      </c>
      <c r="K403" t="str">
        <f t="shared" ref="K403" si="52">IF(IFERROR(FIND("&amp;",B403),0)=0,B403,CONCATENATE("'",B403,"'"))</f>
        <v>XXX Brits</v>
      </c>
      <c r="L403">
        <f t="shared" ref="L403" si="53">A403</f>
        <v>979</v>
      </c>
      <c r="M403" t="str">
        <f>IF(NOT(ISERROR(VLOOKUP(B403&amp;" HD",B:B,1,FALSE))),VLOOKUP(B403&amp;" HD",K:L,2,FALSE),"")</f>
        <v/>
      </c>
      <c r="N403" t="str">
        <f>IF(NOT(ISERROR(VLOOKUP(B403&amp;" +1",B:B,1,FALSE))),VLOOKUP(B403&amp;" +1",K:L,2,FALSE),"")</f>
        <v/>
      </c>
      <c r="P403" t="str">
        <f t="shared" si="45"/>
        <v xml:space="preserve">      979:
        name: XXX Brits
        package: Premium</v>
      </c>
    </row>
    <row r="404" spans="1:16" x14ac:dyDescent="0.25">
      <c r="A404">
        <v>980</v>
      </c>
      <c r="B404" t="s">
        <v>277</v>
      </c>
      <c r="D404" t="s">
        <v>279</v>
      </c>
      <c r="E404" t="s">
        <v>279</v>
      </c>
      <c r="I404" t="str">
        <f t="shared" si="44"/>
        <v>Premium</v>
      </c>
      <c r="K404" t="str">
        <f t="shared" si="43"/>
        <v>Adult Channel</v>
      </c>
      <c r="L404">
        <f t="shared" si="50"/>
        <v>980</v>
      </c>
      <c r="M404" t="str">
        <f>IF(NOT(ISERROR(VLOOKUP(B404&amp;" HD",B:B,1,FALSE))),VLOOKUP(B404&amp;" HD",K:L,2,FALSE),"")</f>
        <v/>
      </c>
      <c r="N404" t="str">
        <f>IF(NOT(ISERROR(VLOOKUP(B404&amp;" +1",B:B,1,FALSE))),VLOOKUP(B404&amp;" +1",K:L,2,FALSE),"")</f>
        <v/>
      </c>
      <c r="P404" t="str">
        <f t="shared" si="45"/>
        <v xml:space="preserve">      980:
        name: Adult Channel
        package: Premium</v>
      </c>
    </row>
    <row r="405" spans="1:16" x14ac:dyDescent="0.25">
      <c r="A405">
        <v>981</v>
      </c>
      <c r="B405" t="s">
        <v>667</v>
      </c>
      <c r="D405" t="s">
        <v>279</v>
      </c>
      <c r="E405" t="s">
        <v>279</v>
      </c>
      <c r="I405" t="str">
        <f t="shared" si="44"/>
        <v>Premium</v>
      </c>
      <c r="K405" t="str">
        <f t="shared" si="43"/>
        <v>Babenation</v>
      </c>
      <c r="L405">
        <f t="shared" si="50"/>
        <v>981</v>
      </c>
      <c r="M405" t="str">
        <f>IF(NOT(ISERROR(VLOOKUP(B405&amp;" HD",B:B,1,FALSE))),VLOOKUP(B405&amp;" HD",K:L,2,FALSE),"")</f>
        <v/>
      </c>
      <c r="N405" t="str">
        <f>IF(NOT(ISERROR(VLOOKUP(B405&amp;" +1",B:B,1,FALSE))),VLOOKUP(B405&amp;" +1",K:L,2,FALSE),"")</f>
        <v/>
      </c>
      <c r="P405" t="str">
        <f t="shared" si="45"/>
        <v xml:space="preserve">      981:
        name: Babenation
        package: Premium</v>
      </c>
    </row>
    <row r="406" spans="1:16" x14ac:dyDescent="0.25">
      <c r="A406">
        <v>985</v>
      </c>
      <c r="B406" t="s">
        <v>669</v>
      </c>
      <c r="D406" t="s">
        <v>279</v>
      </c>
      <c r="E406" t="s">
        <v>279</v>
      </c>
      <c r="I406" t="str">
        <f t="shared" ref="I406" si="54">VLOOKUP(A406,PACKAGES,6,FALSE)</f>
        <v>Player</v>
      </c>
      <c r="K406" t="str">
        <f t="shared" ref="K406" si="55">IF(IFERROR(FIND("&amp;",B406),0)=0,B406,CONCATENATE("'",B406,"'"))</f>
        <v>A Message for Parents</v>
      </c>
      <c r="L406">
        <f t="shared" ref="L406" si="56">A406</f>
        <v>985</v>
      </c>
      <c r="M406" t="str">
        <f>IF(NOT(ISERROR(VLOOKUP(B406&amp;" HD",B:B,1,FALSE))),VLOOKUP(B406&amp;" HD",K:L,2,FALSE),"")</f>
        <v/>
      </c>
      <c r="N406" t="str">
        <f>IF(NOT(ISERROR(VLOOKUP(B406&amp;" +1",B:B,1,FALSE))),VLOOKUP(B406&amp;" +1",K:L,2,FALSE),"")</f>
        <v/>
      </c>
      <c r="P406" t="str">
        <f t="shared" si="45"/>
        <v xml:space="preserve">      985:
        name: A Message for Parents
        package: Player</v>
      </c>
    </row>
    <row r="407" spans="1:16" x14ac:dyDescent="0.25">
      <c r="A407">
        <v>990</v>
      </c>
      <c r="B407" t="s">
        <v>0</v>
      </c>
      <c r="C407" t="str">
        <f>"false"</f>
        <v>false</v>
      </c>
      <c r="E407" t="s">
        <v>279</v>
      </c>
      <c r="I407" t="s">
        <v>387</v>
      </c>
      <c r="K407" t="str">
        <f t="shared" si="43"/>
        <v>BBC Red Button</v>
      </c>
      <c r="L407">
        <f t="shared" si="50"/>
        <v>990</v>
      </c>
      <c r="M407" t="str">
        <f>IF(NOT(ISERROR(VLOOKUP(B407&amp;" HD",B:B,1,FALSE))),VLOOKUP(B407&amp;" HD",K:L,2,FALSE),"")</f>
        <v/>
      </c>
      <c r="N407" t="str">
        <f>IF(NOT(ISERROR(VLOOKUP(B407&amp;" +1",B:B,1,FALSE))),VLOOKUP(B407&amp;" +1",K:L,2,FALSE),"")</f>
        <v/>
      </c>
      <c r="P407" t="str">
        <f t="shared" si="45"/>
        <v xml:space="preserve">      990:
        name: BBC Red Button
        show: false
        package: Player</v>
      </c>
    </row>
    <row r="408" spans="1:16" x14ac:dyDescent="0.25">
      <c r="A408">
        <v>991</v>
      </c>
      <c r="B408" t="s">
        <v>671</v>
      </c>
      <c r="C408" t="s">
        <v>279</v>
      </c>
      <c r="E408" t="s">
        <v>279</v>
      </c>
      <c r="I408" t="str">
        <f>VLOOKUP(A408,PACKAGES,6,FALSE)</f>
        <v>Player</v>
      </c>
      <c r="K408" t="str">
        <f t="shared" si="43"/>
        <v>BBC Red Button 1</v>
      </c>
      <c r="L408">
        <f t="shared" si="50"/>
        <v>991</v>
      </c>
      <c r="M408" t="str">
        <f>IF(NOT(ISERROR(VLOOKUP(B408&amp;" HD",B:B,1,FALSE))),VLOOKUP(B408&amp;" HD",K:L,2,FALSE),"")</f>
        <v/>
      </c>
      <c r="N408" t="str">
        <f>IF(NOT(ISERROR(VLOOKUP(B408&amp;" +1",B:B,1,FALSE))),VLOOKUP(B408&amp;" +1",K:L,2,FALSE),"")</f>
        <v/>
      </c>
      <c r="P408" t="str">
        <f t="shared" si="45"/>
        <v xml:space="preserve">      991:
        name: BBC Red Button 1
        package: Player</v>
      </c>
    </row>
    <row r="409" spans="1:16" x14ac:dyDescent="0.25">
      <c r="A409">
        <v>992</v>
      </c>
      <c r="B409" t="s">
        <v>0</v>
      </c>
      <c r="C409" t="str">
        <f>"false"</f>
        <v>false</v>
      </c>
      <c r="E409" t="s">
        <v>279</v>
      </c>
      <c r="I409" t="s">
        <v>387</v>
      </c>
      <c r="K409" t="str">
        <f t="shared" si="43"/>
        <v>BBC Red Button</v>
      </c>
      <c r="L409">
        <f t="shared" si="50"/>
        <v>992</v>
      </c>
      <c r="M409" t="str">
        <f>IF(NOT(ISERROR(VLOOKUP(B409&amp;" HD",B:B,1,FALSE))),VLOOKUP(B409&amp;" HD",K:L,2,FALSE),"")</f>
        <v/>
      </c>
      <c r="N409" t="str">
        <f>IF(NOT(ISERROR(VLOOKUP(B409&amp;" +1",B:B,1,FALSE))),VLOOKUP(B409&amp;" +1",K:L,2,FALSE),"")</f>
        <v/>
      </c>
      <c r="P409" t="str">
        <f t="shared" si="45"/>
        <v xml:space="preserve">      992:
        name: BBC Red Button
        show: false
        package: Player</v>
      </c>
    </row>
    <row r="410" spans="1:16" x14ac:dyDescent="0.25">
      <c r="A410">
        <v>993</v>
      </c>
      <c r="B410" t="s">
        <v>0</v>
      </c>
      <c r="C410" t="str">
        <f>"false"</f>
        <v>false</v>
      </c>
      <c r="E410" t="s">
        <v>279</v>
      </c>
      <c r="I410" t="s">
        <v>387</v>
      </c>
      <c r="K410" t="str">
        <f t="shared" si="43"/>
        <v>BBC Red Button</v>
      </c>
      <c r="L410">
        <f t="shared" si="50"/>
        <v>993</v>
      </c>
      <c r="M410" t="str">
        <f>IF(NOT(ISERROR(VLOOKUP(B410&amp;" HD",B:B,1,FALSE))),VLOOKUP(B410&amp;" HD",K:L,2,FALSE),"")</f>
        <v/>
      </c>
      <c r="N410" t="str">
        <f>IF(NOT(ISERROR(VLOOKUP(B410&amp;" +1",B:B,1,FALSE))),VLOOKUP(B410&amp;" +1",K:L,2,FALSE),"")</f>
        <v/>
      </c>
      <c r="P410" t="str">
        <f t="shared" si="45"/>
        <v xml:space="preserve">      993:
        name: BBC Red Button
        show: false
        package: Player</v>
      </c>
    </row>
    <row r="411" spans="1:16" x14ac:dyDescent="0.25">
      <c r="A411">
        <v>994</v>
      </c>
      <c r="B411" t="s">
        <v>0</v>
      </c>
      <c r="C411" t="str">
        <f>"false"</f>
        <v>false</v>
      </c>
      <c r="E411" t="s">
        <v>279</v>
      </c>
      <c r="I411" t="s">
        <v>387</v>
      </c>
      <c r="K411" t="str">
        <f t="shared" si="43"/>
        <v>BBC Red Button</v>
      </c>
      <c r="L411">
        <f t="shared" si="50"/>
        <v>994</v>
      </c>
      <c r="M411" t="str">
        <f>IF(NOT(ISERROR(VLOOKUP(B411&amp;" HD",B:B,1,FALSE))),VLOOKUP(B411&amp;" HD",K:L,2,FALSE),"")</f>
        <v/>
      </c>
      <c r="N411" t="str">
        <f>IF(NOT(ISERROR(VLOOKUP(B411&amp;" +1",B:B,1,FALSE))),VLOOKUP(B411&amp;" +1",K:L,2,FALSE),"")</f>
        <v/>
      </c>
      <c r="P411" t="str">
        <f t="shared" si="45"/>
        <v xml:space="preserve">      994:
        name: BBC Red Button
        show: false
        package: Player</v>
      </c>
    </row>
    <row r="412" spans="1:16" x14ac:dyDescent="0.25">
      <c r="A412">
        <v>995</v>
      </c>
      <c r="B412" t="s">
        <v>0</v>
      </c>
      <c r="C412" t="str">
        <f>"false"</f>
        <v>false</v>
      </c>
      <c r="E412" t="s">
        <v>279</v>
      </c>
      <c r="I412" t="s">
        <v>387</v>
      </c>
      <c r="K412" t="str">
        <f t="shared" si="43"/>
        <v>BBC Red Button</v>
      </c>
      <c r="L412">
        <f t="shared" si="50"/>
        <v>995</v>
      </c>
      <c r="M412" t="str">
        <f>IF(NOT(ISERROR(VLOOKUP(B412&amp;" HD",B:B,1,FALSE))),VLOOKUP(B412&amp;" HD",K:L,2,FALSE),"")</f>
        <v/>
      </c>
      <c r="N412" t="str">
        <f>IF(NOT(ISERROR(VLOOKUP(B412&amp;" +1",B:B,1,FALSE))),VLOOKUP(B412&amp;" +1",K:L,2,FALSE),"")</f>
        <v/>
      </c>
      <c r="P412" t="str">
        <f t="shared" si="45"/>
        <v xml:space="preserve">      995:
        name: BBC Red Button
        show: false
        package: Player</v>
      </c>
    </row>
    <row r="413" spans="1:16" x14ac:dyDescent="0.25">
      <c r="A413">
        <v>996</v>
      </c>
      <c r="B413" t="s">
        <v>0</v>
      </c>
      <c r="C413" t="str">
        <f>"false"</f>
        <v>false</v>
      </c>
      <c r="E413" t="s">
        <v>279</v>
      </c>
      <c r="I413" t="s">
        <v>387</v>
      </c>
      <c r="K413" t="str">
        <f t="shared" si="43"/>
        <v>BBC Red Button</v>
      </c>
      <c r="L413">
        <f t="shared" si="50"/>
        <v>996</v>
      </c>
      <c r="M413" t="str">
        <f>IF(NOT(ISERROR(VLOOKUP(B413&amp;" HD",B:B,1,FALSE))),VLOOKUP(B413&amp;" HD",K:L,2,FALSE),"")</f>
        <v/>
      </c>
      <c r="N413" t="str">
        <f>IF(NOT(ISERROR(VLOOKUP(B413&amp;" +1",B:B,1,FALSE))),VLOOKUP(B413&amp;" +1",K:L,2,FALSE),"")</f>
        <v/>
      </c>
      <c r="P413" t="str">
        <f t="shared" si="45"/>
        <v xml:space="preserve">      996:
        name: BBC Red Button
        show: false
        package: Player</v>
      </c>
    </row>
    <row r="414" spans="1:16" x14ac:dyDescent="0.25">
      <c r="A414">
        <v>997</v>
      </c>
      <c r="B414" t="s">
        <v>670</v>
      </c>
      <c r="D414" t="s">
        <v>279</v>
      </c>
      <c r="E414" t="s">
        <v>279</v>
      </c>
      <c r="I414" t="str">
        <f>VLOOKUP(A414,PACKAGES,6,FALSE)</f>
        <v>Player</v>
      </c>
      <c r="K414" t="str">
        <f t="shared" ref="K414" si="57">IF(IFERROR(FIND("&amp;",B414),0)=0,B414,CONCATENATE("'",B414,"'"))</f>
        <v>Virgin TV for Newbies</v>
      </c>
      <c r="L414">
        <f t="shared" ref="L414" si="58">A414</f>
        <v>997</v>
      </c>
      <c r="M414" t="str">
        <f>IF(NOT(ISERROR(VLOOKUP(B414&amp;" HD",B:B,1,FALSE))),VLOOKUP(B414&amp;" HD",K:L,2,FALSE),"")</f>
        <v/>
      </c>
      <c r="N414" t="str">
        <f>IF(NOT(ISERROR(VLOOKUP(B414&amp;" +1",B:B,1,FALSE))),VLOOKUP(B414&amp;" +1",K:L,2,FALSE),"")</f>
        <v/>
      </c>
      <c r="P414" t="str">
        <f t="shared" si="45"/>
        <v xml:space="preserve">      997:
        name: Virgin TV for Newbies
        package: Player</v>
      </c>
    </row>
    <row r="415" spans="1:16" x14ac:dyDescent="0.25">
      <c r="A415">
        <v>998</v>
      </c>
      <c r="B415" t="s">
        <v>9</v>
      </c>
      <c r="D415" t="s">
        <v>279</v>
      </c>
      <c r="E415" t="s">
        <v>279</v>
      </c>
      <c r="I415" t="str">
        <f>VLOOKUP(A415,PACKAGES,6,FALSE)</f>
        <v>Player</v>
      </c>
      <c r="K415" t="str">
        <f t="shared" si="43"/>
        <v>Virgin Media Previews</v>
      </c>
      <c r="L415">
        <f t="shared" si="50"/>
        <v>998</v>
      </c>
      <c r="M415" t="str">
        <f>IF(NOT(ISERROR(VLOOKUP(B415&amp;" HD",B:B,1,FALSE))),VLOOKUP(B415&amp;" HD",K:L,2,FALSE),"")</f>
        <v/>
      </c>
      <c r="N415" t="str">
        <f>IF(NOT(ISERROR(VLOOKUP(B415&amp;" +1",B:B,1,FALSE))),VLOOKUP(B415&amp;" +1",K:L,2,FALSE),"")</f>
        <v/>
      </c>
      <c r="P415" t="str">
        <f t="shared" si="45"/>
        <v xml:space="preserve">      998:
        name: Virgin Media Previews
        package: Player</v>
      </c>
    </row>
    <row r="416" spans="1:16" x14ac:dyDescent="0.25">
      <c r="A416">
        <v>999</v>
      </c>
      <c r="B416" t="s">
        <v>361</v>
      </c>
      <c r="D416" t="s">
        <v>279</v>
      </c>
      <c r="E416" t="s">
        <v>279</v>
      </c>
      <c r="I416" t="str">
        <f>VLOOKUP(A416,PACKAGES,6,FALSE)</f>
        <v>Full House</v>
      </c>
      <c r="K416" t="str">
        <f t="shared" si="43"/>
        <v>Virgin TV Ultra HD</v>
      </c>
      <c r="L416">
        <f t="shared" si="50"/>
        <v>999</v>
      </c>
      <c r="M416" t="str">
        <f>IF(NOT(ISERROR(VLOOKUP(B416&amp;" HD",B:B,1,FALSE))),VLOOKUP(B416&amp;" HD",K:L,2,FALSE),"")</f>
        <v/>
      </c>
      <c r="N416" t="str">
        <f>IF(NOT(ISERROR(VLOOKUP(B416&amp;" +1",B:B,1,FALSE))),VLOOKUP(B416&amp;" +1",K:L,2,FALSE),"")</f>
        <v/>
      </c>
      <c r="P416" t="str">
        <f t="shared" si="45"/>
        <v xml:space="preserve">      999:
        name: Virgin TV Ultra HD
        package: Full House</v>
      </c>
    </row>
  </sheetData>
  <autoFilter ref="A1:I416"/>
  <hyperlinks>
    <hyperlink ref="F353" r:id="rId1"/>
    <hyperlink ref="F354" r:id="rId2" display="https://www.freeview.co.uk/app/themes/freeview/assets/images/channels/entertainment/rtetwo.png"/>
  </hyperlinks>
  <pageMargins left="0.7" right="0.7" top="0.75" bottom="0.75" header="0.3" footer="0.3"/>
  <pageSetup paperSize="9" orientation="portrait" horizontalDpi="0" verticalDpi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CopyAll">
                <anchor moveWithCells="1" sizeWithCells="1">
                  <from>
                    <xdr:col>16</xdr:col>
                    <xdr:colOff>57150</xdr:colOff>
                    <xdr:row>0</xdr:row>
                    <xdr:rowOff>28575</xdr:rowOff>
                  </from>
                  <to>
                    <xdr:col>16</xdr:col>
                    <xdr:colOff>581025</xdr:colOff>
                    <xdr:row>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29"/>
  <sheetViews>
    <sheetView workbookViewId="0">
      <selection activeCell="B425" sqref="B425"/>
    </sheetView>
  </sheetViews>
  <sheetFormatPr defaultRowHeight="15" x14ac:dyDescent="0.25"/>
  <cols>
    <col min="1" max="1" width="12.42578125" customWidth="1"/>
    <col min="2" max="3" width="27.85546875" bestFit="1" customWidth="1"/>
    <col min="5" max="5" width="27.85546875" bestFit="1" customWidth="1"/>
    <col min="6" max="6" width="26.42578125" bestFit="1" customWidth="1"/>
  </cols>
  <sheetData>
    <row r="1" spans="1:8" x14ac:dyDescent="0.25">
      <c r="E1" s="1" t="s">
        <v>4</v>
      </c>
      <c r="F1" s="1" t="s">
        <v>706</v>
      </c>
    </row>
    <row r="2" spans="1:8" x14ac:dyDescent="0.25">
      <c r="A2" s="4">
        <v>100</v>
      </c>
      <c r="B2" s="4" t="s">
        <v>377</v>
      </c>
      <c r="C2" t="str">
        <f>VLOOKUP(VALUE(A2),CURRENT,2,FALSE)</f>
        <v>Virgin Media Highlights</v>
      </c>
      <c r="D2" t="str">
        <f>IF(B2=C2,"","x")</f>
        <v/>
      </c>
      <c r="E2" t="str">
        <f>IFERROR(VLOOKUP(VLOOKUP(VALUE(A2),CURRENT,4,FALSE),NOV,2,FALSE),"")</f>
        <v/>
      </c>
      <c r="F2" t="str">
        <f>IFERROR(VLOOKUP(VLOOKUP(VALUE(A2),CURRENT,5,FALSE),NOV,2,FALSE),"")</f>
        <v/>
      </c>
      <c r="G2" t="str">
        <f>IF(E2&lt;&gt;"",FIND(IFERROR(LEFT(B2,FIND(" ",B2)-1),B2),E2),"")</f>
        <v/>
      </c>
      <c r="H2" t="str">
        <f>IF(F2&lt;&gt;"",FIND(IFERROR(LEFT(B2,FIND(" ",B2)-1),B2),F2),"")</f>
        <v/>
      </c>
    </row>
    <row r="3" spans="1:8" x14ac:dyDescent="0.25">
      <c r="A3" s="4">
        <v>101</v>
      </c>
      <c r="B3" s="4" t="s">
        <v>18</v>
      </c>
      <c r="C3" t="str">
        <f>VLOOKUP(VALUE(A3),CURRENT,2,FALSE)</f>
        <v>BBC One HD</v>
      </c>
      <c r="D3" t="str">
        <f>IF(B3=C3,"","x")</f>
        <v/>
      </c>
      <c r="E3" t="str">
        <f>IFERROR(VLOOKUP(VLOOKUP(VALUE(A3),CURRENT,4,FALSE),NOV,2,FALSE),"")</f>
        <v/>
      </c>
      <c r="F3" t="str">
        <f>IFERROR(VLOOKUP(VLOOKUP(VALUE(A3),CURRENT,5,FALSE),NOV,2,FALSE),"")</f>
        <v/>
      </c>
      <c r="G3" t="str">
        <f t="shared" ref="G3:G66" si="0">IF(E3&lt;&gt;"",FIND(IFERROR(LEFT(B3,FIND(" ",B3)-1),B3),E3),"")</f>
        <v/>
      </c>
      <c r="H3" t="str">
        <f t="shared" ref="H3:H66" si="1">IF(F3&lt;&gt;"",FIND(IFERROR(LEFT(B3,FIND(" ",B3)-1),B3),F3),"")</f>
        <v/>
      </c>
    </row>
    <row r="4" spans="1:8" x14ac:dyDescent="0.25">
      <c r="A4" s="4">
        <v>102</v>
      </c>
      <c r="B4" s="4" t="s">
        <v>58</v>
      </c>
      <c r="C4" t="str">
        <f>VLOOKUP(VALUE(A4),CURRENT,2,FALSE)</f>
        <v>BBC Two HD</v>
      </c>
      <c r="D4" t="str">
        <f>IF(B4=C4,"","x")</f>
        <v/>
      </c>
      <c r="E4" t="str">
        <f>IFERROR(VLOOKUP(VLOOKUP(VALUE(A4),CURRENT,4,FALSE),NOV,2,FALSE),"")</f>
        <v/>
      </c>
      <c r="F4" t="str">
        <f>IFERROR(VLOOKUP(VLOOKUP(VALUE(A4),CURRENT,5,FALSE),NOV,2,FALSE),"")</f>
        <v/>
      </c>
      <c r="G4" t="str">
        <f t="shared" si="0"/>
        <v/>
      </c>
      <c r="H4" t="str">
        <f t="shared" si="1"/>
        <v/>
      </c>
    </row>
    <row r="5" spans="1:8" x14ac:dyDescent="0.25">
      <c r="A5" s="4">
        <v>103</v>
      </c>
      <c r="B5" s="4" t="s">
        <v>13</v>
      </c>
      <c r="C5" t="str">
        <f>VLOOKUP(VALUE(A5),CURRENT,2,FALSE)</f>
        <v>ITV</v>
      </c>
      <c r="D5" t="str">
        <f>IF(B5=C5,"","x")</f>
        <v/>
      </c>
      <c r="E5" t="str">
        <f>IFERROR(VLOOKUP(VLOOKUP(VALUE(A5),CURRENT,4,FALSE),NOV,2,FALSE),"")</f>
        <v>ITV HD</v>
      </c>
      <c r="F5" t="str">
        <f>IFERROR(VLOOKUP(VLOOKUP(VALUE(A5),CURRENT,5,FALSE),NOV,2,FALSE),"")</f>
        <v>ITV +1</v>
      </c>
      <c r="G5">
        <f>IF(E5&lt;&gt;"",FIND(IFERROR(LEFT(B5,FIND(" ",B5)-1),B5),E5),"")</f>
        <v>1</v>
      </c>
      <c r="H5">
        <f t="shared" si="1"/>
        <v>1</v>
      </c>
    </row>
    <row r="6" spans="1:8" x14ac:dyDescent="0.25">
      <c r="A6" s="4">
        <v>104</v>
      </c>
      <c r="B6" s="4" t="s">
        <v>14</v>
      </c>
      <c r="C6" t="str">
        <f>VLOOKUP(VALUE(A6),CURRENT,2,FALSE)</f>
        <v>Channel 4</v>
      </c>
      <c r="D6" t="str">
        <f>IF(B6=C6,"","x")</f>
        <v/>
      </c>
      <c r="E6" t="str">
        <f>IFERROR(VLOOKUP(VLOOKUP(VALUE(A6),CURRENT,4,FALSE),NOV,2,FALSE),"")</f>
        <v>Channel 4 HD</v>
      </c>
      <c r="F6" t="str">
        <f>IFERROR(VLOOKUP(VLOOKUP(VALUE(A6),CURRENT,5,FALSE),NOV,2,FALSE),"")</f>
        <v>Channel 4 +1</v>
      </c>
      <c r="G6">
        <f t="shared" si="0"/>
        <v>1</v>
      </c>
      <c r="H6">
        <f t="shared" si="1"/>
        <v>1</v>
      </c>
    </row>
    <row r="7" spans="1:8" x14ac:dyDescent="0.25">
      <c r="A7" s="4">
        <v>105</v>
      </c>
      <c r="B7" s="4" t="s">
        <v>15</v>
      </c>
      <c r="C7" t="str">
        <f>VLOOKUP(VALUE(A7),CURRENT,2,FALSE)</f>
        <v>Channel 5</v>
      </c>
      <c r="D7" t="str">
        <f>IF(B7=C7,"","x")</f>
        <v/>
      </c>
      <c r="E7" t="str">
        <f>IFERROR(VLOOKUP(VLOOKUP(VALUE(A7),CURRENT,4,FALSE),NOV,2,FALSE),"")</f>
        <v>Channel 5 HD</v>
      </c>
      <c r="F7" t="str">
        <f>IFERROR(VLOOKUP(VLOOKUP(VALUE(A7),CURRENT,5,FALSE),NOV,2,FALSE),"")</f>
        <v>Channel 5 +1</v>
      </c>
      <c r="G7">
        <f t="shared" si="0"/>
        <v>1</v>
      </c>
      <c r="H7">
        <f t="shared" si="1"/>
        <v>1</v>
      </c>
    </row>
    <row r="8" spans="1:8" x14ac:dyDescent="0.25">
      <c r="A8" s="4">
        <v>106</v>
      </c>
      <c r="B8" s="4" t="s">
        <v>16</v>
      </c>
      <c r="C8" t="str">
        <f>VLOOKUP(VALUE(A8),CURRENT,2,FALSE)</f>
        <v>E4</v>
      </c>
      <c r="D8" t="str">
        <f>IF(B8=C8,"","x")</f>
        <v/>
      </c>
      <c r="E8" t="str">
        <f>IFERROR(VLOOKUP(VLOOKUP(VALUE(A8),CURRENT,4,FALSE),NOV,2,FALSE),"")</f>
        <v>E4 HD</v>
      </c>
      <c r="F8" t="str">
        <f>IFERROR(VLOOKUP(VLOOKUP(VALUE(A8),CURRENT,5,FALSE),NOV,2,FALSE),"")</f>
        <v>E4 +1</v>
      </c>
      <c r="G8">
        <f t="shared" si="0"/>
        <v>1</v>
      </c>
      <c r="H8">
        <f t="shared" si="1"/>
        <v>1</v>
      </c>
    </row>
    <row r="9" spans="1:8" x14ac:dyDescent="0.25">
      <c r="A9" s="4">
        <v>107</v>
      </c>
      <c r="B9" s="4" t="s">
        <v>17</v>
      </c>
      <c r="C9" t="str">
        <f>VLOOKUP(VALUE(A9),CURRENT,2,FALSE)</f>
        <v>BBC Four</v>
      </c>
      <c r="D9" t="str">
        <f>IF(B9=C9,"","x")</f>
        <v/>
      </c>
      <c r="E9" t="str">
        <f>IFERROR(VLOOKUP(VLOOKUP(VALUE(A9),CURRENT,4,FALSE),NOV,2,FALSE),"")</f>
        <v>BBC Four HD</v>
      </c>
      <c r="F9" t="str">
        <f>IFERROR(VLOOKUP(VLOOKUP(VALUE(A9),CURRENT,5,FALSE),NOV,2,FALSE),"")</f>
        <v/>
      </c>
      <c r="G9">
        <f t="shared" si="0"/>
        <v>1</v>
      </c>
      <c r="H9" t="str">
        <f t="shared" si="1"/>
        <v/>
      </c>
    </row>
    <row r="10" spans="1:8" x14ac:dyDescent="0.25">
      <c r="A10" s="4">
        <v>108</v>
      </c>
      <c r="B10" s="4" t="s">
        <v>704</v>
      </c>
      <c r="C10" t="str">
        <f>VLOOKUP(VALUE(A10),CURRENT,2,FALSE)</f>
        <v>BBC One HD England</v>
      </c>
      <c r="D10" t="str">
        <f>IF(B10=C10,"","x")</f>
        <v/>
      </c>
      <c r="E10" t="str">
        <f>IFERROR(VLOOKUP(VLOOKUP(VALUE(A10),CURRENT,4,FALSE),NOV,2,FALSE),"")</f>
        <v/>
      </c>
      <c r="F10" t="str">
        <f>IFERROR(VLOOKUP(VLOOKUP(VALUE(A10),CURRENT,5,FALSE),NOV,2,FALSE),"")</f>
        <v/>
      </c>
      <c r="G10" t="str">
        <f t="shared" si="0"/>
        <v/>
      </c>
      <c r="H10" t="str">
        <f t="shared" si="1"/>
        <v/>
      </c>
    </row>
    <row r="11" spans="1:8" x14ac:dyDescent="0.25">
      <c r="A11" s="4">
        <v>109</v>
      </c>
      <c r="B11" s="4" t="s">
        <v>289</v>
      </c>
      <c r="C11" t="str">
        <f>VLOOKUP(VALUE(A11),CURRENT,2,FALSE)</f>
        <v>Sky One HD</v>
      </c>
      <c r="D11" t="str">
        <f>IF(B11=C11,"","x")</f>
        <v/>
      </c>
      <c r="E11" t="str">
        <f>IFERROR(VLOOKUP(VLOOKUP(VALUE(A11),CURRENT,4,FALSE),NOV,2,FALSE),"")</f>
        <v/>
      </c>
      <c r="F11" t="str">
        <f>IFERROR(VLOOKUP(VLOOKUP(VALUE(A11),CURRENT,5,FALSE),NOV,2,FALSE),"")</f>
        <v/>
      </c>
      <c r="G11" t="str">
        <f t="shared" si="0"/>
        <v/>
      </c>
      <c r="H11" t="str">
        <f t="shared" si="1"/>
        <v/>
      </c>
    </row>
    <row r="12" spans="1:8" x14ac:dyDescent="0.25">
      <c r="A12" s="4">
        <v>110</v>
      </c>
      <c r="B12" s="4" t="s">
        <v>290</v>
      </c>
      <c r="C12" t="str">
        <f>VLOOKUP(VALUE(A12),CURRENT,2,FALSE)</f>
        <v>Sky One</v>
      </c>
      <c r="D12" t="str">
        <f>IF(B12=C12,"","x")</f>
        <v/>
      </c>
      <c r="E12" t="str">
        <f>IFERROR(VLOOKUP(VLOOKUP(VALUE(A12),CURRENT,4,FALSE),NOV,2,FALSE),"")</f>
        <v>Sky One HD</v>
      </c>
      <c r="F12" t="str">
        <f>IFERROR(VLOOKUP(VLOOKUP(VALUE(A12),CURRENT,5,FALSE),NOV,2,FALSE),"")</f>
        <v/>
      </c>
      <c r="G12">
        <f t="shared" si="0"/>
        <v>1</v>
      </c>
      <c r="H12" t="str">
        <f t="shared" si="1"/>
        <v/>
      </c>
    </row>
    <row r="13" spans="1:8" x14ac:dyDescent="0.25">
      <c r="A13" s="4">
        <v>111</v>
      </c>
      <c r="B13" s="4" t="s">
        <v>291</v>
      </c>
      <c r="C13" t="str">
        <f>VLOOKUP(VALUE(A13),CURRENT,2,FALSE)</f>
        <v>Sky Witness HD</v>
      </c>
      <c r="D13" t="str">
        <f>IF(B13=C13,"","x")</f>
        <v/>
      </c>
      <c r="E13" t="str">
        <f>IFERROR(VLOOKUP(VLOOKUP(VALUE(A13),CURRENT,4,FALSE),NOV,2,FALSE),"")</f>
        <v/>
      </c>
      <c r="F13" t="str">
        <f>IFERROR(VLOOKUP(VLOOKUP(VALUE(A13),CURRENT,5,FALSE),NOV,2,FALSE),"")</f>
        <v/>
      </c>
      <c r="G13" t="str">
        <f t="shared" si="0"/>
        <v/>
      </c>
      <c r="H13" t="str">
        <f t="shared" si="1"/>
        <v/>
      </c>
    </row>
    <row r="14" spans="1:8" x14ac:dyDescent="0.25">
      <c r="A14" s="4">
        <v>112</v>
      </c>
      <c r="B14" s="4" t="s">
        <v>292</v>
      </c>
      <c r="C14" t="str">
        <f>VLOOKUP(VALUE(A14),CURRENT,2,FALSE)</f>
        <v>Sky Witness</v>
      </c>
      <c r="D14" t="str">
        <f>IF(B14=C14,"","x")</f>
        <v/>
      </c>
      <c r="E14" t="str">
        <f>IFERROR(VLOOKUP(VLOOKUP(VALUE(A14),CURRENT,4,FALSE),NOV,2,FALSE),"")</f>
        <v>Sky Witness HD</v>
      </c>
      <c r="F14" t="str">
        <f>IFERROR(VLOOKUP(VLOOKUP(VALUE(A14),CURRENT,5,FALSE),NOV,2,FALSE),"")</f>
        <v>Sky Witness +1</v>
      </c>
      <c r="G14">
        <f t="shared" si="0"/>
        <v>1</v>
      </c>
      <c r="H14">
        <f t="shared" si="1"/>
        <v>1</v>
      </c>
    </row>
    <row r="15" spans="1:8" x14ac:dyDescent="0.25">
      <c r="A15" s="4">
        <v>113</v>
      </c>
      <c r="B15" s="4" t="s">
        <v>19</v>
      </c>
      <c r="C15" t="str">
        <f>VLOOKUP(VALUE(A15),CURRENT,2,FALSE)</f>
        <v>ITV HD</v>
      </c>
      <c r="D15" t="str">
        <f>IF(B15=C15,"","x")</f>
        <v/>
      </c>
      <c r="E15" t="str">
        <f>IFERROR(VLOOKUP(VLOOKUP(VALUE(A15),CURRENT,4,FALSE),NOV,2,FALSE),"")</f>
        <v/>
      </c>
      <c r="F15" t="str">
        <f>IFERROR(VLOOKUP(VLOOKUP(VALUE(A15),CURRENT,5,FALSE),NOV,2,FALSE),"")</f>
        <v/>
      </c>
      <c r="G15" t="str">
        <f t="shared" si="0"/>
        <v/>
      </c>
      <c r="H15" t="str">
        <f t="shared" si="1"/>
        <v/>
      </c>
    </row>
    <row r="16" spans="1:8" x14ac:dyDescent="0.25">
      <c r="A16" s="4">
        <v>114</v>
      </c>
      <c r="B16" s="4" t="s">
        <v>20</v>
      </c>
      <c r="C16" t="str">
        <f>VLOOKUP(VALUE(A16),CURRENT,2,FALSE)</f>
        <v>ITV +1</v>
      </c>
      <c r="D16" t="str">
        <f>IF(B16=C16,"","x")</f>
        <v/>
      </c>
      <c r="E16" t="str">
        <f>IFERROR(VLOOKUP(VLOOKUP(VALUE(A16),CURRENT,4,FALSE),NOV,2,FALSE),"")</f>
        <v/>
      </c>
      <c r="F16" t="str">
        <f>IFERROR(VLOOKUP(VLOOKUP(VALUE(A16),CURRENT,5,FALSE),NOV,2,FALSE),"")</f>
        <v/>
      </c>
      <c r="G16" t="str">
        <f t="shared" si="0"/>
        <v/>
      </c>
      <c r="H16" t="str">
        <f t="shared" si="1"/>
        <v/>
      </c>
    </row>
    <row r="17" spans="1:8" x14ac:dyDescent="0.25">
      <c r="A17" s="4">
        <v>115</v>
      </c>
      <c r="B17" s="4" t="s">
        <v>21</v>
      </c>
      <c r="C17" t="str">
        <f>VLOOKUP(VALUE(A17),CURRENT,2,FALSE)</f>
        <v>ITV2</v>
      </c>
      <c r="D17" t="str">
        <f>IF(B17=C17,"","x")</f>
        <v/>
      </c>
      <c r="E17" t="str">
        <f>IFERROR(VLOOKUP(VLOOKUP(VALUE(A17),CURRENT,4,FALSE),NOV,2,FALSE),"")</f>
        <v>ITV2 HD</v>
      </c>
      <c r="F17" t="str">
        <f>IFERROR(VLOOKUP(VLOOKUP(VALUE(A17),CURRENT,5,FALSE),NOV,2,FALSE),"")</f>
        <v>ITV2 +1</v>
      </c>
      <c r="G17">
        <f t="shared" si="0"/>
        <v>1</v>
      </c>
      <c r="H17">
        <f t="shared" si="1"/>
        <v>1</v>
      </c>
    </row>
    <row r="18" spans="1:8" x14ac:dyDescent="0.25">
      <c r="A18" s="4">
        <v>116</v>
      </c>
      <c r="B18" s="4" t="s">
        <v>22</v>
      </c>
      <c r="C18" t="str">
        <f>VLOOKUP(VALUE(A18),CURRENT,2,FALSE)</f>
        <v>ITV2 +1</v>
      </c>
      <c r="D18" t="str">
        <f>IF(B18=C18,"","x")</f>
        <v/>
      </c>
      <c r="E18" t="str">
        <f>IFERROR(VLOOKUP(VLOOKUP(VALUE(A18),CURRENT,4,FALSE),NOV,2,FALSE),"")</f>
        <v/>
      </c>
      <c r="F18" t="str">
        <f>IFERROR(VLOOKUP(VLOOKUP(VALUE(A18),CURRENT,5,FALSE),NOV,2,FALSE),"")</f>
        <v/>
      </c>
      <c r="G18" t="str">
        <f t="shared" si="0"/>
        <v/>
      </c>
      <c r="H18" t="str">
        <f t="shared" si="1"/>
        <v/>
      </c>
    </row>
    <row r="19" spans="1:8" x14ac:dyDescent="0.25">
      <c r="A19" s="4">
        <v>117</v>
      </c>
      <c r="B19" s="4" t="s">
        <v>23</v>
      </c>
      <c r="C19" t="str">
        <f>VLOOKUP(VALUE(A19),CURRENT,2,FALSE)</f>
        <v>ITV3</v>
      </c>
      <c r="D19" t="str">
        <f>IF(B19=C19,"","x")</f>
        <v/>
      </c>
      <c r="E19" t="str">
        <f>IFERROR(VLOOKUP(VLOOKUP(VALUE(A19),CURRENT,4,FALSE),NOV,2,FALSE),"")</f>
        <v>ITV3 HD</v>
      </c>
      <c r="F19" t="str">
        <f>IFERROR(VLOOKUP(VLOOKUP(VALUE(A19),CURRENT,5,FALSE),NOV,2,FALSE),"")</f>
        <v>ITV3 +1</v>
      </c>
      <c r="G19">
        <f t="shared" si="0"/>
        <v>1</v>
      </c>
      <c r="H19">
        <f t="shared" si="1"/>
        <v>1</v>
      </c>
    </row>
    <row r="20" spans="1:8" x14ac:dyDescent="0.25">
      <c r="A20" s="4">
        <v>118</v>
      </c>
      <c r="B20" s="4" t="s">
        <v>24</v>
      </c>
      <c r="C20" t="str">
        <f>VLOOKUP(VALUE(A20),CURRENT,2,FALSE)</f>
        <v>ITV4</v>
      </c>
      <c r="D20" t="str">
        <f>IF(B20=C20,"","x")</f>
        <v/>
      </c>
      <c r="E20" t="str">
        <f>IFERROR(VLOOKUP(VLOOKUP(VALUE(A20),CURRENT,4,FALSE),NOV,2,FALSE),"")</f>
        <v>ITV4 HD</v>
      </c>
      <c r="F20" t="str">
        <f>IFERROR(VLOOKUP(VLOOKUP(VALUE(A20),CURRENT,5,FALSE),NOV,2,FALSE),"")</f>
        <v>ITV4 +1</v>
      </c>
      <c r="G20">
        <f t="shared" si="0"/>
        <v>1</v>
      </c>
      <c r="H20">
        <f t="shared" si="1"/>
        <v>1</v>
      </c>
    </row>
    <row r="21" spans="1:8" x14ac:dyDescent="0.25">
      <c r="A21" s="4">
        <v>119</v>
      </c>
      <c r="B21" s="4" t="s">
        <v>25</v>
      </c>
      <c r="C21" t="str">
        <f>VLOOKUP(VALUE(A21),CURRENT,2,FALSE)</f>
        <v>ITVBe</v>
      </c>
      <c r="D21" t="str">
        <f>IF(B21=C21,"","x")</f>
        <v/>
      </c>
      <c r="E21" t="str">
        <f>IFERROR(VLOOKUP(VLOOKUP(VALUE(A21),CURRENT,4,FALSE),NOV,2,FALSE),"")</f>
        <v>ITVBe HD</v>
      </c>
      <c r="F21" t="str">
        <f>IFERROR(VLOOKUP(VLOOKUP(VALUE(A21),CURRENT,5,FALSE),NOV,2,FALSE),"")</f>
        <v>ITVBe +1</v>
      </c>
      <c r="G21">
        <f t="shared" si="0"/>
        <v>1</v>
      </c>
      <c r="H21">
        <f t="shared" si="1"/>
        <v>1</v>
      </c>
    </row>
    <row r="22" spans="1:8" x14ac:dyDescent="0.25">
      <c r="A22" s="4">
        <v>120</v>
      </c>
      <c r="B22" s="4" t="s">
        <v>26</v>
      </c>
      <c r="C22" t="str">
        <f>VLOOKUP(VALUE(A22),CURRENT,2,FALSE)</f>
        <v>ITVBe +1</v>
      </c>
      <c r="D22" t="str">
        <f>IF(B22=C22,"","x")</f>
        <v/>
      </c>
      <c r="E22" t="str">
        <f>IFERROR(VLOOKUP(VLOOKUP(VALUE(A22),CURRENT,4,FALSE),NOV,2,FALSE),"")</f>
        <v/>
      </c>
      <c r="F22" t="str">
        <f>IFERROR(VLOOKUP(VLOOKUP(VALUE(A22),CURRENT,5,FALSE),NOV,2,FALSE),"")</f>
        <v/>
      </c>
      <c r="G22" t="str">
        <f t="shared" si="0"/>
        <v/>
      </c>
      <c r="H22" t="str">
        <f t="shared" si="1"/>
        <v/>
      </c>
    </row>
    <row r="23" spans="1:8" x14ac:dyDescent="0.25">
      <c r="A23" s="4">
        <v>121</v>
      </c>
      <c r="B23" s="4" t="s">
        <v>293</v>
      </c>
      <c r="C23" t="str">
        <f>VLOOKUP(VALUE(A23),CURRENT,2,FALSE)</f>
        <v>Sky Two</v>
      </c>
      <c r="D23" t="str">
        <f>IF(B23=C23,"","x")</f>
        <v/>
      </c>
      <c r="E23" t="str">
        <f>IFERROR(VLOOKUP(VLOOKUP(VALUE(A23),CURRENT,4,FALSE),NOV,2,FALSE),"")</f>
        <v/>
      </c>
      <c r="F23" t="str">
        <f>IFERROR(VLOOKUP(VLOOKUP(VALUE(A23),CURRENT,5,FALSE),NOV,2,FALSE),"")</f>
        <v/>
      </c>
      <c r="G23" t="str">
        <f t="shared" si="0"/>
        <v/>
      </c>
      <c r="H23" t="str">
        <f t="shared" si="1"/>
        <v/>
      </c>
    </row>
    <row r="24" spans="1:8" x14ac:dyDescent="0.25">
      <c r="A24" s="4">
        <v>122</v>
      </c>
      <c r="B24" s="4" t="s">
        <v>27</v>
      </c>
      <c r="C24" t="str">
        <f>VLOOKUP(VALUE(A24),CURRENT,2,FALSE)</f>
        <v>Sky Arts</v>
      </c>
      <c r="D24" t="str">
        <f>IF(B24=C24,"","x")</f>
        <v/>
      </c>
      <c r="E24" t="str">
        <f>IFERROR(VLOOKUP(VLOOKUP(VALUE(A24),CURRENT,4,FALSE),NOV,2,FALSE),"")</f>
        <v>Sky Arts HD</v>
      </c>
      <c r="F24" t="str">
        <f>IFERROR(VLOOKUP(VLOOKUP(VALUE(A24),CURRENT,5,FALSE),NOV,2,FALSE),"")</f>
        <v/>
      </c>
      <c r="G24">
        <f t="shared" si="0"/>
        <v>1</v>
      </c>
      <c r="H24" t="str">
        <f t="shared" si="1"/>
        <v/>
      </c>
    </row>
    <row r="25" spans="1:8" x14ac:dyDescent="0.25">
      <c r="A25" s="4">
        <v>123</v>
      </c>
      <c r="B25" s="4" t="s">
        <v>28</v>
      </c>
      <c r="C25" t="str">
        <f>VLOOKUP(VALUE(A25),CURRENT,2,FALSE)</f>
        <v>Pick</v>
      </c>
      <c r="D25" t="str">
        <f>IF(B25=C25,"","x")</f>
        <v/>
      </c>
      <c r="E25" t="str">
        <f>IFERROR(VLOOKUP(VLOOKUP(VALUE(A25),CURRENT,4,FALSE),NOV,2,FALSE),"")</f>
        <v/>
      </c>
      <c r="F25" t="str">
        <f>IFERROR(VLOOKUP(VLOOKUP(VALUE(A25),CURRENT,5,FALSE),NOV,2,FALSE),"")</f>
        <v/>
      </c>
      <c r="G25" t="str">
        <f t="shared" si="0"/>
        <v/>
      </c>
      <c r="H25" t="str">
        <f t="shared" si="1"/>
        <v/>
      </c>
    </row>
    <row r="26" spans="1:8" x14ac:dyDescent="0.25">
      <c r="A26" s="4">
        <v>124</v>
      </c>
      <c r="B26" s="4" t="s">
        <v>294</v>
      </c>
      <c r="C26" t="str">
        <f>VLOOKUP(VALUE(A26),CURRENT,2,FALSE)</f>
        <v>Gold HD</v>
      </c>
      <c r="D26" t="str">
        <f>IF(B26=C26,"","x")</f>
        <v/>
      </c>
      <c r="E26" t="str">
        <f>IFERROR(VLOOKUP(VLOOKUP(VALUE(A26),CURRENT,4,FALSE),NOV,2,FALSE),"")</f>
        <v/>
      </c>
      <c r="F26" t="str">
        <f>IFERROR(VLOOKUP(VLOOKUP(VALUE(A26),CURRENT,5,FALSE),NOV,2,FALSE),"")</f>
        <v>Gold +1</v>
      </c>
      <c r="G26" t="str">
        <f t="shared" si="0"/>
        <v/>
      </c>
      <c r="H26">
        <f t="shared" si="1"/>
        <v>1</v>
      </c>
    </row>
    <row r="27" spans="1:8" x14ac:dyDescent="0.25">
      <c r="A27" s="4">
        <v>125</v>
      </c>
      <c r="B27" s="4" t="s">
        <v>30</v>
      </c>
      <c r="C27" t="str">
        <f>VLOOKUP(VALUE(A27),CURRENT,2,FALSE)</f>
        <v>W</v>
      </c>
      <c r="D27" t="str">
        <f>IF(B27=C27,"","x")</f>
        <v/>
      </c>
      <c r="E27" t="str">
        <f>IFERROR(VLOOKUP(VLOOKUP(VALUE(A27),CURRENT,4,FALSE),NOV,2,FALSE),"")</f>
        <v>W HD</v>
      </c>
      <c r="F27" t="str">
        <f>IFERROR(VLOOKUP(VLOOKUP(VALUE(A27),CURRENT,5,FALSE),NOV,2,FALSE),"")</f>
        <v>W +1</v>
      </c>
      <c r="G27">
        <f t="shared" si="0"/>
        <v>1</v>
      </c>
      <c r="H27">
        <f t="shared" si="1"/>
        <v>1</v>
      </c>
    </row>
    <row r="28" spans="1:8" x14ac:dyDescent="0.25">
      <c r="A28" s="4">
        <v>126</v>
      </c>
      <c r="B28" s="4" t="s">
        <v>401</v>
      </c>
      <c r="C28" t="str">
        <f>VLOOKUP(VALUE(A28),CURRENT,2,FALSE)</f>
        <v>alibi</v>
      </c>
      <c r="D28" t="str">
        <f>IF(B28=C28,"","x")</f>
        <v/>
      </c>
      <c r="E28" t="str">
        <f>IFERROR(VLOOKUP(VLOOKUP(VALUE(A28),CURRENT,4,FALSE),NOV,2,FALSE),"")</f>
        <v>Alibi HD</v>
      </c>
      <c r="F28" t="str">
        <f>IFERROR(VLOOKUP(VLOOKUP(VALUE(A28),CURRENT,5,FALSE),NOV,2,FALSE),"")</f>
        <v>Alibi +1</v>
      </c>
      <c r="G28">
        <f t="shared" si="0"/>
        <v>1</v>
      </c>
      <c r="H28">
        <f t="shared" si="1"/>
        <v>1</v>
      </c>
    </row>
    <row r="29" spans="1:8" x14ac:dyDescent="0.25">
      <c r="A29" s="4">
        <v>127</v>
      </c>
      <c r="B29" s="4" t="s">
        <v>32</v>
      </c>
      <c r="C29" t="str">
        <f>VLOOKUP(VALUE(A29),CURRENT,2,FALSE)</f>
        <v>Dave</v>
      </c>
      <c r="D29" t="str">
        <f>IF(B29=C29,"","x")</f>
        <v/>
      </c>
      <c r="E29" t="str">
        <f>IFERROR(VLOOKUP(VLOOKUP(VALUE(A29),CURRENT,4,FALSE),NOV,2,FALSE),"")</f>
        <v>Dave HD</v>
      </c>
      <c r="F29" t="str">
        <f>IFERROR(VLOOKUP(VLOOKUP(VALUE(A29),CURRENT,5,FALSE),NOV,2,FALSE),"")</f>
        <v>Dave ja vu</v>
      </c>
      <c r="G29">
        <f t="shared" si="0"/>
        <v>1</v>
      </c>
      <c r="H29">
        <f t="shared" si="1"/>
        <v>1</v>
      </c>
    </row>
    <row r="30" spans="1:8" x14ac:dyDescent="0.25">
      <c r="A30" s="4">
        <v>128</v>
      </c>
      <c r="B30" s="4" t="s">
        <v>34</v>
      </c>
      <c r="C30" t="str">
        <f>VLOOKUP(VALUE(A30),CURRENT,2,FALSE)</f>
        <v>Really</v>
      </c>
      <c r="D30" t="str">
        <f>IF(B30=C30,"","x")</f>
        <v/>
      </c>
      <c r="E30" t="str">
        <f>IFERROR(VLOOKUP(VLOOKUP(VALUE(A30),CURRENT,4,FALSE),NOV,2,FALSE),"")</f>
        <v/>
      </c>
      <c r="F30" t="str">
        <f>IFERROR(VLOOKUP(VLOOKUP(VALUE(A30),CURRENT,5,FALSE),NOV,2,FALSE),"")</f>
        <v/>
      </c>
      <c r="G30" t="str">
        <f t="shared" si="0"/>
        <v/>
      </c>
      <c r="H30" t="str">
        <f t="shared" si="1"/>
        <v/>
      </c>
    </row>
    <row r="31" spans="1:8" x14ac:dyDescent="0.25">
      <c r="A31" s="4">
        <v>129</v>
      </c>
      <c r="B31" s="4" t="s">
        <v>102</v>
      </c>
      <c r="C31" t="str">
        <f>VLOOKUP(VALUE(A31),CURRENT,2,FALSE)</f>
        <v>Yesterday</v>
      </c>
      <c r="D31" t="str">
        <f>IF(B31=C31,"","x")</f>
        <v/>
      </c>
      <c r="E31" t="str">
        <f>IFERROR(VLOOKUP(VLOOKUP(VALUE(A31),CURRENT,4,FALSE),NOV,2,FALSE),"")</f>
        <v/>
      </c>
      <c r="F31" t="str">
        <f>IFERROR(VLOOKUP(VLOOKUP(VALUE(A31),CURRENT,5,FALSE),NOV,2,FALSE),"")</f>
        <v/>
      </c>
      <c r="G31" t="str">
        <f t="shared" si="0"/>
        <v/>
      </c>
      <c r="H31" t="str">
        <f t="shared" si="1"/>
        <v/>
      </c>
    </row>
    <row r="32" spans="1:8" x14ac:dyDescent="0.25">
      <c r="A32" s="4">
        <v>130</v>
      </c>
      <c r="B32" s="4" t="s">
        <v>33</v>
      </c>
      <c r="C32" t="str">
        <f>VLOOKUP(VALUE(A32),CURRENT,2,FALSE)</f>
        <v>Drama</v>
      </c>
      <c r="D32" t="str">
        <f>IF(B32=C32,"","x")</f>
        <v/>
      </c>
      <c r="E32" t="str">
        <f>IFERROR(VLOOKUP(VLOOKUP(VALUE(A32),CURRENT,4,FALSE),NOV,2,FALSE),"")</f>
        <v/>
      </c>
      <c r="F32" t="str">
        <f>IFERROR(VLOOKUP(VLOOKUP(VALUE(A32),CURRENT,5,FALSE),NOV,2,FALSE),"")</f>
        <v/>
      </c>
      <c r="G32" t="str">
        <f t="shared" si="0"/>
        <v/>
      </c>
      <c r="H32" t="str">
        <f t="shared" si="1"/>
        <v/>
      </c>
    </row>
    <row r="33" spans="1:8" x14ac:dyDescent="0.25">
      <c r="A33" s="4">
        <v>131</v>
      </c>
      <c r="B33" s="4" t="s">
        <v>96</v>
      </c>
      <c r="C33" t="str">
        <f>VLOOKUP(VALUE(A33),CURRENT,2,FALSE)</f>
        <v>Dave ja vu</v>
      </c>
      <c r="D33" t="str">
        <f>IF(B33=C33,"","x")</f>
        <v/>
      </c>
      <c r="E33" t="str">
        <f>IFERROR(VLOOKUP(VLOOKUP(VALUE(A33),CURRENT,4,FALSE),NOV,2,FALSE),"")</f>
        <v/>
      </c>
      <c r="F33" t="str">
        <f>IFERROR(VLOOKUP(VLOOKUP(VALUE(A33),CURRENT,5,FALSE),NOV,2,FALSE),"")</f>
        <v/>
      </c>
      <c r="G33" t="str">
        <f t="shared" si="0"/>
        <v/>
      </c>
      <c r="H33" t="str">
        <f t="shared" si="1"/>
        <v/>
      </c>
    </row>
    <row r="34" spans="1:8" x14ac:dyDescent="0.25">
      <c r="A34" s="4">
        <v>132</v>
      </c>
      <c r="B34" s="4" t="s">
        <v>36</v>
      </c>
      <c r="C34" t="str">
        <f>VLOOKUP(VALUE(A34),CURRENT,2,FALSE)</f>
        <v>Comedy Central</v>
      </c>
      <c r="D34" t="str">
        <f>IF(B34=C34,"","x")</f>
        <v/>
      </c>
      <c r="E34" t="str">
        <f>IFERROR(VLOOKUP(VLOOKUP(VALUE(A34),CURRENT,4,FALSE),NOV,2,FALSE),"")</f>
        <v>Comedy Central HD</v>
      </c>
      <c r="F34" t="str">
        <f>IFERROR(VLOOKUP(VLOOKUP(VALUE(A34),CURRENT,5,FALSE),NOV,2,FALSE),"")</f>
        <v>Comedy Central +1</v>
      </c>
      <c r="G34">
        <f t="shared" si="0"/>
        <v>1</v>
      </c>
      <c r="H34">
        <f t="shared" si="1"/>
        <v>1</v>
      </c>
    </row>
    <row r="35" spans="1:8" x14ac:dyDescent="0.25">
      <c r="A35" s="4">
        <v>133</v>
      </c>
      <c r="B35" s="4" t="s">
        <v>37</v>
      </c>
      <c r="C35" t="str">
        <f>VLOOKUP(VALUE(A35),CURRENT,2,FALSE)</f>
        <v>Comedy Central +1</v>
      </c>
      <c r="D35" t="str">
        <f>IF(B35=C35,"","x")</f>
        <v/>
      </c>
      <c r="E35" t="str">
        <f>IFERROR(VLOOKUP(VLOOKUP(VALUE(A35),CURRENT,4,FALSE),NOV,2,FALSE),"")</f>
        <v/>
      </c>
      <c r="F35" t="str">
        <f>IFERROR(VLOOKUP(VLOOKUP(VALUE(A35),CURRENT,5,FALSE),NOV,2,FALSE),"")</f>
        <v/>
      </c>
      <c r="G35" t="str">
        <f t="shared" si="0"/>
        <v/>
      </c>
      <c r="H35" t="str">
        <f t="shared" si="1"/>
        <v/>
      </c>
    </row>
    <row r="36" spans="1:8" x14ac:dyDescent="0.25">
      <c r="A36" s="4">
        <v>134</v>
      </c>
      <c r="B36" s="4" t="s">
        <v>38</v>
      </c>
      <c r="C36" t="str">
        <f>VLOOKUP(VALUE(A36),CURRENT,2,FALSE)</f>
        <v>MTV</v>
      </c>
      <c r="D36" t="str">
        <f>IF(B36=C36,"","x")</f>
        <v/>
      </c>
      <c r="E36" t="str">
        <f>IFERROR(VLOOKUP(VLOOKUP(VALUE(A36),CURRENT,4,FALSE),NOV,2,FALSE),"")</f>
        <v>MTV HD</v>
      </c>
      <c r="F36" t="str">
        <f>IFERROR(VLOOKUP(VLOOKUP(VALUE(A36),CURRENT,5,FALSE),NOV,2,FALSE),"")</f>
        <v/>
      </c>
      <c r="G36">
        <f t="shared" si="0"/>
        <v>1</v>
      </c>
      <c r="H36" t="str">
        <f t="shared" si="1"/>
        <v/>
      </c>
    </row>
    <row r="37" spans="1:8" x14ac:dyDescent="0.25">
      <c r="A37" s="4">
        <v>135</v>
      </c>
      <c r="B37" s="4" t="s">
        <v>39</v>
      </c>
      <c r="C37" t="str">
        <f>VLOOKUP(VALUE(A37),CURRENT,2,FALSE)</f>
        <v>Syfy</v>
      </c>
      <c r="D37" t="str">
        <f>IF(B37=C37,"","x")</f>
        <v/>
      </c>
      <c r="E37" t="str">
        <f>IFERROR(VLOOKUP(VLOOKUP(VALUE(A37),CURRENT,4,FALSE),NOV,2,FALSE),"")</f>
        <v>Syfy HD</v>
      </c>
      <c r="F37" t="str">
        <f>IFERROR(VLOOKUP(VLOOKUP(VALUE(A37),CURRENT,5,FALSE),NOV,2,FALSE),"")</f>
        <v>Syfy +1</v>
      </c>
      <c r="G37">
        <f t="shared" si="0"/>
        <v>1</v>
      </c>
      <c r="H37">
        <f t="shared" si="1"/>
        <v>1</v>
      </c>
    </row>
    <row r="38" spans="1:8" x14ac:dyDescent="0.25">
      <c r="A38" s="4">
        <v>136</v>
      </c>
      <c r="B38" s="4" t="s">
        <v>40</v>
      </c>
      <c r="C38" t="str">
        <f>VLOOKUP(VALUE(A38),CURRENT,2,FALSE)</f>
        <v>Syfy +1</v>
      </c>
      <c r="D38" t="str">
        <f>IF(B38=C38,"","x")</f>
        <v/>
      </c>
      <c r="E38" t="str">
        <f>IFERROR(VLOOKUP(VLOOKUP(VALUE(A38),CURRENT,4,FALSE),NOV,2,FALSE),"")</f>
        <v/>
      </c>
      <c r="F38" t="str">
        <f>IFERROR(VLOOKUP(VLOOKUP(VALUE(A38),CURRENT,5,FALSE),NOV,2,FALSE),"")</f>
        <v/>
      </c>
      <c r="G38" t="str">
        <f t="shared" si="0"/>
        <v/>
      </c>
      <c r="H38" t="str">
        <f t="shared" si="1"/>
        <v/>
      </c>
    </row>
    <row r="39" spans="1:8" x14ac:dyDescent="0.25">
      <c r="A39" s="4">
        <v>137</v>
      </c>
      <c r="B39" s="4" t="s">
        <v>295</v>
      </c>
      <c r="C39" t="str">
        <f>VLOOKUP(VALUE(A39),CURRENT,2,FALSE)</f>
        <v>Universal TV</v>
      </c>
      <c r="D39" t="str">
        <f>IF(B39=C39,"","x")</f>
        <v/>
      </c>
      <c r="E39" t="str">
        <f>IFERROR(VLOOKUP(VLOOKUP(VALUE(A39),CURRENT,4,FALSE),NOV,2,FALSE),"")</f>
        <v>Universal TV HD</v>
      </c>
      <c r="F39" t="str">
        <f>IFERROR(VLOOKUP(VLOOKUP(VALUE(A39),CURRENT,5,FALSE),NOV,2,FALSE),"")</f>
        <v>Universal TV +1</v>
      </c>
      <c r="G39">
        <f t="shared" si="0"/>
        <v>1</v>
      </c>
      <c r="H39">
        <f t="shared" si="1"/>
        <v>1</v>
      </c>
    </row>
    <row r="40" spans="1:8" x14ac:dyDescent="0.25">
      <c r="A40" s="4">
        <v>138</v>
      </c>
      <c r="B40" s="4" t="s">
        <v>296</v>
      </c>
      <c r="C40" t="str">
        <f>VLOOKUP(VALUE(A40),CURRENT,2,FALSE)</f>
        <v>Universal TV +1</v>
      </c>
      <c r="D40" t="str">
        <f>IF(B40=C40,"","x")</f>
        <v/>
      </c>
      <c r="E40" t="str">
        <f>IFERROR(VLOOKUP(VLOOKUP(VALUE(A40),CURRENT,4,FALSE),NOV,2,FALSE),"")</f>
        <v/>
      </c>
      <c r="F40" t="str">
        <f>IFERROR(VLOOKUP(VLOOKUP(VALUE(A40),CURRENT,5,FALSE),NOV,2,FALSE),"")</f>
        <v/>
      </c>
      <c r="G40" t="str">
        <f t="shared" si="0"/>
        <v/>
      </c>
      <c r="H40" t="str">
        <f t="shared" si="1"/>
        <v/>
      </c>
    </row>
    <row r="41" spans="1:8" x14ac:dyDescent="0.25">
      <c r="A41" s="4">
        <v>139</v>
      </c>
      <c r="B41" s="4" t="s">
        <v>41</v>
      </c>
      <c r="C41" t="str">
        <f>VLOOKUP(VALUE(A41),CURRENT,2,FALSE)</f>
        <v>Challenge</v>
      </c>
      <c r="D41" t="str">
        <f>IF(B41=C41,"","x")</f>
        <v/>
      </c>
      <c r="E41" t="str">
        <f>IFERROR(VLOOKUP(VLOOKUP(VALUE(A41),CURRENT,4,FALSE),NOV,2,FALSE),"")</f>
        <v/>
      </c>
      <c r="F41" t="str">
        <f>IFERROR(VLOOKUP(VLOOKUP(VALUE(A41),CURRENT,5,FALSE),NOV,2,FALSE),"")</f>
        <v>Challenge +1</v>
      </c>
      <c r="G41" t="str">
        <f t="shared" si="0"/>
        <v/>
      </c>
      <c r="H41">
        <f t="shared" si="1"/>
        <v>1</v>
      </c>
    </row>
    <row r="42" spans="1:8" x14ac:dyDescent="0.25">
      <c r="A42" s="4">
        <v>140</v>
      </c>
      <c r="B42" s="4" t="s">
        <v>297</v>
      </c>
      <c r="C42" t="str">
        <f>VLOOKUP(VALUE(A42),CURRENT,2,FALSE)</f>
        <v>Sky Witness +1</v>
      </c>
      <c r="D42" t="str">
        <f>IF(B42=C42,"","x")</f>
        <v/>
      </c>
      <c r="E42" t="str">
        <f>IFERROR(VLOOKUP(VLOOKUP(VALUE(A42),CURRENT,4,FALSE),NOV,2,FALSE),"")</f>
        <v/>
      </c>
      <c r="F42" t="str">
        <f>IFERROR(VLOOKUP(VLOOKUP(VALUE(A42),CURRENT,5,FALSE),NOV,2,FALSE),"")</f>
        <v/>
      </c>
      <c r="G42" t="str">
        <f t="shared" si="0"/>
        <v/>
      </c>
      <c r="H42" t="str">
        <f t="shared" si="1"/>
        <v/>
      </c>
    </row>
    <row r="43" spans="1:8" x14ac:dyDescent="0.25">
      <c r="A43" s="4">
        <v>141</v>
      </c>
      <c r="B43" s="4" t="s">
        <v>42</v>
      </c>
      <c r="C43" t="str">
        <f>VLOOKUP(VALUE(A43),CURRENT,2,FALSE)</f>
        <v>Channel 4 HD</v>
      </c>
      <c r="D43" t="str">
        <f>IF(B43=C43,"","x")</f>
        <v/>
      </c>
      <c r="E43" t="str">
        <f>IFERROR(VLOOKUP(VLOOKUP(VALUE(A43),CURRENT,4,FALSE),NOV,2,FALSE),"")</f>
        <v/>
      </c>
      <c r="F43" t="str">
        <f>IFERROR(VLOOKUP(VLOOKUP(VALUE(A43),CURRENT,5,FALSE),NOV,2,FALSE),"")</f>
        <v/>
      </c>
      <c r="G43" t="str">
        <f t="shared" si="0"/>
        <v/>
      </c>
      <c r="H43" t="str">
        <f t="shared" si="1"/>
        <v/>
      </c>
    </row>
    <row r="44" spans="1:8" x14ac:dyDescent="0.25">
      <c r="A44" s="4">
        <v>142</v>
      </c>
      <c r="B44" s="4" t="s">
        <v>43</v>
      </c>
      <c r="C44" t="str">
        <f>VLOOKUP(VALUE(A44),CURRENT,2,FALSE)</f>
        <v>Channel 4 +1</v>
      </c>
      <c r="D44" t="str">
        <f>IF(B44=C44,"","x")</f>
        <v/>
      </c>
      <c r="E44" t="str">
        <f>IFERROR(VLOOKUP(VLOOKUP(VALUE(A44),CURRENT,4,FALSE),NOV,2,FALSE),"")</f>
        <v/>
      </c>
      <c r="F44" t="str">
        <f>IFERROR(VLOOKUP(VLOOKUP(VALUE(A44),CURRENT,5,FALSE),NOV,2,FALSE),"")</f>
        <v/>
      </c>
      <c r="G44" t="str">
        <f t="shared" si="0"/>
        <v/>
      </c>
      <c r="H44" t="str">
        <f t="shared" si="1"/>
        <v/>
      </c>
    </row>
    <row r="45" spans="1:8" x14ac:dyDescent="0.25">
      <c r="A45" s="4">
        <v>143</v>
      </c>
      <c r="B45" s="4" t="s">
        <v>44</v>
      </c>
      <c r="C45" t="str">
        <f>VLOOKUP(VALUE(A45),CURRENT,2,FALSE)</f>
        <v>4seven</v>
      </c>
      <c r="D45" t="str">
        <f>IF(B45=C45,"","x")</f>
        <v/>
      </c>
      <c r="E45" t="str">
        <f>IFERROR(VLOOKUP(VLOOKUP(VALUE(A45),CURRENT,4,FALSE),NOV,2,FALSE),"")</f>
        <v>4seven HD</v>
      </c>
      <c r="F45" t="str">
        <f>IFERROR(VLOOKUP(VLOOKUP(VALUE(A45),CURRENT,5,FALSE),NOV,2,FALSE),"")</f>
        <v/>
      </c>
      <c r="G45">
        <f t="shared" si="0"/>
        <v>1</v>
      </c>
      <c r="H45" t="str">
        <f t="shared" si="1"/>
        <v/>
      </c>
    </row>
    <row r="46" spans="1:8" x14ac:dyDescent="0.25">
      <c r="A46" s="4">
        <v>145</v>
      </c>
      <c r="B46" s="4" t="s">
        <v>45</v>
      </c>
      <c r="C46" t="str">
        <f>VLOOKUP(VALUE(A46),CURRENT,2,FALSE)</f>
        <v>E4 HD</v>
      </c>
      <c r="D46" t="str">
        <f>IF(B46=C46,"","x")</f>
        <v/>
      </c>
      <c r="E46" t="str">
        <f>IFERROR(VLOOKUP(VLOOKUP(VALUE(A46),CURRENT,4,FALSE),NOV,2,FALSE),"")</f>
        <v/>
      </c>
      <c r="F46" t="str">
        <f>IFERROR(VLOOKUP(VLOOKUP(VALUE(A46),CURRENT,5,FALSE),NOV,2,FALSE),"")</f>
        <v/>
      </c>
      <c r="G46" t="str">
        <f t="shared" si="0"/>
        <v/>
      </c>
      <c r="H46" t="str">
        <f t="shared" si="1"/>
        <v/>
      </c>
    </row>
    <row r="47" spans="1:8" x14ac:dyDescent="0.25">
      <c r="A47" s="4">
        <v>146</v>
      </c>
      <c r="B47" s="4" t="s">
        <v>46</v>
      </c>
      <c r="C47" t="str">
        <f>VLOOKUP(VALUE(A47),CURRENT,2,FALSE)</f>
        <v>E4 +1</v>
      </c>
      <c r="D47" t="str">
        <f>IF(B47=C47,"","x")</f>
        <v/>
      </c>
      <c r="E47" t="str">
        <f>IFERROR(VLOOKUP(VLOOKUP(VALUE(A47),CURRENT,4,FALSE),NOV,2,FALSE),"")</f>
        <v/>
      </c>
      <c r="F47" t="str">
        <f>IFERROR(VLOOKUP(VLOOKUP(VALUE(A47),CURRENT,5,FALSE),NOV,2,FALSE),"")</f>
        <v/>
      </c>
      <c r="G47" t="str">
        <f t="shared" si="0"/>
        <v/>
      </c>
      <c r="H47" t="str">
        <f t="shared" si="1"/>
        <v/>
      </c>
    </row>
    <row r="48" spans="1:8" x14ac:dyDescent="0.25">
      <c r="A48" s="4">
        <v>147</v>
      </c>
      <c r="B48" s="4" t="s">
        <v>47</v>
      </c>
      <c r="C48" t="str">
        <f>VLOOKUP(VALUE(A48),CURRENT,2,FALSE)</f>
        <v>More4</v>
      </c>
      <c r="D48" t="str">
        <f>IF(B48=C48,"","x")</f>
        <v/>
      </c>
      <c r="E48" t="str">
        <f>IFERROR(VLOOKUP(VLOOKUP(VALUE(A48),CURRENT,4,FALSE),NOV,2,FALSE),"")</f>
        <v>More4 HD</v>
      </c>
      <c r="F48" t="str">
        <f>IFERROR(VLOOKUP(VLOOKUP(VALUE(A48),CURRENT,5,FALSE),NOV,2,FALSE),"")</f>
        <v>More4 +1</v>
      </c>
      <c r="G48">
        <f t="shared" si="0"/>
        <v>1</v>
      </c>
      <c r="H48">
        <f t="shared" si="1"/>
        <v>1</v>
      </c>
    </row>
    <row r="49" spans="1:8" x14ac:dyDescent="0.25">
      <c r="A49" s="4">
        <v>148</v>
      </c>
      <c r="B49" s="4" t="s">
        <v>48</v>
      </c>
      <c r="C49" t="str">
        <f>VLOOKUP(VALUE(A49),CURRENT,2,FALSE)</f>
        <v>CBS Reality</v>
      </c>
      <c r="D49" t="str">
        <f>IF(B49=C49,"","x")</f>
        <v/>
      </c>
      <c r="E49" t="str">
        <f>IFERROR(VLOOKUP(VLOOKUP(VALUE(A49),CURRENT,4,FALSE),NOV,2,FALSE),"")</f>
        <v/>
      </c>
      <c r="F49" t="str">
        <f>IFERROR(VLOOKUP(VLOOKUP(VALUE(A49),CURRENT,5,FALSE),NOV,2,FALSE),"")</f>
        <v>CBS Reality +1</v>
      </c>
      <c r="G49" t="str">
        <f t="shared" si="0"/>
        <v/>
      </c>
      <c r="H49">
        <f t="shared" si="1"/>
        <v>1</v>
      </c>
    </row>
    <row r="50" spans="1:8" x14ac:dyDescent="0.25">
      <c r="A50" s="4">
        <v>149</v>
      </c>
      <c r="B50" s="4" t="s">
        <v>49</v>
      </c>
      <c r="C50" t="str">
        <f>VLOOKUP(VALUE(A50),CURRENT,2,FALSE)</f>
        <v>Horror Channel</v>
      </c>
      <c r="D50" t="str">
        <f>IF(B50=C50,"","x")</f>
        <v/>
      </c>
      <c r="E50" t="str">
        <f>IFERROR(VLOOKUP(VLOOKUP(VALUE(A50),CURRENT,4,FALSE),NOV,2,FALSE),"")</f>
        <v/>
      </c>
      <c r="F50" t="str">
        <f>IFERROR(VLOOKUP(VLOOKUP(VALUE(A50),CURRENT,5,FALSE),NOV,2,FALSE),"")</f>
        <v>Horror Channel +1</v>
      </c>
      <c r="G50" t="str">
        <f t="shared" si="0"/>
        <v/>
      </c>
      <c r="H50">
        <f t="shared" si="1"/>
        <v>1</v>
      </c>
    </row>
    <row r="51" spans="1:8" x14ac:dyDescent="0.25">
      <c r="A51" s="4">
        <v>150</v>
      </c>
      <c r="B51" s="4" t="s">
        <v>50</v>
      </c>
      <c r="C51" t="str">
        <f>VLOOKUP(VALUE(A51),CURRENT,2,FALSE)</f>
        <v>Channel 5 HD</v>
      </c>
      <c r="D51" t="str">
        <f>IF(B51=C51,"","x")</f>
        <v/>
      </c>
      <c r="E51" t="str">
        <f>IFERROR(VLOOKUP(VLOOKUP(VALUE(A51),CURRENT,4,FALSE),NOV,2,FALSE),"")</f>
        <v/>
      </c>
      <c r="F51" t="str">
        <f>IFERROR(VLOOKUP(VLOOKUP(VALUE(A51),CURRENT,5,FALSE),NOV,2,FALSE),"")</f>
        <v/>
      </c>
      <c r="G51" t="str">
        <f t="shared" si="0"/>
        <v/>
      </c>
      <c r="H51" t="str">
        <f t="shared" si="1"/>
        <v/>
      </c>
    </row>
    <row r="52" spans="1:8" x14ac:dyDescent="0.25">
      <c r="A52" s="4">
        <v>151</v>
      </c>
      <c r="B52" s="4" t="s">
        <v>51</v>
      </c>
      <c r="C52" t="str">
        <f>VLOOKUP(VALUE(A52),CURRENT,2,FALSE)</f>
        <v>5STAR</v>
      </c>
      <c r="D52" t="str">
        <f>IF(B52=C52,"","x")</f>
        <v/>
      </c>
      <c r="E52" t="str">
        <f>IFERROR(VLOOKUP(VLOOKUP(VALUE(A52),CURRENT,4,FALSE),NOV,2,FALSE),"")</f>
        <v/>
      </c>
      <c r="F52" t="str">
        <f>IFERROR(VLOOKUP(VLOOKUP(VALUE(A52),CURRENT,5,FALSE),NOV,2,FALSE),"")</f>
        <v>5STAR +1</v>
      </c>
      <c r="G52" t="str">
        <f t="shared" si="0"/>
        <v/>
      </c>
      <c r="H52">
        <f t="shared" si="1"/>
        <v>1</v>
      </c>
    </row>
    <row r="53" spans="1:8" x14ac:dyDescent="0.25">
      <c r="A53" s="4">
        <v>152</v>
      </c>
      <c r="B53" s="4" t="s">
        <v>423</v>
      </c>
      <c r="C53" t="str">
        <f>VLOOKUP(VALUE(A53),CURRENT,2,FALSE)</f>
        <v>5Select</v>
      </c>
      <c r="D53" t="str">
        <f>IF(B53=C53,"","x")</f>
        <v/>
      </c>
      <c r="E53" t="str">
        <f>IFERROR(VLOOKUP(VLOOKUP(VALUE(A53),CURRENT,4,FALSE),NOV,2,FALSE),"")</f>
        <v/>
      </c>
      <c r="F53" t="str">
        <f>IFERROR(VLOOKUP(VLOOKUP(VALUE(A53),CURRENT,5,FALSE),NOV,2,FALSE),"")</f>
        <v/>
      </c>
      <c r="G53" t="str">
        <f t="shared" si="0"/>
        <v/>
      </c>
      <c r="H53" t="str">
        <f t="shared" si="1"/>
        <v/>
      </c>
    </row>
    <row r="54" spans="1:8" x14ac:dyDescent="0.25">
      <c r="A54" s="4">
        <v>153</v>
      </c>
      <c r="B54" s="4" t="s">
        <v>424</v>
      </c>
      <c r="C54" t="str">
        <f>VLOOKUP(VALUE(A54),CURRENT,2,FALSE)</f>
        <v>5USA</v>
      </c>
      <c r="D54" t="str">
        <f>IF(B54=C54,"","x")</f>
        <v/>
      </c>
      <c r="E54" t="str">
        <f>IFERROR(VLOOKUP(VLOOKUP(VALUE(A54),CURRENT,4,FALSE),NOV,2,FALSE),"")</f>
        <v/>
      </c>
      <c r="F54" t="str">
        <f>IFERROR(VLOOKUP(VLOOKUP(VALUE(A54),CURRENT,5,FALSE),NOV,2,FALSE),"")</f>
        <v>5USA +1</v>
      </c>
      <c r="G54" t="str">
        <f t="shared" si="0"/>
        <v/>
      </c>
      <c r="H54">
        <f t="shared" si="1"/>
        <v>1</v>
      </c>
    </row>
    <row r="55" spans="1:8" x14ac:dyDescent="0.25">
      <c r="A55" s="4">
        <v>154</v>
      </c>
      <c r="B55" s="4" t="s">
        <v>299</v>
      </c>
      <c r="C55" t="str">
        <f>VLOOKUP(VALUE(A55),CURRENT,2,FALSE)</f>
        <v>5Spike</v>
      </c>
      <c r="D55" t="str">
        <f>IF(B55=C55,"","x")</f>
        <v/>
      </c>
      <c r="E55" t="str">
        <f>IFERROR(VLOOKUP(VLOOKUP(VALUE(A55),CURRENT,4,FALSE),NOV,2,FALSE),"")</f>
        <v/>
      </c>
      <c r="F55" t="str">
        <f>IFERROR(VLOOKUP(VLOOKUP(VALUE(A55),CURRENT,5,FALSE),NOV,2,FALSE),"")</f>
        <v/>
      </c>
      <c r="G55" t="str">
        <f t="shared" si="0"/>
        <v/>
      </c>
      <c r="H55" t="str">
        <f t="shared" si="1"/>
        <v/>
      </c>
    </row>
    <row r="56" spans="1:8" x14ac:dyDescent="0.25">
      <c r="A56" s="4">
        <v>155</v>
      </c>
      <c r="B56" s="4" t="s">
        <v>52</v>
      </c>
      <c r="C56" t="str">
        <f>VLOOKUP(VALUE(A56),CURRENT,2,FALSE)</f>
        <v>Channel 5 +1</v>
      </c>
      <c r="D56" t="str">
        <f>IF(B56=C56,"","x")</f>
        <v/>
      </c>
      <c r="E56" t="str">
        <f>IFERROR(VLOOKUP(VLOOKUP(VALUE(A56),CURRENT,4,FALSE),NOV,2,FALSE),"")</f>
        <v/>
      </c>
      <c r="F56" t="str">
        <f>IFERROR(VLOOKUP(VLOOKUP(VALUE(A56),CURRENT,5,FALSE),NOV,2,FALSE),"")</f>
        <v/>
      </c>
      <c r="G56" t="str">
        <f t="shared" si="0"/>
        <v/>
      </c>
      <c r="H56" t="str">
        <f t="shared" si="1"/>
        <v/>
      </c>
    </row>
    <row r="57" spans="1:8" x14ac:dyDescent="0.25">
      <c r="A57" s="4">
        <v>156</v>
      </c>
      <c r="B57" s="4" t="s">
        <v>53</v>
      </c>
      <c r="C57" t="str">
        <f>VLOOKUP(VALUE(A57),CURRENT,2,FALSE)</f>
        <v>E!</v>
      </c>
      <c r="D57" t="str">
        <f>IF(B57=C57,"","x")</f>
        <v/>
      </c>
      <c r="E57" t="str">
        <f>IFERROR(VLOOKUP(VLOOKUP(VALUE(A57),CURRENT,4,FALSE),NOV,2,FALSE),"")</f>
        <v/>
      </c>
      <c r="F57" t="str">
        <f>IFERROR(VLOOKUP(VLOOKUP(VALUE(A57),CURRENT,5,FALSE),NOV,2,FALSE),"")</f>
        <v/>
      </c>
      <c r="G57" t="str">
        <f t="shared" si="0"/>
        <v/>
      </c>
      <c r="H57" t="str">
        <f t="shared" si="1"/>
        <v/>
      </c>
    </row>
    <row r="58" spans="1:8" x14ac:dyDescent="0.25">
      <c r="A58" s="4">
        <v>157</v>
      </c>
      <c r="B58" s="4" t="s">
        <v>427</v>
      </c>
      <c r="C58" t="str">
        <f>VLOOKUP(VALUE(A58),CURRENT,2,FALSE)</f>
        <v>FOX</v>
      </c>
      <c r="D58" t="str">
        <f>IF(B58=C58,"","x")</f>
        <v/>
      </c>
      <c r="E58" t="str">
        <f>IFERROR(VLOOKUP(VLOOKUP(VALUE(A58),CURRENT,4,FALSE),NOV,2,FALSE),"")</f>
        <v>Fox HD</v>
      </c>
      <c r="F58" t="str">
        <f>IFERROR(VLOOKUP(VLOOKUP(VALUE(A58),CURRENT,5,FALSE),NOV,2,FALSE),"")</f>
        <v>Fox +1</v>
      </c>
      <c r="G58">
        <f t="shared" si="0"/>
        <v>1</v>
      </c>
      <c r="H58">
        <f t="shared" si="1"/>
        <v>1</v>
      </c>
    </row>
    <row r="59" spans="1:8" x14ac:dyDescent="0.25">
      <c r="A59" s="4">
        <v>158</v>
      </c>
      <c r="B59" s="4" t="s">
        <v>428</v>
      </c>
      <c r="C59" t="str">
        <f>VLOOKUP(VALUE(A59),CURRENT,2,FALSE)</f>
        <v>FOX +1</v>
      </c>
      <c r="D59" t="str">
        <f>IF(B59=C59,"","x")</f>
        <v/>
      </c>
      <c r="E59" t="str">
        <f>IFERROR(VLOOKUP(VLOOKUP(VALUE(A59),CURRENT,4,FALSE),NOV,2,FALSE),"")</f>
        <v/>
      </c>
      <c r="F59" t="str">
        <f>IFERROR(VLOOKUP(VLOOKUP(VALUE(A59),CURRENT,5,FALSE),NOV,2,FALSE),"")</f>
        <v/>
      </c>
      <c r="G59" t="str">
        <f t="shared" si="0"/>
        <v/>
      </c>
      <c r="H59" t="str">
        <f t="shared" si="1"/>
        <v/>
      </c>
    </row>
    <row r="60" spans="1:8" x14ac:dyDescent="0.25">
      <c r="A60" s="4">
        <v>159</v>
      </c>
      <c r="B60" s="4" t="s">
        <v>430</v>
      </c>
      <c r="C60" t="str">
        <f>VLOOKUP(VALUE(A60),CURRENT,2,FALSE)</f>
        <v>Regional Channels</v>
      </c>
      <c r="D60" t="str">
        <f>IF(B60=C60,"","x")</f>
        <v>x</v>
      </c>
      <c r="E60" t="str">
        <f>IFERROR(VLOOKUP(VLOOKUP(VALUE(A60),CURRENT,4,FALSE),NOV,2,FALSE),"")</f>
        <v/>
      </c>
      <c r="F60" t="str">
        <f>IFERROR(VLOOKUP(VLOOKUP(VALUE(A60),CURRENT,5,FALSE),NOV,2,FALSE),"")</f>
        <v/>
      </c>
      <c r="G60" t="str">
        <f t="shared" si="0"/>
        <v/>
      </c>
      <c r="H60" t="str">
        <f t="shared" si="1"/>
        <v/>
      </c>
    </row>
    <row r="61" spans="1:8" x14ac:dyDescent="0.25">
      <c r="A61" s="4">
        <v>159</v>
      </c>
      <c r="B61" s="4" t="s">
        <v>479</v>
      </c>
      <c r="C61" t="str">
        <f>VLOOKUP(VALUE(A61),CURRENT,2,FALSE)</f>
        <v>Regional Channels</v>
      </c>
      <c r="D61" t="str">
        <f>IF(B61=C61,"","x")</f>
        <v>x</v>
      </c>
      <c r="E61" t="str">
        <f>IFERROR(VLOOKUP(VLOOKUP(VALUE(A61),CURRENT,4,FALSE),NOV,2,FALSE),"")</f>
        <v/>
      </c>
      <c r="F61" t="str">
        <f>IFERROR(VLOOKUP(VLOOKUP(VALUE(A61),CURRENT,5,FALSE),NOV,2,FALSE),"")</f>
        <v/>
      </c>
      <c r="G61" t="str">
        <f t="shared" si="0"/>
        <v/>
      </c>
      <c r="H61" t="str">
        <f t="shared" si="1"/>
        <v/>
      </c>
    </row>
    <row r="62" spans="1:8" x14ac:dyDescent="0.25">
      <c r="A62" s="4">
        <v>159</v>
      </c>
      <c r="B62" s="4" t="s">
        <v>483</v>
      </c>
      <c r="C62" t="str">
        <f>VLOOKUP(VALUE(A62),CURRENT,2,FALSE)</f>
        <v>Regional Channels</v>
      </c>
      <c r="D62" t="str">
        <f>IF(B62=C62,"","x")</f>
        <v>x</v>
      </c>
      <c r="E62" t="str">
        <f>IFERROR(VLOOKUP(VLOOKUP(VALUE(A62),CURRENT,4,FALSE),NOV,2,FALSE),"")</f>
        <v/>
      </c>
      <c r="F62" t="str">
        <f>IFERROR(VLOOKUP(VLOOKUP(VALUE(A62),CURRENT,5,FALSE),NOV,2,FALSE),"")</f>
        <v/>
      </c>
      <c r="G62" t="str">
        <f t="shared" si="0"/>
        <v/>
      </c>
      <c r="H62" t="str">
        <f t="shared" si="1"/>
        <v/>
      </c>
    </row>
    <row r="63" spans="1:8" x14ac:dyDescent="0.25">
      <c r="A63" s="4">
        <v>159</v>
      </c>
      <c r="B63" s="4" t="s">
        <v>485</v>
      </c>
      <c r="C63" t="str">
        <f>VLOOKUP(VALUE(A63),CURRENT,2,FALSE)</f>
        <v>Regional Channels</v>
      </c>
      <c r="D63" t="str">
        <f>IF(B63=C63,"","x")</f>
        <v>x</v>
      </c>
      <c r="E63" t="str">
        <f>IFERROR(VLOOKUP(VLOOKUP(VALUE(A63),CURRENT,4,FALSE),NOV,2,FALSE),"")</f>
        <v/>
      </c>
      <c r="F63" t="str">
        <f>IFERROR(VLOOKUP(VLOOKUP(VALUE(A63),CURRENT,5,FALSE),NOV,2,FALSE),"")</f>
        <v/>
      </c>
      <c r="G63" t="str">
        <f t="shared" si="0"/>
        <v/>
      </c>
      <c r="H63" t="str">
        <f t="shared" si="1"/>
        <v/>
      </c>
    </row>
    <row r="64" spans="1:8" x14ac:dyDescent="0.25">
      <c r="A64" s="4">
        <v>159</v>
      </c>
      <c r="B64" s="4" t="s">
        <v>489</v>
      </c>
      <c r="C64" t="str">
        <f>VLOOKUP(VALUE(A64),CURRENT,2,FALSE)</f>
        <v>Regional Channels</v>
      </c>
      <c r="D64" t="str">
        <f>IF(B64=C64,"","x")</f>
        <v>x</v>
      </c>
      <c r="E64" t="str">
        <f>IFERROR(VLOOKUP(VLOOKUP(VALUE(A64),CURRENT,4,FALSE),NOV,2,FALSE),"")</f>
        <v/>
      </c>
      <c r="F64" t="str">
        <f>IFERROR(VLOOKUP(VLOOKUP(VALUE(A64),CURRENT,5,FALSE),NOV,2,FALSE),"")</f>
        <v/>
      </c>
      <c r="G64" t="str">
        <f t="shared" si="0"/>
        <v/>
      </c>
      <c r="H64" t="str">
        <f t="shared" si="1"/>
        <v/>
      </c>
    </row>
    <row r="65" spans="1:8" x14ac:dyDescent="0.25">
      <c r="A65" s="4">
        <v>159</v>
      </c>
      <c r="B65" s="4" t="s">
        <v>492</v>
      </c>
      <c r="C65" t="str">
        <f>VLOOKUP(VALUE(A65),CURRENT,2,FALSE)</f>
        <v>Regional Channels</v>
      </c>
      <c r="D65" t="str">
        <f>IF(B65=C65,"","x")</f>
        <v>x</v>
      </c>
      <c r="E65" t="str">
        <f>IFERROR(VLOOKUP(VLOOKUP(VALUE(A65),CURRENT,4,FALSE),NOV,2,FALSE),"")</f>
        <v/>
      </c>
      <c r="F65" t="str">
        <f>IFERROR(VLOOKUP(VLOOKUP(VALUE(A65),CURRENT,5,FALSE),NOV,2,FALSE),"")</f>
        <v/>
      </c>
      <c r="G65" t="str">
        <f t="shared" si="0"/>
        <v/>
      </c>
      <c r="H65" t="str">
        <f t="shared" si="1"/>
        <v/>
      </c>
    </row>
    <row r="66" spans="1:8" x14ac:dyDescent="0.25">
      <c r="A66" s="4">
        <v>159</v>
      </c>
      <c r="B66" s="4" t="s">
        <v>495</v>
      </c>
      <c r="C66" t="str">
        <f>VLOOKUP(VALUE(A66),CURRENT,2,FALSE)</f>
        <v>Regional Channels</v>
      </c>
      <c r="D66" t="str">
        <f>IF(B66=C66,"","x")</f>
        <v>x</v>
      </c>
      <c r="E66" t="str">
        <f>IFERROR(VLOOKUP(VLOOKUP(VALUE(A66),CURRENT,4,FALSE),NOV,2,FALSE),"")</f>
        <v/>
      </c>
      <c r="F66" t="str">
        <f>IFERROR(VLOOKUP(VLOOKUP(VALUE(A66),CURRENT,5,FALSE),NOV,2,FALSE),"")</f>
        <v/>
      </c>
      <c r="G66" t="str">
        <f t="shared" si="0"/>
        <v/>
      </c>
      <c r="H66" t="str">
        <f t="shared" si="1"/>
        <v/>
      </c>
    </row>
    <row r="67" spans="1:8" x14ac:dyDescent="0.25">
      <c r="A67" s="4">
        <v>159</v>
      </c>
      <c r="B67" s="4" t="s">
        <v>498</v>
      </c>
      <c r="C67" t="str">
        <f>VLOOKUP(VALUE(A67),CURRENT,2,FALSE)</f>
        <v>Regional Channels</v>
      </c>
      <c r="D67" t="str">
        <f>IF(B67=C67,"","x")</f>
        <v>x</v>
      </c>
      <c r="E67" t="str">
        <f>IFERROR(VLOOKUP(VLOOKUP(VALUE(A67),CURRENT,4,FALSE),NOV,2,FALSE),"")</f>
        <v/>
      </c>
      <c r="F67" t="str">
        <f>IFERROR(VLOOKUP(VLOOKUP(VALUE(A67),CURRENT,5,FALSE),NOV,2,FALSE),"")</f>
        <v/>
      </c>
      <c r="G67" t="str">
        <f t="shared" ref="G67:G130" si="2">IF(E67&lt;&gt;"",FIND(IFERROR(LEFT(B67,FIND(" ",B67)-1),B67),E67),"")</f>
        <v/>
      </c>
      <c r="H67" t="str">
        <f t="shared" ref="H67:H130" si="3">IF(F67&lt;&gt;"",FIND(IFERROR(LEFT(B67,FIND(" ",B67)-1),B67),F67),"")</f>
        <v/>
      </c>
    </row>
    <row r="68" spans="1:8" x14ac:dyDescent="0.25">
      <c r="A68" s="4">
        <v>159</v>
      </c>
      <c r="B68" s="4" t="s">
        <v>501</v>
      </c>
      <c r="C68" t="str">
        <f>VLOOKUP(VALUE(A68),CURRENT,2,FALSE)</f>
        <v>Regional Channels</v>
      </c>
      <c r="D68" t="str">
        <f>IF(B68=C68,"","x")</f>
        <v>x</v>
      </c>
      <c r="E68" t="str">
        <f>IFERROR(VLOOKUP(VLOOKUP(VALUE(A68),CURRENT,4,FALSE),NOV,2,FALSE),"")</f>
        <v/>
      </c>
      <c r="F68" t="str">
        <f>IFERROR(VLOOKUP(VLOOKUP(VALUE(A68),CURRENT,5,FALSE),NOV,2,FALSE),"")</f>
        <v/>
      </c>
      <c r="G68" t="str">
        <f t="shared" si="2"/>
        <v/>
      </c>
      <c r="H68" t="str">
        <f t="shared" si="3"/>
        <v/>
      </c>
    </row>
    <row r="69" spans="1:8" x14ac:dyDescent="0.25">
      <c r="A69" s="4">
        <v>159</v>
      </c>
      <c r="B69" s="4" t="s">
        <v>503</v>
      </c>
      <c r="C69" t="str">
        <f>VLOOKUP(VALUE(A69),CURRENT,2,FALSE)</f>
        <v>Regional Channels</v>
      </c>
      <c r="D69" t="str">
        <f>IF(B69=C69,"","x")</f>
        <v>x</v>
      </c>
      <c r="E69" t="str">
        <f>IFERROR(VLOOKUP(VLOOKUP(VALUE(A69),CURRENT,4,FALSE),NOV,2,FALSE),"")</f>
        <v/>
      </c>
      <c r="F69" t="str">
        <f>IFERROR(VLOOKUP(VLOOKUP(VALUE(A69),CURRENT,5,FALSE),NOV,2,FALSE),"")</f>
        <v/>
      </c>
      <c r="G69" t="str">
        <f t="shared" si="2"/>
        <v/>
      </c>
      <c r="H69" t="str">
        <f t="shared" si="3"/>
        <v/>
      </c>
    </row>
    <row r="70" spans="1:8" x14ac:dyDescent="0.25">
      <c r="A70" s="4">
        <v>159</v>
      </c>
      <c r="B70" s="4" t="s">
        <v>505</v>
      </c>
      <c r="C70" t="str">
        <f>VLOOKUP(VALUE(A70),CURRENT,2,FALSE)</f>
        <v>Regional Channels</v>
      </c>
      <c r="D70" t="str">
        <f>IF(B70=C70,"","x")</f>
        <v>x</v>
      </c>
      <c r="E70" t="str">
        <f>IFERROR(VLOOKUP(VLOOKUP(VALUE(A70),CURRENT,4,FALSE),NOV,2,FALSE),"")</f>
        <v/>
      </c>
      <c r="F70" t="str">
        <f>IFERROR(VLOOKUP(VLOOKUP(VALUE(A70),CURRENT,5,FALSE),NOV,2,FALSE),"")</f>
        <v/>
      </c>
      <c r="G70" t="str">
        <f t="shared" si="2"/>
        <v/>
      </c>
      <c r="H70" t="str">
        <f t="shared" si="3"/>
        <v/>
      </c>
    </row>
    <row r="71" spans="1:8" x14ac:dyDescent="0.25">
      <c r="A71" s="4">
        <v>159</v>
      </c>
      <c r="B71" s="4" t="s">
        <v>507</v>
      </c>
      <c r="C71" t="str">
        <f>VLOOKUP(VALUE(A71),CURRENT,2,FALSE)</f>
        <v>Regional Channels</v>
      </c>
      <c r="D71" t="str">
        <f>IF(B71=C71,"","x")</f>
        <v>x</v>
      </c>
      <c r="E71" t="str">
        <f>IFERROR(VLOOKUP(VLOOKUP(VALUE(A71),CURRENT,4,FALSE),NOV,2,FALSE),"")</f>
        <v/>
      </c>
      <c r="F71" t="str">
        <f>IFERROR(VLOOKUP(VLOOKUP(VALUE(A71),CURRENT,5,FALSE),NOV,2,FALSE),"")</f>
        <v/>
      </c>
      <c r="G71" t="str">
        <f t="shared" si="2"/>
        <v/>
      </c>
      <c r="H71" t="str">
        <f t="shared" si="3"/>
        <v/>
      </c>
    </row>
    <row r="72" spans="1:8" x14ac:dyDescent="0.25">
      <c r="A72" s="4">
        <v>159</v>
      </c>
      <c r="B72" s="4" t="s">
        <v>509</v>
      </c>
      <c r="C72" t="str">
        <f>VLOOKUP(VALUE(A72),CURRENT,2,FALSE)</f>
        <v>Regional Channels</v>
      </c>
      <c r="D72" t="str">
        <f>IF(B72=C72,"","x")</f>
        <v>x</v>
      </c>
      <c r="E72" t="str">
        <f>IFERROR(VLOOKUP(VLOOKUP(VALUE(A72),CURRENT,4,FALSE),NOV,2,FALSE),"")</f>
        <v/>
      </c>
      <c r="F72" t="str">
        <f>IFERROR(VLOOKUP(VLOOKUP(VALUE(A72),CURRENT,5,FALSE),NOV,2,FALSE),"")</f>
        <v/>
      </c>
      <c r="G72" t="str">
        <f t="shared" si="2"/>
        <v/>
      </c>
      <c r="H72" t="str">
        <f t="shared" si="3"/>
        <v/>
      </c>
    </row>
    <row r="73" spans="1:8" x14ac:dyDescent="0.25">
      <c r="A73" s="4">
        <v>159</v>
      </c>
      <c r="B73" s="4" t="s">
        <v>511</v>
      </c>
      <c r="C73" t="str">
        <f>VLOOKUP(VALUE(A73),CURRENT,2,FALSE)</f>
        <v>Regional Channels</v>
      </c>
      <c r="D73" t="str">
        <f>IF(B73=C73,"","x")</f>
        <v>x</v>
      </c>
      <c r="E73" t="str">
        <f>IFERROR(VLOOKUP(VLOOKUP(VALUE(A73),CURRENT,4,FALSE),NOV,2,FALSE),"")</f>
        <v/>
      </c>
      <c r="F73" t="str">
        <f>IFERROR(VLOOKUP(VLOOKUP(VALUE(A73),CURRENT,5,FALSE),NOV,2,FALSE),"")</f>
        <v/>
      </c>
      <c r="G73" t="str">
        <f t="shared" si="2"/>
        <v/>
      </c>
      <c r="H73" t="str">
        <f t="shared" si="3"/>
        <v/>
      </c>
    </row>
    <row r="74" spans="1:8" x14ac:dyDescent="0.25">
      <c r="A74" s="4">
        <v>159</v>
      </c>
      <c r="B74" s="4" t="s">
        <v>514</v>
      </c>
      <c r="C74" t="str">
        <f>VLOOKUP(VALUE(A74),CURRENT,2,FALSE)</f>
        <v>Regional Channels</v>
      </c>
      <c r="D74" t="str">
        <f>IF(B74=C74,"","x")</f>
        <v>x</v>
      </c>
      <c r="E74" t="str">
        <f>IFERROR(VLOOKUP(VLOOKUP(VALUE(A74),CURRENT,4,FALSE),NOV,2,FALSE),"")</f>
        <v/>
      </c>
      <c r="F74" t="str">
        <f>IFERROR(VLOOKUP(VLOOKUP(VALUE(A74),CURRENT,5,FALSE),NOV,2,FALSE),"")</f>
        <v/>
      </c>
      <c r="G74" t="str">
        <f t="shared" si="2"/>
        <v/>
      </c>
      <c r="H74" t="str">
        <f t="shared" si="3"/>
        <v/>
      </c>
    </row>
    <row r="75" spans="1:8" x14ac:dyDescent="0.25">
      <c r="A75" s="4">
        <v>159</v>
      </c>
      <c r="B75" s="4" t="s">
        <v>516</v>
      </c>
      <c r="C75" t="str">
        <f>VLOOKUP(VALUE(A75),CURRENT,2,FALSE)</f>
        <v>Regional Channels</v>
      </c>
      <c r="D75" t="str">
        <f>IF(B75=C75,"","x")</f>
        <v>x</v>
      </c>
      <c r="E75" t="str">
        <f>IFERROR(VLOOKUP(VLOOKUP(VALUE(A75),CURRENT,4,FALSE),NOV,2,FALSE),"")</f>
        <v/>
      </c>
      <c r="F75" t="str">
        <f>IFERROR(VLOOKUP(VLOOKUP(VALUE(A75),CURRENT,5,FALSE),NOV,2,FALSE),"")</f>
        <v/>
      </c>
      <c r="G75" t="str">
        <f t="shared" si="2"/>
        <v/>
      </c>
      <c r="H75" t="str">
        <f t="shared" si="3"/>
        <v/>
      </c>
    </row>
    <row r="76" spans="1:8" x14ac:dyDescent="0.25">
      <c r="A76" s="4">
        <v>159</v>
      </c>
      <c r="B76" s="4" t="s">
        <v>518</v>
      </c>
      <c r="C76" t="str">
        <f>VLOOKUP(VALUE(A76),CURRENT,2,FALSE)</f>
        <v>Regional Channels</v>
      </c>
      <c r="D76" t="str">
        <f>IF(B76=C76,"","x")</f>
        <v>x</v>
      </c>
      <c r="E76" t="str">
        <f>IFERROR(VLOOKUP(VLOOKUP(VALUE(A76),CURRENT,4,FALSE),NOV,2,FALSE),"")</f>
        <v/>
      </c>
      <c r="F76" t="str">
        <f>IFERROR(VLOOKUP(VLOOKUP(VALUE(A76),CURRENT,5,FALSE),NOV,2,FALSE),"")</f>
        <v/>
      </c>
      <c r="G76" t="str">
        <f t="shared" si="2"/>
        <v/>
      </c>
      <c r="H76" t="str">
        <f t="shared" si="3"/>
        <v/>
      </c>
    </row>
    <row r="77" spans="1:8" x14ac:dyDescent="0.25">
      <c r="A77" s="4">
        <v>159</v>
      </c>
      <c r="B77" s="4" t="s">
        <v>521</v>
      </c>
      <c r="C77" t="str">
        <f>VLOOKUP(VALUE(A77),CURRENT,2,FALSE)</f>
        <v>Regional Channels</v>
      </c>
      <c r="D77" t="str">
        <f>IF(B77=C77,"","x")</f>
        <v>x</v>
      </c>
      <c r="E77" t="str">
        <f>IFERROR(VLOOKUP(VLOOKUP(VALUE(A77),CURRENT,4,FALSE),NOV,2,FALSE),"")</f>
        <v/>
      </c>
      <c r="F77" t="str">
        <f>IFERROR(VLOOKUP(VLOOKUP(VALUE(A77),CURRENT,5,FALSE),NOV,2,FALSE),"")</f>
        <v/>
      </c>
      <c r="G77" t="str">
        <f t="shared" si="2"/>
        <v/>
      </c>
      <c r="H77" t="str">
        <f t="shared" si="3"/>
        <v/>
      </c>
    </row>
    <row r="78" spans="1:8" x14ac:dyDescent="0.25">
      <c r="A78" s="4">
        <v>160</v>
      </c>
      <c r="B78" s="4" t="s">
        <v>56</v>
      </c>
      <c r="C78" t="str">
        <f>VLOOKUP(VALUE(A78),CURRENT,2,FALSE)</f>
        <v>Real Lives</v>
      </c>
      <c r="D78" t="str">
        <f>IF(B78=C78,"","x")</f>
        <v/>
      </c>
      <c r="E78" t="str">
        <f>IFERROR(VLOOKUP(VLOOKUP(VALUE(A78),CURRENT,4,FALSE),NOV,2,FALSE),"")</f>
        <v/>
      </c>
      <c r="F78" t="str">
        <f>IFERROR(VLOOKUP(VLOOKUP(VALUE(A78),CURRENT,5,FALSE),NOV,2,FALSE),"")</f>
        <v>Real Lives +1</v>
      </c>
      <c r="G78" t="str">
        <f t="shared" si="2"/>
        <v/>
      </c>
      <c r="H78">
        <f t="shared" si="3"/>
        <v>1</v>
      </c>
    </row>
    <row r="79" spans="1:8" x14ac:dyDescent="0.25">
      <c r="A79" s="4">
        <v>161</v>
      </c>
      <c r="B79" s="4" t="s">
        <v>57</v>
      </c>
      <c r="C79" t="str">
        <f>VLOOKUP(VALUE(A79),CURRENT,2,FALSE)</f>
        <v>BBC Alba</v>
      </c>
      <c r="D79" t="str">
        <f>IF(B79=C79,"","x")</f>
        <v/>
      </c>
      <c r="E79" t="str">
        <f>IFERROR(VLOOKUP(VLOOKUP(VALUE(A79),CURRENT,4,FALSE),NOV,2,FALSE),"")</f>
        <v/>
      </c>
      <c r="F79" t="str">
        <f>IFERROR(VLOOKUP(VLOOKUP(VALUE(A79),CURRENT,5,FALSE),NOV,2,FALSE),"")</f>
        <v/>
      </c>
      <c r="G79" t="str">
        <f t="shared" si="2"/>
        <v/>
      </c>
      <c r="H79" t="str">
        <f t="shared" si="3"/>
        <v/>
      </c>
    </row>
    <row r="80" spans="1:8" x14ac:dyDescent="0.25">
      <c r="A80" s="4">
        <v>162</v>
      </c>
      <c r="B80" s="4" t="s">
        <v>705</v>
      </c>
      <c r="C80" t="str">
        <f>VLOOKUP(VALUE(A80),CURRENT,2,FALSE)</f>
        <v>BBC Two HD Scotland</v>
      </c>
      <c r="D80" t="str">
        <f>IF(B80=C80,"","x")</f>
        <v/>
      </c>
      <c r="E80" t="str">
        <f>IFERROR(VLOOKUP(VLOOKUP(VALUE(A80),CURRENT,4,FALSE),NOV,2,FALSE),"")</f>
        <v/>
      </c>
      <c r="F80" t="str">
        <f>IFERROR(VLOOKUP(VLOOKUP(VALUE(A80),CURRENT,5,FALSE),NOV,2,FALSE),"")</f>
        <v/>
      </c>
      <c r="G80" t="str">
        <f t="shared" si="2"/>
        <v/>
      </c>
      <c r="H80" t="str">
        <f t="shared" si="3"/>
        <v/>
      </c>
    </row>
    <row r="81" spans="1:8" x14ac:dyDescent="0.25">
      <c r="A81" s="4">
        <v>163</v>
      </c>
      <c r="B81" s="4" t="s">
        <v>59</v>
      </c>
      <c r="C81" t="str">
        <f>VLOOKUP(VALUE(A81),CURRENT,2,FALSE)</f>
        <v>BBC Four HD</v>
      </c>
      <c r="D81" t="str">
        <f>IF(B81=C81,"","x")</f>
        <v/>
      </c>
      <c r="E81" t="str">
        <f>IFERROR(VLOOKUP(VLOOKUP(VALUE(A81),CURRENT,4,FALSE),NOV,2,FALSE),"")</f>
        <v/>
      </c>
      <c r="F81" t="str">
        <f>IFERROR(VLOOKUP(VLOOKUP(VALUE(A81),CURRENT,5,FALSE),NOV,2,FALSE),"")</f>
        <v/>
      </c>
      <c r="G81" t="str">
        <f t="shared" si="2"/>
        <v/>
      </c>
      <c r="H81" t="str">
        <f t="shared" si="3"/>
        <v/>
      </c>
    </row>
    <row r="82" spans="1:8" x14ac:dyDescent="0.25">
      <c r="A82" s="4">
        <v>164</v>
      </c>
      <c r="B82" s="4" t="s">
        <v>301</v>
      </c>
      <c r="C82" t="str">
        <f>VLOOKUP(VALUE(A82),CURRENT,2,FALSE)</f>
        <v>Universal TV HD</v>
      </c>
      <c r="D82" t="str">
        <f>IF(B82=C82,"","x")</f>
        <v/>
      </c>
      <c r="E82" t="str">
        <f>IFERROR(VLOOKUP(VLOOKUP(VALUE(A82),CURRENT,4,FALSE),NOV,2,FALSE),"")</f>
        <v/>
      </c>
      <c r="F82" t="str">
        <f>IFERROR(VLOOKUP(VLOOKUP(VALUE(A82),CURRENT,5,FALSE),NOV,2,FALSE),"")</f>
        <v/>
      </c>
      <c r="G82" t="str">
        <f t="shared" si="2"/>
        <v/>
      </c>
      <c r="H82" t="str">
        <f t="shared" si="3"/>
        <v/>
      </c>
    </row>
    <row r="83" spans="1:8" x14ac:dyDescent="0.25">
      <c r="A83" s="4">
        <v>165</v>
      </c>
      <c r="B83" s="4" t="s">
        <v>60</v>
      </c>
      <c r="C83" t="str">
        <f>VLOOKUP(VALUE(A83),CURRENT,2,FALSE)</f>
        <v>Syfy HD</v>
      </c>
      <c r="D83" t="str">
        <f>IF(B83=C83,"","x")</f>
        <v/>
      </c>
      <c r="E83" t="str">
        <f>IFERROR(VLOOKUP(VLOOKUP(VALUE(A83),CURRENT,4,FALSE),NOV,2,FALSE),"")</f>
        <v/>
      </c>
      <c r="F83" t="str">
        <f>IFERROR(VLOOKUP(VLOOKUP(VALUE(A83),CURRENT,5,FALSE),NOV,2,FALSE),"")</f>
        <v/>
      </c>
      <c r="G83" t="str">
        <f t="shared" si="2"/>
        <v/>
      </c>
      <c r="H83" t="str">
        <f t="shared" si="3"/>
        <v/>
      </c>
    </row>
    <row r="84" spans="1:8" x14ac:dyDescent="0.25">
      <c r="A84" s="4">
        <v>166</v>
      </c>
      <c r="B84" s="4" t="s">
        <v>61</v>
      </c>
      <c r="C84" t="str">
        <f>VLOOKUP(VALUE(A84),CURRENT,2,FALSE)</f>
        <v>S4C</v>
      </c>
      <c r="D84" t="str">
        <f>IF(B84=C84,"","x")</f>
        <v/>
      </c>
      <c r="E84" t="str">
        <f>IFERROR(VLOOKUP(VLOOKUP(VALUE(A84),CURRENT,4,FALSE),NOV,2,FALSE),"")</f>
        <v/>
      </c>
      <c r="F84" t="str">
        <f>IFERROR(VLOOKUP(VLOOKUP(VALUE(A84),CURRENT,5,FALSE),NOV,2,FALSE),"")</f>
        <v/>
      </c>
      <c r="G84" t="str">
        <f t="shared" si="2"/>
        <v/>
      </c>
      <c r="H84" t="str">
        <f t="shared" si="3"/>
        <v/>
      </c>
    </row>
    <row r="85" spans="1:8" x14ac:dyDescent="0.25">
      <c r="A85" s="4">
        <v>167</v>
      </c>
      <c r="B85" s="4" t="s">
        <v>62</v>
      </c>
      <c r="C85" t="str">
        <f>VLOOKUP(VALUE(A85),CURRENT,2,FALSE)</f>
        <v>TLC</v>
      </c>
      <c r="D85" t="str">
        <f>IF(B85=C85,"","x")</f>
        <v/>
      </c>
      <c r="E85" t="str">
        <f>IFERROR(VLOOKUP(VLOOKUP(VALUE(A85),CURRENT,4,FALSE),NOV,2,FALSE),"")</f>
        <v>TLC HD</v>
      </c>
      <c r="F85" t="str">
        <f>IFERROR(VLOOKUP(VLOOKUP(VALUE(A85),CURRENT,5,FALSE),NOV,2,FALSE),"")</f>
        <v>TLC +1</v>
      </c>
      <c r="G85">
        <f t="shared" si="2"/>
        <v>1</v>
      </c>
      <c r="H85">
        <f t="shared" si="3"/>
        <v>1</v>
      </c>
    </row>
    <row r="86" spans="1:8" x14ac:dyDescent="0.25">
      <c r="A86" s="4">
        <v>168</v>
      </c>
      <c r="B86" s="4" t="s">
        <v>63</v>
      </c>
      <c r="C86" t="str">
        <f>VLOOKUP(VALUE(A86),CURRENT,2,FALSE)</f>
        <v>TLC HD</v>
      </c>
      <c r="D86" t="str">
        <f>IF(B86=C86,"","x")</f>
        <v/>
      </c>
      <c r="E86" t="str">
        <f>IFERROR(VLOOKUP(VLOOKUP(VALUE(A86),CURRENT,4,FALSE),NOV,2,FALSE),"")</f>
        <v/>
      </c>
      <c r="F86" t="str">
        <f>IFERROR(VLOOKUP(VLOOKUP(VALUE(A86),CURRENT,5,FALSE),NOV,2,FALSE),"")</f>
        <v/>
      </c>
      <c r="G86" t="str">
        <f t="shared" si="2"/>
        <v/>
      </c>
      <c r="H86" t="str">
        <f t="shared" si="3"/>
        <v/>
      </c>
    </row>
    <row r="87" spans="1:8" x14ac:dyDescent="0.25">
      <c r="A87" s="4">
        <v>169</v>
      </c>
      <c r="B87" s="4" t="s">
        <v>64</v>
      </c>
      <c r="C87" t="str">
        <f>VLOOKUP(VALUE(A87),CURRENT,2,FALSE)</f>
        <v>TLC +1</v>
      </c>
      <c r="D87" t="str">
        <f>IF(B87=C87,"","x")</f>
        <v/>
      </c>
      <c r="E87" t="str">
        <f>IFERROR(VLOOKUP(VLOOKUP(VALUE(A87),CURRENT,4,FALSE),NOV,2,FALSE),"")</f>
        <v/>
      </c>
      <c r="F87" t="str">
        <f>IFERROR(VLOOKUP(VLOOKUP(VALUE(A87),CURRENT,5,FALSE),NOV,2,FALSE),"")</f>
        <v/>
      </c>
      <c r="G87" t="str">
        <f t="shared" si="2"/>
        <v/>
      </c>
      <c r="H87" t="str">
        <f t="shared" si="3"/>
        <v/>
      </c>
    </row>
    <row r="88" spans="1:8" x14ac:dyDescent="0.25">
      <c r="A88" s="4">
        <v>170</v>
      </c>
      <c r="B88" s="4" t="s">
        <v>65</v>
      </c>
      <c r="C88" t="str">
        <f>VLOOKUP(VALUE(A88),CURRENT,2,FALSE)</f>
        <v>Investigation Discovery</v>
      </c>
      <c r="D88" t="str">
        <f>IF(B88=C88,"","x")</f>
        <v/>
      </c>
      <c r="E88" t="str">
        <f>IFERROR(VLOOKUP(VLOOKUP(VALUE(A88),CURRENT,4,FALSE),NOV,2,FALSE),"")</f>
        <v/>
      </c>
      <c r="F88" t="str">
        <f>IFERROR(VLOOKUP(VLOOKUP(VALUE(A88),CURRENT,5,FALSE),NOV,2,FALSE),"")</f>
        <v>Investigation Discovery +1</v>
      </c>
      <c r="G88" t="str">
        <f t="shared" si="2"/>
        <v/>
      </c>
      <c r="H88">
        <f t="shared" si="3"/>
        <v>1</v>
      </c>
    </row>
    <row r="89" spans="1:8" x14ac:dyDescent="0.25">
      <c r="A89" s="4">
        <v>171</v>
      </c>
      <c r="B89" s="4" t="s">
        <v>66</v>
      </c>
      <c r="C89" t="str">
        <f>VLOOKUP(VALUE(A89),CURRENT,2,FALSE)</f>
        <v>Investigation Discovery +1</v>
      </c>
      <c r="D89" t="str">
        <f>IF(B89=C89,"","x")</f>
        <v/>
      </c>
      <c r="E89" t="str">
        <f>IFERROR(VLOOKUP(VLOOKUP(VALUE(A89),CURRENT,4,FALSE),NOV,2,FALSE),"")</f>
        <v/>
      </c>
      <c r="F89" t="str">
        <f>IFERROR(VLOOKUP(VLOOKUP(VALUE(A89),CURRENT,5,FALSE),NOV,2,FALSE),"")</f>
        <v/>
      </c>
      <c r="G89" t="str">
        <f t="shared" si="2"/>
        <v/>
      </c>
      <c r="H89" t="str">
        <f t="shared" si="3"/>
        <v/>
      </c>
    </row>
    <row r="90" spans="1:8" x14ac:dyDescent="0.25">
      <c r="A90" s="4">
        <v>172</v>
      </c>
      <c r="B90" s="4" t="s">
        <v>67</v>
      </c>
      <c r="C90" t="str">
        <f>VLOOKUP(VALUE(A90),CURRENT,2,FALSE)</f>
        <v>Quest</v>
      </c>
      <c r="D90" t="str">
        <f>IF(B90=C90,"","x")</f>
        <v/>
      </c>
      <c r="E90" t="str">
        <f>IFERROR(VLOOKUP(VLOOKUP(VALUE(A90),CURRENT,4,FALSE),NOV,2,FALSE),"")</f>
        <v>Quest HD</v>
      </c>
      <c r="F90" t="str">
        <f>IFERROR(VLOOKUP(VLOOKUP(VALUE(A90),CURRENT,5,FALSE),NOV,2,FALSE),"")</f>
        <v>Quest +1</v>
      </c>
      <c r="G90">
        <f t="shared" si="2"/>
        <v>1</v>
      </c>
      <c r="H90">
        <f t="shared" si="3"/>
        <v>1</v>
      </c>
    </row>
    <row r="91" spans="1:8" x14ac:dyDescent="0.25">
      <c r="A91" s="4">
        <v>173</v>
      </c>
      <c r="B91" s="4" t="s">
        <v>68</v>
      </c>
      <c r="C91" t="str">
        <f>VLOOKUP(VALUE(A91),CURRENT,2,FALSE)</f>
        <v>Quest +1</v>
      </c>
      <c r="D91" t="str">
        <f>IF(B91=C91,"","x")</f>
        <v/>
      </c>
      <c r="E91" t="str">
        <f>IFERROR(VLOOKUP(VLOOKUP(VALUE(A91),CURRENT,4,FALSE),NOV,2,FALSE),"")</f>
        <v/>
      </c>
      <c r="F91" t="str">
        <f>IFERROR(VLOOKUP(VLOOKUP(VALUE(A91),CURRENT,5,FALSE),NOV,2,FALSE),"")</f>
        <v/>
      </c>
      <c r="G91" t="str">
        <f t="shared" si="2"/>
        <v/>
      </c>
      <c r="H91" t="str">
        <f t="shared" si="3"/>
        <v/>
      </c>
    </row>
    <row r="92" spans="1:8" x14ac:dyDescent="0.25">
      <c r="A92" s="4">
        <v>174</v>
      </c>
      <c r="B92" s="4" t="s">
        <v>69</v>
      </c>
      <c r="C92" t="str">
        <f>VLOOKUP(VALUE(A92),CURRENT,2,FALSE)</f>
        <v>ITV3 +1</v>
      </c>
      <c r="D92" t="str">
        <f>IF(B92=C92,"","x")</f>
        <v/>
      </c>
      <c r="E92" t="str">
        <f>IFERROR(VLOOKUP(VLOOKUP(VALUE(A92),CURRENT,4,FALSE),NOV,2,FALSE),"")</f>
        <v/>
      </c>
      <c r="F92" t="str">
        <f>IFERROR(VLOOKUP(VLOOKUP(VALUE(A92),CURRENT,5,FALSE),NOV,2,FALSE),"")</f>
        <v/>
      </c>
      <c r="G92" t="str">
        <f t="shared" si="2"/>
        <v/>
      </c>
      <c r="H92" t="str">
        <f t="shared" si="3"/>
        <v/>
      </c>
    </row>
    <row r="93" spans="1:8" x14ac:dyDescent="0.25">
      <c r="A93" s="4">
        <v>175</v>
      </c>
      <c r="B93" s="4" t="s">
        <v>70</v>
      </c>
      <c r="C93" t="str">
        <f>VLOOKUP(VALUE(A93),CURRENT,2,FALSE)</f>
        <v>ITV4 +1</v>
      </c>
      <c r="D93" t="str">
        <f>IF(B93=C93,"","x")</f>
        <v/>
      </c>
      <c r="E93" t="str">
        <f>IFERROR(VLOOKUP(VLOOKUP(VALUE(A93),CURRENT,4,FALSE),NOV,2,FALSE),"")</f>
        <v/>
      </c>
      <c r="F93" t="str">
        <f>IFERROR(VLOOKUP(VLOOKUP(VALUE(A93),CURRENT,5,FALSE),NOV,2,FALSE),"")</f>
        <v/>
      </c>
      <c r="G93" t="str">
        <f t="shared" si="2"/>
        <v/>
      </c>
      <c r="H93" t="str">
        <f t="shared" si="3"/>
        <v/>
      </c>
    </row>
    <row r="94" spans="1:8" x14ac:dyDescent="0.25">
      <c r="A94" s="4">
        <v>176</v>
      </c>
      <c r="B94" s="4" t="s">
        <v>71</v>
      </c>
      <c r="C94" t="str">
        <f>VLOOKUP(VALUE(A94),CURRENT,2,FALSE)</f>
        <v>ITV2 HD</v>
      </c>
      <c r="D94" t="str">
        <f>IF(B94=C94,"","x")</f>
        <v/>
      </c>
      <c r="E94" t="str">
        <f>IFERROR(VLOOKUP(VLOOKUP(VALUE(A94),CURRENT,4,FALSE),NOV,2,FALSE),"")</f>
        <v/>
      </c>
      <c r="F94" t="str">
        <f>IFERROR(VLOOKUP(VLOOKUP(VALUE(A94),CURRENT,5,FALSE),NOV,2,FALSE),"")</f>
        <v/>
      </c>
      <c r="G94" t="str">
        <f t="shared" si="2"/>
        <v/>
      </c>
      <c r="H94" t="str">
        <f t="shared" si="3"/>
        <v/>
      </c>
    </row>
    <row r="95" spans="1:8" x14ac:dyDescent="0.25">
      <c r="A95" s="4">
        <v>177</v>
      </c>
      <c r="B95" s="4" t="s">
        <v>72</v>
      </c>
      <c r="C95" t="str">
        <f>VLOOKUP(VALUE(A95),CURRENT,2,FALSE)</f>
        <v>ITV3 HD</v>
      </c>
      <c r="D95" t="str">
        <f>IF(B95=C95,"","x")</f>
        <v/>
      </c>
      <c r="E95" t="str">
        <f>IFERROR(VLOOKUP(VLOOKUP(VALUE(A95),CURRENT,4,FALSE),NOV,2,FALSE),"")</f>
        <v/>
      </c>
      <c r="F95" t="str">
        <f>IFERROR(VLOOKUP(VLOOKUP(VALUE(A95),CURRENT,5,FALSE),NOV,2,FALSE),"")</f>
        <v/>
      </c>
      <c r="G95" t="str">
        <f t="shared" si="2"/>
        <v/>
      </c>
      <c r="H95" t="str">
        <f t="shared" si="3"/>
        <v/>
      </c>
    </row>
    <row r="96" spans="1:8" x14ac:dyDescent="0.25">
      <c r="A96" s="4">
        <v>178</v>
      </c>
      <c r="B96" s="4" t="s">
        <v>73</v>
      </c>
      <c r="C96" t="str">
        <f>VLOOKUP(VALUE(A96),CURRENT,2,FALSE)</f>
        <v>ITV4 HD</v>
      </c>
      <c r="D96" t="str">
        <f>IF(B96=C96,"","x")</f>
        <v/>
      </c>
      <c r="E96" t="str">
        <f>IFERROR(VLOOKUP(VLOOKUP(VALUE(A96),CURRENT,4,FALSE),NOV,2,FALSE),"")</f>
        <v/>
      </c>
      <c r="F96" t="str">
        <f>IFERROR(VLOOKUP(VLOOKUP(VALUE(A96),CURRENT,5,FALSE),NOV,2,FALSE),"")</f>
        <v/>
      </c>
      <c r="G96" t="str">
        <f t="shared" si="2"/>
        <v/>
      </c>
      <c r="H96" t="str">
        <f t="shared" si="3"/>
        <v/>
      </c>
    </row>
    <row r="97" spans="1:8" x14ac:dyDescent="0.25">
      <c r="A97" s="4">
        <v>179</v>
      </c>
      <c r="B97" s="4" t="s">
        <v>74</v>
      </c>
      <c r="C97" t="str">
        <f>VLOOKUP(VALUE(A97),CURRENT,2,FALSE)</f>
        <v>ITVBe HD</v>
      </c>
      <c r="D97" t="str">
        <f>IF(B97=C97,"","x")</f>
        <v/>
      </c>
      <c r="E97" t="str">
        <f>IFERROR(VLOOKUP(VLOOKUP(VALUE(A97),CURRENT,4,FALSE),NOV,2,FALSE),"")</f>
        <v/>
      </c>
      <c r="F97" t="str">
        <f>IFERROR(VLOOKUP(VLOOKUP(VALUE(A97),CURRENT,5,FALSE),NOV,2,FALSE),"")</f>
        <v/>
      </c>
      <c r="G97" t="str">
        <f t="shared" si="2"/>
        <v/>
      </c>
      <c r="H97" t="str">
        <f t="shared" si="3"/>
        <v/>
      </c>
    </row>
    <row r="98" spans="1:8" x14ac:dyDescent="0.25">
      <c r="A98" s="4">
        <v>180</v>
      </c>
      <c r="B98" s="4" t="s">
        <v>75</v>
      </c>
      <c r="C98" t="str">
        <f>VLOOKUP(VALUE(A98),CURRENT,2,FALSE)</f>
        <v>Challenge +1</v>
      </c>
      <c r="D98" t="str">
        <f>IF(B98=C98,"","x")</f>
        <v/>
      </c>
      <c r="E98" t="str">
        <f>IFERROR(VLOOKUP(VLOOKUP(VALUE(A98),CURRENT,4,FALSE),NOV,2,FALSE),"")</f>
        <v/>
      </c>
      <c r="F98" t="str">
        <f>IFERROR(VLOOKUP(VLOOKUP(VALUE(A98),CURRENT,5,FALSE),NOV,2,FALSE),"")</f>
        <v/>
      </c>
      <c r="G98" t="str">
        <f t="shared" si="2"/>
        <v/>
      </c>
      <c r="H98" t="str">
        <f t="shared" si="3"/>
        <v/>
      </c>
    </row>
    <row r="99" spans="1:8" x14ac:dyDescent="0.25">
      <c r="A99" s="4">
        <v>181</v>
      </c>
      <c r="B99" s="4" t="s">
        <v>76</v>
      </c>
      <c r="C99" t="str">
        <f>VLOOKUP(VALUE(A99),CURRENT,2,FALSE)</f>
        <v>Comedy Central HD</v>
      </c>
      <c r="D99" t="str">
        <f>IF(B99=C99,"","x")</f>
        <v/>
      </c>
      <c r="E99" t="str">
        <f>IFERROR(VLOOKUP(VLOOKUP(VALUE(A99),CURRENT,4,FALSE),NOV,2,FALSE),"")</f>
        <v/>
      </c>
      <c r="F99" t="str">
        <f>IFERROR(VLOOKUP(VLOOKUP(VALUE(A99),CURRENT,5,FALSE),NOV,2,FALSE),"")</f>
        <v/>
      </c>
      <c r="G99" t="str">
        <f t="shared" si="2"/>
        <v/>
      </c>
      <c r="H99" t="str">
        <f t="shared" si="3"/>
        <v/>
      </c>
    </row>
    <row r="100" spans="1:8" x14ac:dyDescent="0.25">
      <c r="A100" s="4">
        <v>182</v>
      </c>
      <c r="B100" s="4" t="s">
        <v>77</v>
      </c>
      <c r="C100" t="str">
        <f>VLOOKUP(VALUE(A100),CURRENT,2,FALSE)</f>
        <v>Comedy Central Extra</v>
      </c>
      <c r="D100" t="str">
        <f>IF(B100=C100,"","x")</f>
        <v/>
      </c>
      <c r="E100" t="str">
        <f>IFERROR(VLOOKUP(VLOOKUP(VALUE(A100),CURRENT,4,FALSE),NOV,2,FALSE),"")</f>
        <v/>
      </c>
      <c r="F100" t="str">
        <f>IFERROR(VLOOKUP(VLOOKUP(VALUE(A100),CURRENT,5,FALSE),NOV,2,FALSE),"")</f>
        <v/>
      </c>
      <c r="G100" t="str">
        <f t="shared" si="2"/>
        <v/>
      </c>
      <c r="H100" t="str">
        <f t="shared" si="3"/>
        <v/>
      </c>
    </row>
    <row r="101" spans="1:8" x14ac:dyDescent="0.25">
      <c r="A101" s="4">
        <v>183</v>
      </c>
      <c r="B101" s="4" t="s">
        <v>78</v>
      </c>
      <c r="C101" t="str">
        <f>VLOOKUP(VALUE(A101),CURRENT,2,FALSE)</f>
        <v>MTV HD</v>
      </c>
      <c r="D101" t="str">
        <f>IF(B101=C101,"","x")</f>
        <v/>
      </c>
      <c r="E101" t="str">
        <f>IFERROR(VLOOKUP(VLOOKUP(VALUE(A101),CURRENT,4,FALSE),NOV,2,FALSE),"")</f>
        <v/>
      </c>
      <c r="F101" t="str">
        <f>IFERROR(VLOOKUP(VLOOKUP(VALUE(A101),CURRENT,5,FALSE),NOV,2,FALSE),"")</f>
        <v/>
      </c>
      <c r="G101" t="str">
        <f t="shared" si="2"/>
        <v/>
      </c>
      <c r="H101" t="str">
        <f t="shared" si="3"/>
        <v/>
      </c>
    </row>
    <row r="102" spans="1:8" x14ac:dyDescent="0.25">
      <c r="A102" s="4">
        <v>184</v>
      </c>
      <c r="B102" s="4" t="s">
        <v>79</v>
      </c>
      <c r="C102" t="str">
        <f>VLOOKUP(VALUE(A102),CURRENT,2,FALSE)</f>
        <v>BET</v>
      </c>
      <c r="D102" t="str">
        <f>IF(B102=C102,"","x")</f>
        <v/>
      </c>
      <c r="E102" t="str">
        <f>IFERROR(VLOOKUP(VLOOKUP(VALUE(A102),CURRENT,4,FALSE),NOV,2,FALSE),"")</f>
        <v/>
      </c>
      <c r="F102" t="str">
        <f>IFERROR(VLOOKUP(VLOOKUP(VALUE(A102),CURRENT,5,FALSE),NOV,2,FALSE),"")</f>
        <v/>
      </c>
      <c r="G102" t="str">
        <f t="shared" si="2"/>
        <v/>
      </c>
      <c r="H102" t="str">
        <f t="shared" si="3"/>
        <v/>
      </c>
    </row>
    <row r="103" spans="1:8" x14ac:dyDescent="0.25">
      <c r="A103" s="4">
        <v>185</v>
      </c>
      <c r="B103" s="4" t="s">
        <v>445</v>
      </c>
      <c r="C103" t="str">
        <f>VLOOKUP(VALUE(A103),CURRENT,2,FALSE)</f>
        <v>5USA +1</v>
      </c>
      <c r="D103" t="str">
        <f>IF(B103=C103,"","x")</f>
        <v/>
      </c>
      <c r="E103" t="str">
        <f>IFERROR(VLOOKUP(VLOOKUP(VALUE(A103),CURRENT,4,FALSE),NOV,2,FALSE),"")</f>
        <v/>
      </c>
      <c r="F103" t="str">
        <f>IFERROR(VLOOKUP(VLOOKUP(VALUE(A103),CURRENT,5,FALSE),NOV,2,FALSE),"")</f>
        <v/>
      </c>
      <c r="G103" t="str">
        <f t="shared" si="2"/>
        <v/>
      </c>
      <c r="H103" t="str">
        <f t="shared" si="3"/>
        <v/>
      </c>
    </row>
    <row r="104" spans="1:8" x14ac:dyDescent="0.25">
      <c r="A104" s="4">
        <v>186</v>
      </c>
      <c r="B104" s="4" t="s">
        <v>80</v>
      </c>
      <c r="C104" t="str">
        <f>VLOOKUP(VALUE(A104),CURRENT,2,FALSE)</f>
        <v>5STAR +1</v>
      </c>
      <c r="D104" t="str">
        <f>IF(B104=C104,"","x")</f>
        <v/>
      </c>
      <c r="E104" t="str">
        <f>IFERROR(VLOOKUP(VLOOKUP(VALUE(A104),CURRENT,4,FALSE),NOV,2,FALSE),"")</f>
        <v/>
      </c>
      <c r="F104" t="str">
        <f>IFERROR(VLOOKUP(VLOOKUP(VALUE(A104),CURRENT,5,FALSE),NOV,2,FALSE),"")</f>
        <v/>
      </c>
      <c r="G104" t="str">
        <f t="shared" si="2"/>
        <v/>
      </c>
      <c r="H104" t="str">
        <f t="shared" si="3"/>
        <v/>
      </c>
    </row>
    <row r="105" spans="1:8" x14ac:dyDescent="0.25">
      <c r="A105" s="4">
        <v>187</v>
      </c>
      <c r="B105" s="4" t="s">
        <v>302</v>
      </c>
      <c r="C105" t="str">
        <f>VLOOKUP(VALUE(A105),CURRENT,2,FALSE)</f>
        <v>Paramount Network HD</v>
      </c>
      <c r="D105" t="str">
        <f>IF(B105=C105,"","x")</f>
        <v/>
      </c>
      <c r="E105" t="str">
        <f>IFERROR(VLOOKUP(VLOOKUP(VALUE(A105),CURRENT,4,FALSE),NOV,2,FALSE),"")</f>
        <v/>
      </c>
      <c r="F105" t="str">
        <f>IFERROR(VLOOKUP(VLOOKUP(VALUE(A105),CURRENT,5,FALSE),NOV,2,FALSE),"")</f>
        <v/>
      </c>
      <c r="G105" t="str">
        <f t="shared" si="2"/>
        <v/>
      </c>
      <c r="H105" t="str">
        <f t="shared" si="3"/>
        <v/>
      </c>
    </row>
    <row r="106" spans="1:8" x14ac:dyDescent="0.25">
      <c r="A106" s="4">
        <v>188</v>
      </c>
      <c r="B106" s="4" t="s">
        <v>303</v>
      </c>
      <c r="C106" t="str">
        <f>VLOOKUP(VALUE(A106),CURRENT,2,FALSE)</f>
        <v>Paramount Network</v>
      </c>
      <c r="D106" t="str">
        <f>IF(B106=C106,"","x")</f>
        <v/>
      </c>
      <c r="E106" t="str">
        <f>IFERROR(VLOOKUP(VLOOKUP(VALUE(A106),CURRENT,4,FALSE),NOV,2,FALSE),"")</f>
        <v>Paramount Network HD</v>
      </c>
      <c r="F106" t="str">
        <f>IFERROR(VLOOKUP(VLOOKUP(VALUE(A106),CURRENT,5,FALSE),NOV,2,FALSE),"")</f>
        <v/>
      </c>
      <c r="G106">
        <f t="shared" si="2"/>
        <v>1</v>
      </c>
      <c r="H106" t="str">
        <f t="shared" si="3"/>
        <v/>
      </c>
    </row>
    <row r="107" spans="1:8" x14ac:dyDescent="0.25">
      <c r="A107" s="4">
        <v>189</v>
      </c>
      <c r="B107" s="4" t="s">
        <v>304</v>
      </c>
      <c r="C107" t="str">
        <f>VLOOKUP(VALUE(A107),CURRENT,2,FALSE)</f>
        <v>True Entertainment</v>
      </c>
      <c r="D107" t="str">
        <f>IF(B107=C107,"","x")</f>
        <v/>
      </c>
      <c r="E107" t="str">
        <f>IFERROR(VLOOKUP(VLOOKUP(VALUE(A107),CURRENT,4,FALSE),NOV,2,FALSE),"")</f>
        <v/>
      </c>
      <c r="F107" t="str">
        <f>IFERROR(VLOOKUP(VLOOKUP(VALUE(A107),CURRENT,5,FALSE),NOV,2,FALSE),"")</f>
        <v>True Entertainment +1</v>
      </c>
      <c r="G107" t="str">
        <f t="shared" si="2"/>
        <v/>
      </c>
      <c r="H107">
        <f t="shared" si="3"/>
        <v>1</v>
      </c>
    </row>
    <row r="108" spans="1:8" x14ac:dyDescent="0.25">
      <c r="A108" s="4">
        <v>190</v>
      </c>
      <c r="B108" s="4" t="s">
        <v>35</v>
      </c>
      <c r="C108" t="str">
        <f>VLOOKUP(VALUE(A108),CURRENT,2,FALSE)</f>
        <v>W +1</v>
      </c>
      <c r="D108" t="str">
        <f>IF(B108=C108,"","x")</f>
        <v/>
      </c>
      <c r="E108" t="str">
        <f>IFERROR(VLOOKUP(VLOOKUP(VALUE(A108),CURRENT,4,FALSE),NOV,2,FALSE),"")</f>
        <v/>
      </c>
      <c r="F108" t="str">
        <f>IFERROR(VLOOKUP(VLOOKUP(VALUE(A108),CURRENT,5,FALSE),NOV,2,FALSE),"")</f>
        <v/>
      </c>
      <c r="G108" t="str">
        <f t="shared" si="2"/>
        <v/>
      </c>
      <c r="H108" t="str">
        <f t="shared" si="3"/>
        <v/>
      </c>
    </row>
    <row r="109" spans="1:8" x14ac:dyDescent="0.25">
      <c r="A109" s="4">
        <v>191</v>
      </c>
      <c r="B109" s="4" t="s">
        <v>403</v>
      </c>
      <c r="C109" t="str">
        <f>VLOOKUP(VALUE(A109),CURRENT,2,FALSE)</f>
        <v>Alibi +1</v>
      </c>
      <c r="D109" t="str">
        <f>IF(B109=C109,"","x")</f>
        <v/>
      </c>
      <c r="E109" t="str">
        <f>IFERROR(VLOOKUP(VLOOKUP(VALUE(A109),CURRENT,4,FALSE),NOV,2,FALSE),"")</f>
        <v/>
      </c>
      <c r="F109" t="str">
        <f>IFERROR(VLOOKUP(VLOOKUP(VALUE(A109),CURRENT,5,FALSE),NOV,2,FALSE),"")</f>
        <v/>
      </c>
      <c r="G109" t="str">
        <f t="shared" si="2"/>
        <v/>
      </c>
      <c r="H109" t="str">
        <f t="shared" si="3"/>
        <v/>
      </c>
    </row>
    <row r="110" spans="1:8" x14ac:dyDescent="0.25">
      <c r="A110" s="4">
        <v>192</v>
      </c>
      <c r="B110" s="4" t="s">
        <v>684</v>
      </c>
      <c r="C110" t="str">
        <f>VLOOKUP(VALUE(A110),CURRENT,2,FALSE)</f>
        <v>CBS Justice</v>
      </c>
      <c r="D110" t="str">
        <f>IF(B110=C110,"","x")</f>
        <v/>
      </c>
      <c r="E110" t="str">
        <f>IFERROR(VLOOKUP(VLOOKUP(VALUE(A110),CURRENT,4,FALSE),NOV,2,FALSE),"")</f>
        <v/>
      </c>
      <c r="F110" t="str">
        <f>IFERROR(VLOOKUP(VLOOKUP(VALUE(A110),CURRENT,5,FALSE),NOV,2,FALSE),"")</f>
        <v/>
      </c>
      <c r="G110" t="str">
        <f t="shared" si="2"/>
        <v/>
      </c>
      <c r="H110" t="str">
        <f t="shared" si="3"/>
        <v/>
      </c>
    </row>
    <row r="111" spans="1:8" x14ac:dyDescent="0.25">
      <c r="A111" s="4">
        <v>193</v>
      </c>
      <c r="B111" s="4" t="s">
        <v>451</v>
      </c>
      <c r="C111" t="str">
        <f>VLOOKUP(VALUE(A111),CURRENT,2,FALSE)</f>
        <v>Sony Crime</v>
      </c>
      <c r="D111" t="str">
        <f>IF(B111=C111,"","x")</f>
        <v/>
      </c>
      <c r="E111" t="str">
        <f>IFERROR(VLOOKUP(VLOOKUP(VALUE(A111),CURRENT,4,FALSE),NOV,2,FALSE),"")</f>
        <v/>
      </c>
      <c r="F111" t="str">
        <f>IFERROR(VLOOKUP(VLOOKUP(VALUE(A111),CURRENT,5,FALSE),NOV,2,FALSE),"")</f>
        <v/>
      </c>
      <c r="G111" t="str">
        <f t="shared" si="2"/>
        <v/>
      </c>
      <c r="H111" t="str">
        <f t="shared" si="3"/>
        <v/>
      </c>
    </row>
    <row r="112" spans="1:8" x14ac:dyDescent="0.25">
      <c r="A112" s="4">
        <v>194</v>
      </c>
      <c r="B112" s="4" t="s">
        <v>81</v>
      </c>
      <c r="C112" t="str">
        <f>VLOOKUP(VALUE(A112),CURRENT,2,FALSE)</f>
        <v>Gold +1</v>
      </c>
      <c r="D112" t="str">
        <f>IF(B112=C112,"","x")</f>
        <v/>
      </c>
      <c r="E112" t="str">
        <f>IFERROR(VLOOKUP(VLOOKUP(VALUE(A112),CURRENT,4,FALSE),NOV,2,FALSE),"")</f>
        <v/>
      </c>
      <c r="F112" t="str">
        <f>IFERROR(VLOOKUP(VLOOKUP(VALUE(A112),CURRENT,5,FALSE),NOV,2,FALSE),"")</f>
        <v/>
      </c>
      <c r="G112" t="str">
        <f t="shared" si="2"/>
        <v/>
      </c>
      <c r="H112" t="str">
        <f t="shared" si="3"/>
        <v/>
      </c>
    </row>
    <row r="113" spans="1:8" x14ac:dyDescent="0.25">
      <c r="A113" s="4">
        <v>195</v>
      </c>
      <c r="B113" s="4" t="s">
        <v>84</v>
      </c>
      <c r="C113" t="str">
        <f>VLOOKUP(VALUE(A113),CURRENT,2,FALSE)</f>
        <v>More4 HD</v>
      </c>
      <c r="D113" t="str">
        <f>IF(B113=C113,"","x")</f>
        <v/>
      </c>
      <c r="E113" t="str">
        <f>IFERROR(VLOOKUP(VLOOKUP(VALUE(A113),CURRENT,4,FALSE),NOV,2,FALSE),"")</f>
        <v/>
      </c>
      <c r="F113" t="str">
        <f>IFERROR(VLOOKUP(VLOOKUP(VALUE(A113),CURRENT,5,FALSE),NOV,2,FALSE),"")</f>
        <v/>
      </c>
      <c r="G113" t="str">
        <f t="shared" si="2"/>
        <v/>
      </c>
      <c r="H113" t="str">
        <f t="shared" si="3"/>
        <v/>
      </c>
    </row>
    <row r="114" spans="1:8" x14ac:dyDescent="0.25">
      <c r="A114" s="4">
        <v>196</v>
      </c>
      <c r="B114" s="4" t="s">
        <v>305</v>
      </c>
      <c r="C114" t="str">
        <f>VLOOKUP(VALUE(A114),CURRENT,2,FALSE)</f>
        <v>More4 +1</v>
      </c>
      <c r="D114" t="str">
        <f>IF(B114=C114,"","x")</f>
        <v/>
      </c>
      <c r="E114" t="str">
        <f>IFERROR(VLOOKUP(VLOOKUP(VALUE(A114),CURRENT,4,FALSE),NOV,2,FALSE),"")</f>
        <v/>
      </c>
      <c r="F114" t="str">
        <f>IFERROR(VLOOKUP(VLOOKUP(VALUE(A114),CURRENT,5,FALSE),NOV,2,FALSE),"")</f>
        <v/>
      </c>
      <c r="G114" t="str">
        <f t="shared" si="2"/>
        <v/>
      </c>
      <c r="H114" t="str">
        <f t="shared" si="3"/>
        <v/>
      </c>
    </row>
    <row r="115" spans="1:8" x14ac:dyDescent="0.25">
      <c r="A115" s="4">
        <v>197</v>
      </c>
      <c r="B115" s="4" t="s">
        <v>85</v>
      </c>
      <c r="C115" t="str">
        <f>VLOOKUP(VALUE(A115),CURRENT,2,FALSE)</f>
        <v>CBS Drama</v>
      </c>
      <c r="D115" t="str">
        <f>IF(B115=C115,"","x")</f>
        <v/>
      </c>
      <c r="E115" t="str">
        <f>IFERROR(VLOOKUP(VLOOKUP(VALUE(A115),CURRENT,4,FALSE),NOV,2,FALSE),"")</f>
        <v/>
      </c>
      <c r="F115" t="str">
        <f>IFERROR(VLOOKUP(VLOOKUP(VALUE(A115),CURRENT,5,FALSE),NOV,2,FALSE),"")</f>
        <v/>
      </c>
      <c r="G115" t="str">
        <f t="shared" si="2"/>
        <v/>
      </c>
      <c r="H115" t="str">
        <f t="shared" si="3"/>
        <v/>
      </c>
    </row>
    <row r="116" spans="1:8" x14ac:dyDescent="0.25">
      <c r="A116" s="4">
        <v>198</v>
      </c>
      <c r="B116" s="4" t="s">
        <v>86</v>
      </c>
      <c r="C116" t="str">
        <f>VLOOKUP(VALUE(A116),CURRENT,2,FALSE)</f>
        <v>YouTube</v>
      </c>
      <c r="D116" t="str">
        <f>IF(B116=C116,"","x")</f>
        <v/>
      </c>
      <c r="E116" t="str">
        <f>IFERROR(VLOOKUP(VLOOKUP(VALUE(A116),CURRENT,4,FALSE),NOV,2,FALSE),"")</f>
        <v/>
      </c>
      <c r="F116" t="str">
        <f>IFERROR(VLOOKUP(VLOOKUP(VALUE(A116),CURRENT,5,FALSE),NOV,2,FALSE),"")</f>
        <v/>
      </c>
      <c r="G116" t="str">
        <f t="shared" si="2"/>
        <v/>
      </c>
      <c r="H116" t="str">
        <f t="shared" si="3"/>
        <v/>
      </c>
    </row>
    <row r="117" spans="1:8" x14ac:dyDescent="0.25">
      <c r="A117" s="4">
        <v>199</v>
      </c>
      <c r="B117" s="4" t="s">
        <v>455</v>
      </c>
      <c r="C117" t="str">
        <f>VLOOKUP(VALUE(A117),CURRENT,2,FALSE)</f>
        <v>FOX HD</v>
      </c>
      <c r="D117" t="str">
        <f>IF(B117=C117,"","x")</f>
        <v/>
      </c>
      <c r="E117" t="str">
        <f>IFERROR(VLOOKUP(VLOOKUP(VALUE(A117),CURRENT,4,FALSE),NOV,2,FALSE),"")</f>
        <v/>
      </c>
      <c r="F117" t="str">
        <f>IFERROR(VLOOKUP(VLOOKUP(VALUE(A117),CURRENT,5,FALSE),NOV,2,FALSE),"")</f>
        <v/>
      </c>
      <c r="G117" t="str">
        <f t="shared" si="2"/>
        <v/>
      </c>
      <c r="H117" t="str">
        <f t="shared" si="3"/>
        <v/>
      </c>
    </row>
    <row r="118" spans="1:8" x14ac:dyDescent="0.25">
      <c r="A118" s="4">
        <v>200</v>
      </c>
      <c r="B118" s="4" t="s">
        <v>103</v>
      </c>
      <c r="C118" t="str">
        <f>VLOOKUP(VALUE(A118),CURRENT,2,FALSE)</f>
        <v>Yesterday +1</v>
      </c>
      <c r="D118" t="str">
        <f>IF(B118=C118,"","x")</f>
        <v/>
      </c>
      <c r="E118" t="str">
        <f>IFERROR(VLOOKUP(VLOOKUP(VALUE(A118),CURRENT,4,FALSE),NOV,2,FALSE),"")</f>
        <v/>
      </c>
      <c r="F118" t="str">
        <f>IFERROR(VLOOKUP(VLOOKUP(VALUE(A118),CURRENT,5,FALSE),NOV,2,FALSE),"")</f>
        <v/>
      </c>
      <c r="G118" t="str">
        <f t="shared" si="2"/>
        <v/>
      </c>
      <c r="H118" t="str">
        <f t="shared" si="3"/>
        <v/>
      </c>
    </row>
    <row r="119" spans="1:8" x14ac:dyDescent="0.25">
      <c r="A119" s="4">
        <v>201</v>
      </c>
      <c r="B119" s="4" t="s">
        <v>88</v>
      </c>
      <c r="C119" t="str">
        <f>VLOOKUP(VALUE(A119),CURRENT,2,FALSE)</f>
        <v>CBS Reality +1</v>
      </c>
      <c r="D119" t="str">
        <f>IF(B119=C119,"","x")</f>
        <v/>
      </c>
      <c r="E119" t="str">
        <f>IFERROR(VLOOKUP(VLOOKUP(VALUE(A119),CURRENT,4,FALSE),NOV,2,FALSE),"")</f>
        <v/>
      </c>
      <c r="F119" t="str">
        <f>IFERROR(VLOOKUP(VLOOKUP(VALUE(A119),CURRENT,5,FALSE),NOV,2,FALSE),"")</f>
        <v/>
      </c>
      <c r="G119" t="str">
        <f t="shared" si="2"/>
        <v/>
      </c>
      <c r="H119" t="str">
        <f t="shared" si="3"/>
        <v/>
      </c>
    </row>
    <row r="120" spans="1:8" x14ac:dyDescent="0.25">
      <c r="A120" s="4">
        <v>202</v>
      </c>
      <c r="B120" s="4" t="s">
        <v>89</v>
      </c>
      <c r="C120" t="str">
        <f>VLOOKUP(VALUE(A120),CURRENT,2,FALSE)</f>
        <v>Horror Channel +1</v>
      </c>
      <c r="D120" t="str">
        <f>IF(B120=C120,"","x")</f>
        <v/>
      </c>
      <c r="E120" t="str">
        <f>IFERROR(VLOOKUP(VLOOKUP(VALUE(A120),CURRENT,4,FALSE),NOV,2,FALSE),"")</f>
        <v/>
      </c>
      <c r="F120" t="str">
        <f>IFERROR(VLOOKUP(VLOOKUP(VALUE(A120),CURRENT,5,FALSE),NOV,2,FALSE),"")</f>
        <v/>
      </c>
      <c r="G120" t="str">
        <f t="shared" si="2"/>
        <v/>
      </c>
      <c r="H120" t="str">
        <f t="shared" si="3"/>
        <v/>
      </c>
    </row>
    <row r="121" spans="1:8" x14ac:dyDescent="0.25">
      <c r="A121" s="4">
        <v>203</v>
      </c>
      <c r="B121" s="4" t="s">
        <v>90</v>
      </c>
      <c r="C121" t="str">
        <f>VLOOKUP(VALUE(A121),CURRENT,2,FALSE)</f>
        <v>4seven HD</v>
      </c>
      <c r="D121" t="str">
        <f>IF(B121=C121,"","x")</f>
        <v/>
      </c>
      <c r="E121" t="str">
        <f>IFERROR(VLOOKUP(VLOOKUP(VALUE(A121),CURRENT,4,FALSE),NOV,2,FALSE),"")</f>
        <v/>
      </c>
      <c r="F121" t="str">
        <f>IFERROR(VLOOKUP(VLOOKUP(VALUE(A121),CURRENT,5,FALSE),NOV,2,FALSE),"")</f>
        <v/>
      </c>
      <c r="G121" t="str">
        <f t="shared" si="2"/>
        <v/>
      </c>
      <c r="H121" t="str">
        <f t="shared" si="3"/>
        <v/>
      </c>
    </row>
    <row r="122" spans="1:8" x14ac:dyDescent="0.25">
      <c r="A122" s="4">
        <v>204</v>
      </c>
      <c r="B122" s="4" t="s">
        <v>91</v>
      </c>
      <c r="C122" t="str">
        <f>VLOOKUP(VALUE(A122),CURRENT,2,FALSE)</f>
        <v>Netflix</v>
      </c>
      <c r="D122" t="str">
        <f>IF(B122=C122,"","x")</f>
        <v/>
      </c>
      <c r="E122" t="str">
        <f>IFERROR(VLOOKUP(VLOOKUP(VALUE(A122),CURRENT,4,FALSE),NOV,2,FALSE),"")</f>
        <v/>
      </c>
      <c r="F122" t="str">
        <f>IFERROR(VLOOKUP(VLOOKUP(VALUE(A122),CURRENT,5,FALSE),NOV,2,FALSE),"")</f>
        <v/>
      </c>
      <c r="G122" t="str">
        <f t="shared" si="2"/>
        <v/>
      </c>
      <c r="H122" t="str">
        <f t="shared" si="3"/>
        <v/>
      </c>
    </row>
    <row r="123" spans="1:8" x14ac:dyDescent="0.25">
      <c r="A123" s="4">
        <v>206</v>
      </c>
      <c r="B123" s="4" t="s">
        <v>92</v>
      </c>
      <c r="C123" t="str">
        <f>VLOOKUP(VALUE(A123),CURRENT,2,FALSE)</f>
        <v>Sky Arts HD</v>
      </c>
      <c r="D123" t="str">
        <f>IF(B123=C123,"","x")</f>
        <v/>
      </c>
      <c r="E123" t="str">
        <f>IFERROR(VLOOKUP(VLOOKUP(VALUE(A123),CURRENT,4,FALSE),NOV,2,FALSE),"")</f>
        <v/>
      </c>
      <c r="F123" t="str">
        <f>IFERROR(VLOOKUP(VLOOKUP(VALUE(A123),CURRENT,5,FALSE),NOV,2,FALSE),"")</f>
        <v/>
      </c>
      <c r="G123" t="str">
        <f t="shared" si="2"/>
        <v/>
      </c>
      <c r="H123" t="str">
        <f t="shared" si="3"/>
        <v/>
      </c>
    </row>
    <row r="124" spans="1:8" x14ac:dyDescent="0.25">
      <c r="A124" s="4">
        <v>207</v>
      </c>
      <c r="B124" s="4" t="s">
        <v>93</v>
      </c>
      <c r="C124" t="str">
        <f>VLOOKUP(VALUE(A124),CURRENT,2,FALSE)</f>
        <v>Real Lives +1</v>
      </c>
      <c r="D124" t="str">
        <f>IF(B124=C124,"","x")</f>
        <v/>
      </c>
      <c r="E124" t="str">
        <f>IFERROR(VLOOKUP(VLOOKUP(VALUE(A124),CURRENT,4,FALSE),NOV,2,FALSE),"")</f>
        <v/>
      </c>
      <c r="F124" t="str">
        <f>IFERROR(VLOOKUP(VLOOKUP(VALUE(A124),CURRENT,5,FALSE),NOV,2,FALSE),"")</f>
        <v/>
      </c>
      <c r="G124" t="str">
        <f t="shared" si="2"/>
        <v/>
      </c>
      <c r="H124" t="str">
        <f t="shared" si="3"/>
        <v/>
      </c>
    </row>
    <row r="125" spans="1:8" x14ac:dyDescent="0.25">
      <c r="A125" s="4">
        <v>208</v>
      </c>
      <c r="B125" s="4" t="s">
        <v>94</v>
      </c>
      <c r="C125" t="str">
        <f>VLOOKUP(VALUE(A125),CURRENT,2,FALSE)</f>
        <v>Lifetime</v>
      </c>
      <c r="D125" t="str">
        <f>IF(B125=C125,"","x")</f>
        <v/>
      </c>
      <c r="E125" t="str">
        <f>IFERROR(VLOOKUP(VLOOKUP(VALUE(A125),CURRENT,4,FALSE),NOV,2,FALSE),"")</f>
        <v>Lifetime HD</v>
      </c>
      <c r="F125" t="str">
        <f>IFERROR(VLOOKUP(VLOOKUP(VALUE(A125),CURRENT,5,FALSE),NOV,2,FALSE),"")</f>
        <v>Lifetime +1</v>
      </c>
      <c r="G125">
        <f t="shared" si="2"/>
        <v>1</v>
      </c>
      <c r="H125">
        <f t="shared" si="3"/>
        <v>1</v>
      </c>
    </row>
    <row r="126" spans="1:8" x14ac:dyDescent="0.25">
      <c r="A126" s="4">
        <v>209</v>
      </c>
      <c r="B126" s="4" t="s">
        <v>95</v>
      </c>
      <c r="C126" t="str">
        <f>VLOOKUP(VALUE(A126),CURRENT,2,FALSE)</f>
        <v>Lifetime HD</v>
      </c>
      <c r="D126" t="str">
        <f>IF(B126=C126,"","x")</f>
        <v/>
      </c>
      <c r="E126" t="str">
        <f>IFERROR(VLOOKUP(VLOOKUP(VALUE(A126),CURRENT,4,FALSE),NOV,2,FALSE),"")</f>
        <v/>
      </c>
      <c r="F126" t="str">
        <f>IFERROR(VLOOKUP(VLOOKUP(VALUE(A126),CURRENT,5,FALSE),NOV,2,FALSE),"")</f>
        <v/>
      </c>
      <c r="G126" t="str">
        <f t="shared" si="2"/>
        <v/>
      </c>
      <c r="H126" t="str">
        <f t="shared" si="3"/>
        <v/>
      </c>
    </row>
    <row r="127" spans="1:8" x14ac:dyDescent="0.25">
      <c r="A127" s="4">
        <v>210</v>
      </c>
      <c r="B127" s="4" t="s">
        <v>464</v>
      </c>
      <c r="C127" t="str">
        <f>VLOOKUP(VALUE(A127),CURRENT,2,FALSE)</f>
        <v>hayu</v>
      </c>
      <c r="D127" t="str">
        <f>IF(B127=C127,"","x")</f>
        <v/>
      </c>
      <c r="E127" t="str">
        <f>IFERROR(VLOOKUP(VLOOKUP(VALUE(A127),CURRENT,4,FALSE),NOV,2,FALSE),"")</f>
        <v/>
      </c>
      <c r="F127" t="str">
        <f>IFERROR(VLOOKUP(VLOOKUP(VALUE(A127),CURRENT,5,FALSE),NOV,2,FALSE),"")</f>
        <v/>
      </c>
      <c r="G127" t="str">
        <f t="shared" si="2"/>
        <v/>
      </c>
      <c r="H127" t="str">
        <f t="shared" si="3"/>
        <v/>
      </c>
    </row>
    <row r="128" spans="1:8" x14ac:dyDescent="0.25">
      <c r="A128" s="4">
        <v>211</v>
      </c>
      <c r="B128" s="4" t="s">
        <v>82</v>
      </c>
      <c r="C128" t="str">
        <f>VLOOKUP(VALUE(A128),CURRENT,2,FALSE)</f>
        <v>W HD</v>
      </c>
      <c r="D128" t="str">
        <f>IF(B128=C128,"","x")</f>
        <v/>
      </c>
      <c r="E128" t="str">
        <f>IFERROR(VLOOKUP(VLOOKUP(VALUE(A128),CURRENT,4,FALSE),NOV,2,FALSE),"")</f>
        <v/>
      </c>
      <c r="F128" t="str">
        <f>IFERROR(VLOOKUP(VLOOKUP(VALUE(A128),CURRENT,5,FALSE),NOV,2,FALSE),"")</f>
        <v/>
      </c>
      <c r="G128" t="str">
        <f t="shared" si="2"/>
        <v/>
      </c>
      <c r="H128" t="str">
        <f t="shared" si="3"/>
        <v/>
      </c>
    </row>
    <row r="129" spans="1:8" x14ac:dyDescent="0.25">
      <c r="A129" s="4">
        <v>212</v>
      </c>
      <c r="B129" s="4" t="s">
        <v>97</v>
      </c>
      <c r="C129" t="str">
        <f>VLOOKUP(VALUE(A129),CURRENT,2,FALSE)</f>
        <v>TruTV</v>
      </c>
      <c r="D129" t="str">
        <f>IF(B129=C129,"","x")</f>
        <v/>
      </c>
      <c r="E129" t="str">
        <f>IFERROR(VLOOKUP(VLOOKUP(VALUE(A129),CURRENT,4,FALSE),NOV,2,FALSE),"")</f>
        <v/>
      </c>
      <c r="F129" t="str">
        <f>IFERROR(VLOOKUP(VLOOKUP(VALUE(A129),CURRENT,5,FALSE),NOV,2,FALSE),"")</f>
        <v/>
      </c>
      <c r="G129" t="str">
        <f t="shared" si="2"/>
        <v/>
      </c>
      <c r="H129" t="str">
        <f t="shared" si="3"/>
        <v/>
      </c>
    </row>
    <row r="130" spans="1:8" x14ac:dyDescent="0.25">
      <c r="A130" s="4">
        <v>213</v>
      </c>
      <c r="B130" s="4" t="s">
        <v>98</v>
      </c>
      <c r="C130" t="str">
        <f>VLOOKUP(VALUE(A130),CURRENT,2,FALSE)</f>
        <v>DMAX</v>
      </c>
      <c r="D130" t="str">
        <f>IF(B130=C130,"","x")</f>
        <v/>
      </c>
      <c r="E130" t="str">
        <f>IFERROR(VLOOKUP(VLOOKUP(VALUE(A130),CURRENT,4,FALSE),NOV,2,FALSE),"")</f>
        <v/>
      </c>
      <c r="F130" t="str">
        <f>IFERROR(VLOOKUP(VLOOKUP(VALUE(A130),CURRENT,5,FALSE),NOV,2,FALSE),"")</f>
        <v>DMAX +1</v>
      </c>
      <c r="G130" t="str">
        <f t="shared" si="2"/>
        <v/>
      </c>
      <c r="H130">
        <f t="shared" si="3"/>
        <v>1</v>
      </c>
    </row>
    <row r="131" spans="1:8" x14ac:dyDescent="0.25">
      <c r="A131" s="4">
        <v>214</v>
      </c>
      <c r="B131" s="4" t="s">
        <v>99</v>
      </c>
      <c r="C131" t="str">
        <f>VLOOKUP(VALUE(A131),CURRENT,2,FALSE)</f>
        <v>DMAX +1</v>
      </c>
      <c r="D131" t="str">
        <f>IF(B131=C131,"","x")</f>
        <v/>
      </c>
      <c r="E131" t="str">
        <f>IFERROR(VLOOKUP(VLOOKUP(VALUE(A131),CURRENT,4,FALSE),NOV,2,FALSE),"")</f>
        <v/>
      </c>
      <c r="F131" t="str">
        <f>IFERROR(VLOOKUP(VLOOKUP(VALUE(A131),CURRENT,5,FALSE),NOV,2,FALSE),"")</f>
        <v/>
      </c>
      <c r="G131" t="str">
        <f t="shared" ref="G131:G194" si="4">IF(E131&lt;&gt;"",FIND(IFERROR(LEFT(B131,FIND(" ",B131)-1),B131),E131),"")</f>
        <v/>
      </c>
      <c r="H131" t="str">
        <f t="shared" ref="H131:H194" si="5">IF(F131&lt;&gt;"",FIND(IFERROR(LEFT(B131,FIND(" ",B131)-1),B131),F131),"")</f>
        <v/>
      </c>
    </row>
    <row r="132" spans="1:8" x14ac:dyDescent="0.25">
      <c r="A132" s="4">
        <v>215</v>
      </c>
      <c r="B132" s="4" t="s">
        <v>100</v>
      </c>
      <c r="C132" t="str">
        <f>VLOOKUP(VALUE(A132),CURRENT,2,FALSE)</f>
        <v>Quest Red</v>
      </c>
      <c r="D132" t="str">
        <f>IF(B132=C132,"","x")</f>
        <v/>
      </c>
      <c r="E132" t="str">
        <f>IFERROR(VLOOKUP(VLOOKUP(VALUE(A132),CURRENT,4,FALSE),NOV,2,FALSE),"")</f>
        <v/>
      </c>
      <c r="F132" t="str">
        <f>IFERROR(VLOOKUP(VLOOKUP(VALUE(A132),CURRENT,5,FALSE),NOV,2,FALSE),"")</f>
        <v/>
      </c>
      <c r="G132" t="str">
        <f t="shared" si="4"/>
        <v/>
      </c>
      <c r="H132" t="str">
        <f t="shared" si="5"/>
        <v/>
      </c>
    </row>
    <row r="133" spans="1:8" x14ac:dyDescent="0.25">
      <c r="A133" s="4">
        <v>216</v>
      </c>
      <c r="B133" s="4" t="s">
        <v>101</v>
      </c>
      <c r="C133" t="str">
        <f>VLOOKUP(VALUE(A133),CURRENT,2,FALSE)</f>
        <v>Blaze</v>
      </c>
      <c r="D133" t="str">
        <f>IF(B133=C133,"","x")</f>
        <v/>
      </c>
      <c r="E133" t="str">
        <f>IFERROR(VLOOKUP(VLOOKUP(VALUE(A133),CURRENT,4,FALSE),NOV,2,FALSE),"")</f>
        <v/>
      </c>
      <c r="F133" t="str">
        <f>IFERROR(VLOOKUP(VLOOKUP(VALUE(A133),CURRENT,5,FALSE),NOV,2,FALSE),"")</f>
        <v/>
      </c>
      <c r="G133" t="str">
        <f t="shared" si="4"/>
        <v/>
      </c>
      <c r="H133" t="str">
        <f t="shared" si="5"/>
        <v/>
      </c>
    </row>
    <row r="134" spans="1:8" x14ac:dyDescent="0.25">
      <c r="A134" s="4">
        <v>217</v>
      </c>
      <c r="B134" s="4" t="s">
        <v>306</v>
      </c>
      <c r="C134" t="str">
        <f>VLOOKUP(VALUE(A134),CURRENT,2,FALSE)</f>
        <v>Quest HD</v>
      </c>
      <c r="D134" t="str">
        <f>IF(B134=C134,"","x")</f>
        <v/>
      </c>
      <c r="E134" t="str">
        <f>IFERROR(VLOOKUP(VLOOKUP(VALUE(A134),CURRENT,4,FALSE),NOV,2,FALSE),"")</f>
        <v/>
      </c>
      <c r="F134" t="str">
        <f>IFERROR(VLOOKUP(VLOOKUP(VALUE(A134),CURRENT,5,FALSE),NOV,2,FALSE),"")</f>
        <v/>
      </c>
      <c r="G134" t="str">
        <f t="shared" si="4"/>
        <v/>
      </c>
      <c r="H134" t="str">
        <f t="shared" si="5"/>
        <v/>
      </c>
    </row>
    <row r="135" spans="1:8" x14ac:dyDescent="0.25">
      <c r="A135" s="4">
        <v>218</v>
      </c>
      <c r="B135" s="4" t="s">
        <v>307</v>
      </c>
      <c r="C135" t="str">
        <f>VLOOKUP(VALUE(A135),CURRENT,2,FALSE)</f>
        <v>YourTV</v>
      </c>
      <c r="D135" t="str">
        <f>IF(B135=C135,"","x")</f>
        <v/>
      </c>
      <c r="E135" t="str">
        <f>IFERROR(VLOOKUP(VLOOKUP(VALUE(A135),CURRENT,4,FALSE),NOV,2,FALSE),"")</f>
        <v/>
      </c>
      <c r="F135" t="str">
        <f>IFERROR(VLOOKUP(VLOOKUP(VALUE(A135),CURRENT,5,FALSE),NOV,2,FALSE),"")</f>
        <v/>
      </c>
      <c r="G135" t="str">
        <f t="shared" si="4"/>
        <v/>
      </c>
      <c r="H135" t="str">
        <f t="shared" si="5"/>
        <v/>
      </c>
    </row>
    <row r="136" spans="1:8" x14ac:dyDescent="0.25">
      <c r="A136" s="4">
        <v>219</v>
      </c>
      <c r="B136" s="4" t="s">
        <v>308</v>
      </c>
      <c r="C136" t="str">
        <f>VLOOKUP(VALUE(A136),CURRENT,2,FALSE)</f>
        <v>Vice</v>
      </c>
      <c r="D136" t="str">
        <f>IF(B136=C136,"","x")</f>
        <v/>
      </c>
      <c r="E136" t="str">
        <f>IFERROR(VLOOKUP(VLOOKUP(VALUE(A136),CURRENT,4,FALSE),NOV,2,FALSE),"")</f>
        <v/>
      </c>
      <c r="F136" t="str">
        <f>IFERROR(VLOOKUP(VLOOKUP(VALUE(A136),CURRENT,5,FALSE),NOV,2,FALSE),"")</f>
        <v/>
      </c>
      <c r="G136" t="str">
        <f t="shared" si="4"/>
        <v/>
      </c>
      <c r="H136" t="str">
        <f t="shared" si="5"/>
        <v/>
      </c>
    </row>
    <row r="137" spans="1:8" x14ac:dyDescent="0.25">
      <c r="A137" s="4">
        <v>220</v>
      </c>
      <c r="B137" s="4" t="s">
        <v>309</v>
      </c>
      <c r="C137" t="str">
        <f>VLOOKUP(VALUE(A137),CURRENT,2,FALSE)</f>
        <v>True Entertainment +1</v>
      </c>
      <c r="D137" t="str">
        <f>IF(B137=C137,"","x")</f>
        <v/>
      </c>
      <c r="E137" t="str">
        <f>IFERROR(VLOOKUP(VLOOKUP(VALUE(A137),CURRENT,4,FALSE),NOV,2,FALSE),"")</f>
        <v/>
      </c>
      <c r="F137" t="str">
        <f>IFERROR(VLOOKUP(VLOOKUP(VALUE(A137),CURRENT,5,FALSE),NOV,2,FALSE),"")</f>
        <v/>
      </c>
      <c r="G137" t="str">
        <f t="shared" si="4"/>
        <v/>
      </c>
      <c r="H137" t="str">
        <f t="shared" si="5"/>
        <v/>
      </c>
    </row>
    <row r="138" spans="1:8" x14ac:dyDescent="0.25">
      <c r="A138" s="4">
        <v>222</v>
      </c>
      <c r="B138" s="4" t="s">
        <v>313</v>
      </c>
      <c r="C138" t="str">
        <f>VLOOKUP(VALUE(A138),CURRENT,2,FALSE)</f>
        <v>Crime + Investigation HD</v>
      </c>
      <c r="D138" t="str">
        <f>IF(B138=C138,"","x")</f>
        <v/>
      </c>
      <c r="E138" t="str">
        <f>IFERROR(VLOOKUP(VLOOKUP(VALUE(A138),CURRENT,4,FALSE),NOV,2,FALSE),"")</f>
        <v/>
      </c>
      <c r="F138" t="str">
        <f>IFERROR(VLOOKUP(VLOOKUP(VALUE(A138),CURRENT,5,FALSE),NOV,2,FALSE),"")</f>
        <v>Crime + Investigation +1</v>
      </c>
      <c r="G138" t="str">
        <f t="shared" si="4"/>
        <v/>
      </c>
      <c r="H138">
        <f t="shared" si="5"/>
        <v>1</v>
      </c>
    </row>
    <row r="139" spans="1:8" x14ac:dyDescent="0.25">
      <c r="A139" s="4">
        <v>223</v>
      </c>
      <c r="B139" s="4" t="s">
        <v>121</v>
      </c>
      <c r="C139" t="str">
        <f>VLOOKUP(VALUE(A139),CURRENT,2,FALSE)</f>
        <v>Crime + Investigation</v>
      </c>
      <c r="D139" t="str">
        <f>IF(B139=C139,"","x")</f>
        <v/>
      </c>
      <c r="E139" t="str">
        <f>IFERROR(VLOOKUP(VLOOKUP(VALUE(A139),CURRENT,4,FALSE),NOV,2,FALSE),"")</f>
        <v>Crime + Investigation HD</v>
      </c>
      <c r="F139" t="str">
        <f>IFERROR(VLOOKUP(VLOOKUP(VALUE(A139),CURRENT,5,FALSE),NOV,2,FALSE),"")</f>
        <v>Crime + Investigation +1</v>
      </c>
      <c r="G139">
        <f t="shared" si="4"/>
        <v>1</v>
      </c>
      <c r="H139">
        <f t="shared" si="5"/>
        <v>1</v>
      </c>
    </row>
    <row r="140" spans="1:8" x14ac:dyDescent="0.25">
      <c r="A140" s="4">
        <v>224</v>
      </c>
      <c r="B140" s="4" t="s">
        <v>317</v>
      </c>
      <c r="C140" t="str">
        <f>VLOOKUP(VALUE(A140),CURRENT,2,FALSE)</f>
        <v>Crime + Investigation +1</v>
      </c>
      <c r="D140" t="str">
        <f>IF(B140=C140,"","x")</f>
        <v/>
      </c>
      <c r="E140" t="str">
        <f>IFERROR(VLOOKUP(VLOOKUP(VALUE(A140),CURRENT,4,FALSE),NOV,2,FALSE),"")</f>
        <v/>
      </c>
      <c r="F140" t="str">
        <f>IFERROR(VLOOKUP(VLOOKUP(VALUE(A140),CURRENT,5,FALSE),NOV,2,FALSE),"")</f>
        <v/>
      </c>
      <c r="G140" t="str">
        <f t="shared" si="4"/>
        <v/>
      </c>
      <c r="H140" t="str">
        <f t="shared" si="5"/>
        <v/>
      </c>
    </row>
    <row r="141" spans="1:8" x14ac:dyDescent="0.25">
      <c r="A141" s="4">
        <v>225</v>
      </c>
      <c r="B141" s="4" t="s">
        <v>310</v>
      </c>
      <c r="C141" t="str">
        <f>VLOOKUP(VALUE(A141),CURRENT,2,FALSE)</f>
        <v>Lifetime +1</v>
      </c>
      <c r="D141" t="str">
        <f>IF(B141=C141,"","x")</f>
        <v/>
      </c>
      <c r="E141" t="str">
        <f>IFERROR(VLOOKUP(VLOOKUP(VALUE(A141),CURRENT,4,FALSE),NOV,2,FALSE),"")</f>
        <v/>
      </c>
      <c r="F141" t="str">
        <f>IFERROR(VLOOKUP(VLOOKUP(VALUE(A141),CURRENT,5,FALSE),NOV,2,FALSE),"")</f>
        <v/>
      </c>
      <c r="G141" t="str">
        <f t="shared" si="4"/>
        <v/>
      </c>
      <c r="H141" t="str">
        <f t="shared" si="5"/>
        <v/>
      </c>
    </row>
    <row r="142" spans="1:8" x14ac:dyDescent="0.25">
      <c r="A142" s="4">
        <v>226</v>
      </c>
      <c r="B142" s="4" t="s">
        <v>456</v>
      </c>
      <c r="C142" t="str">
        <f>VLOOKUP(VALUE(A142),CURRENT,2,FALSE)</f>
        <v>Alibi HD</v>
      </c>
      <c r="D142" t="str">
        <f>IF(B142=C142,"","x")</f>
        <v/>
      </c>
      <c r="E142" t="str">
        <f>IFERROR(VLOOKUP(VLOOKUP(VALUE(A142),CURRENT,4,FALSE),NOV,2,FALSE),"")</f>
        <v/>
      </c>
      <c r="F142" t="str">
        <f>IFERROR(VLOOKUP(VLOOKUP(VALUE(A142),CURRENT,5,FALSE),NOV,2,FALSE),"")</f>
        <v>Alibi +1</v>
      </c>
      <c r="G142" t="str">
        <f t="shared" si="4"/>
        <v/>
      </c>
      <c r="H142">
        <f t="shared" si="5"/>
        <v>1</v>
      </c>
    </row>
    <row r="143" spans="1:8" x14ac:dyDescent="0.25">
      <c r="A143" s="4">
        <v>227</v>
      </c>
      <c r="B143" s="4" t="s">
        <v>83</v>
      </c>
      <c r="C143" t="str">
        <f>VLOOKUP(VALUE(A143),CURRENT,2,FALSE)</f>
        <v>Dave HD</v>
      </c>
      <c r="D143" t="str">
        <f>IF(B143=C143,"","x")</f>
        <v/>
      </c>
      <c r="E143" t="str">
        <f>IFERROR(VLOOKUP(VLOOKUP(VALUE(A143),CURRENT,4,FALSE),NOV,2,FALSE),"")</f>
        <v/>
      </c>
      <c r="F143" t="str">
        <f>IFERROR(VLOOKUP(VLOOKUP(VALUE(A143),CURRENT,5,FALSE),NOV,2,FALSE),"")</f>
        <v>Dave ja vu</v>
      </c>
      <c r="G143" t="str">
        <f t="shared" si="4"/>
        <v/>
      </c>
      <c r="H143">
        <f t="shared" si="5"/>
        <v>1</v>
      </c>
    </row>
    <row r="144" spans="1:8" x14ac:dyDescent="0.25">
      <c r="A144" s="4">
        <v>245</v>
      </c>
      <c r="B144" s="4" t="s">
        <v>104</v>
      </c>
      <c r="C144" t="str">
        <f>VLOOKUP(VALUE(A144),CURRENT,2,FALSE)</f>
        <v>Eden</v>
      </c>
      <c r="D144" t="str">
        <f>IF(B144=C144,"","x")</f>
        <v/>
      </c>
      <c r="E144" t="str">
        <f>IFERROR(VLOOKUP(VLOOKUP(VALUE(A144),CURRENT,4,FALSE),NOV,2,FALSE),"")</f>
        <v>Eden HD</v>
      </c>
      <c r="F144" t="str">
        <f>IFERROR(VLOOKUP(VLOOKUP(VALUE(A144),CURRENT,5,FALSE),NOV,2,FALSE),"")</f>
        <v>Eden +1</v>
      </c>
      <c r="G144">
        <f t="shared" si="4"/>
        <v>1</v>
      </c>
      <c r="H144">
        <f t="shared" si="5"/>
        <v>1</v>
      </c>
    </row>
    <row r="145" spans="1:8" x14ac:dyDescent="0.25">
      <c r="A145" s="4">
        <v>246</v>
      </c>
      <c r="B145" s="4" t="s">
        <v>105</v>
      </c>
      <c r="C145" t="str">
        <f>VLOOKUP(VALUE(A145),CURRENT,2,FALSE)</f>
        <v>Eden +1</v>
      </c>
      <c r="D145" t="str">
        <f>IF(B145=C145,"","x")</f>
        <v/>
      </c>
      <c r="E145" t="str">
        <f>IFERROR(VLOOKUP(VLOOKUP(VALUE(A145),CURRENT,4,FALSE),NOV,2,FALSE),"")</f>
        <v/>
      </c>
      <c r="F145" t="str">
        <f>IFERROR(VLOOKUP(VLOOKUP(VALUE(A145),CURRENT,5,FALSE),NOV,2,FALSE),"")</f>
        <v/>
      </c>
      <c r="G145" t="str">
        <f t="shared" si="4"/>
        <v/>
      </c>
      <c r="H145" t="str">
        <f t="shared" si="5"/>
        <v/>
      </c>
    </row>
    <row r="146" spans="1:8" x14ac:dyDescent="0.25">
      <c r="A146" s="4">
        <v>247</v>
      </c>
      <c r="B146" s="4" t="s">
        <v>106</v>
      </c>
      <c r="C146" t="str">
        <f>VLOOKUP(VALUE(A146),CURRENT,2,FALSE)</f>
        <v>Eden HD</v>
      </c>
      <c r="D146" t="str">
        <f>IF(B146=C146,"","x")</f>
        <v/>
      </c>
      <c r="E146" t="str">
        <f>IFERROR(VLOOKUP(VLOOKUP(VALUE(A146),CURRENT,4,FALSE),NOV,2,FALSE),"")</f>
        <v/>
      </c>
      <c r="F146" t="str">
        <f>IFERROR(VLOOKUP(VLOOKUP(VALUE(A146),CURRENT,5,FALSE),NOV,2,FALSE),"")</f>
        <v>Eden +1</v>
      </c>
      <c r="G146" t="str">
        <f t="shared" si="4"/>
        <v/>
      </c>
      <c r="H146">
        <f t="shared" si="5"/>
        <v>1</v>
      </c>
    </row>
    <row r="147" spans="1:8" x14ac:dyDescent="0.25">
      <c r="A147" s="4">
        <v>250</v>
      </c>
      <c r="B147" s="4" t="s">
        <v>525</v>
      </c>
      <c r="C147" t="str">
        <f>VLOOKUP(VALUE(A147),CURRENT,2,FALSE)</f>
        <v>Discovery Channel</v>
      </c>
      <c r="D147" t="str">
        <f>IF(B147=C147,"","x")</f>
        <v/>
      </c>
      <c r="E147" t="str">
        <f>IFERROR(VLOOKUP(VLOOKUP(VALUE(A147),CURRENT,4,FALSE),NOV,2,FALSE),"")</f>
        <v>Discovery HD</v>
      </c>
      <c r="F147" t="str">
        <f>IFERROR(VLOOKUP(VLOOKUP(VALUE(A147),CURRENT,5,FALSE),NOV,2,FALSE),"")</f>
        <v>Discovery Channel +1</v>
      </c>
      <c r="G147">
        <f t="shared" si="4"/>
        <v>1</v>
      </c>
      <c r="H147">
        <f t="shared" si="5"/>
        <v>1</v>
      </c>
    </row>
    <row r="148" spans="1:8" x14ac:dyDescent="0.25">
      <c r="A148" s="4">
        <v>251</v>
      </c>
      <c r="B148" s="4" t="s">
        <v>311</v>
      </c>
      <c r="C148" t="str">
        <f>VLOOKUP(VALUE(A148),CURRENT,2,FALSE)</f>
        <v>Discovery HD</v>
      </c>
      <c r="D148" t="str">
        <f>IF(B148=C148,"","x")</f>
        <v/>
      </c>
      <c r="E148" t="str">
        <f>IFERROR(VLOOKUP(VLOOKUP(VALUE(A148),CURRENT,4,FALSE),NOV,2,FALSE),"")</f>
        <v/>
      </c>
      <c r="F148" t="str">
        <f>IFERROR(VLOOKUP(VLOOKUP(VALUE(A148),CURRENT,5,FALSE),NOV,2,FALSE),"")</f>
        <v>Discovery Channel +1</v>
      </c>
      <c r="G148" t="str">
        <f t="shared" si="4"/>
        <v/>
      </c>
      <c r="H148">
        <f t="shared" si="5"/>
        <v>1</v>
      </c>
    </row>
    <row r="149" spans="1:8" x14ac:dyDescent="0.25">
      <c r="A149" s="4">
        <v>252</v>
      </c>
      <c r="B149" s="4" t="s">
        <v>526</v>
      </c>
      <c r="C149" t="str">
        <f>VLOOKUP(VALUE(A149),CURRENT,2,FALSE)</f>
        <v>Discovery Channel +1</v>
      </c>
      <c r="D149" t="str">
        <f>IF(B149=C149,"","x")</f>
        <v/>
      </c>
      <c r="E149" t="str">
        <f>IFERROR(VLOOKUP(VLOOKUP(VALUE(A149),CURRENT,4,FALSE),NOV,2,FALSE),"")</f>
        <v/>
      </c>
      <c r="F149" t="str">
        <f>IFERROR(VLOOKUP(VLOOKUP(VALUE(A149),CURRENT,5,FALSE),NOV,2,FALSE),"")</f>
        <v/>
      </c>
      <c r="G149" t="str">
        <f t="shared" si="4"/>
        <v/>
      </c>
      <c r="H149" t="str">
        <f t="shared" si="5"/>
        <v/>
      </c>
    </row>
    <row r="150" spans="1:8" x14ac:dyDescent="0.25">
      <c r="A150" s="4">
        <v>256</v>
      </c>
      <c r="B150" s="4" t="s">
        <v>107</v>
      </c>
      <c r="C150" t="str">
        <f>VLOOKUP(VALUE(A150),CURRENT,2,FALSE)</f>
        <v>Animal Planet</v>
      </c>
      <c r="D150" t="str">
        <f>IF(B150=C150,"","x")</f>
        <v/>
      </c>
      <c r="E150" t="str">
        <f>IFERROR(VLOOKUP(VLOOKUP(VALUE(A150),CURRENT,4,FALSE),NOV,2,FALSE),"")</f>
        <v>Animal Planet HD</v>
      </c>
      <c r="F150" t="str">
        <f>IFERROR(VLOOKUP(VLOOKUP(VALUE(A150),CURRENT,5,FALSE),NOV,2,FALSE),"")</f>
        <v>Animal Planet +1</v>
      </c>
      <c r="G150">
        <f t="shared" si="4"/>
        <v>1</v>
      </c>
      <c r="H150">
        <f t="shared" si="5"/>
        <v>1</v>
      </c>
    </row>
    <row r="151" spans="1:8" x14ac:dyDescent="0.25">
      <c r="A151" s="4">
        <v>257</v>
      </c>
      <c r="B151" s="4" t="s">
        <v>108</v>
      </c>
      <c r="C151" t="str">
        <f>VLOOKUP(VALUE(A151),CURRENT,2,FALSE)</f>
        <v>Animal Planet HD</v>
      </c>
      <c r="D151" t="str">
        <f>IF(B151=C151,"","x")</f>
        <v/>
      </c>
      <c r="E151" t="str">
        <f>IFERROR(VLOOKUP(VLOOKUP(VALUE(A151),CURRENT,4,FALSE),NOV,2,FALSE),"")</f>
        <v/>
      </c>
      <c r="F151" t="str">
        <f>IFERROR(VLOOKUP(VLOOKUP(VALUE(A151),CURRENT,5,FALSE),NOV,2,FALSE),"")</f>
        <v/>
      </c>
      <c r="G151" t="str">
        <f t="shared" si="4"/>
        <v/>
      </c>
      <c r="H151" t="str">
        <f t="shared" si="5"/>
        <v/>
      </c>
    </row>
    <row r="152" spans="1:8" x14ac:dyDescent="0.25">
      <c r="A152" s="4">
        <v>258</v>
      </c>
      <c r="B152" s="4" t="s">
        <v>109</v>
      </c>
      <c r="C152" t="str">
        <f>VLOOKUP(VALUE(A152),CURRENT,2,FALSE)</f>
        <v>Animal Planet +1</v>
      </c>
      <c r="D152" t="str">
        <f>IF(B152=C152,"","x")</f>
        <v/>
      </c>
      <c r="E152" t="str">
        <f>IFERROR(VLOOKUP(VLOOKUP(VALUE(A152),CURRENT,4,FALSE),NOV,2,FALSE),"")</f>
        <v/>
      </c>
      <c r="F152" t="str">
        <f>IFERROR(VLOOKUP(VLOOKUP(VALUE(A152),CURRENT,5,FALSE),NOV,2,FALSE),"")</f>
        <v/>
      </c>
      <c r="G152" t="str">
        <f t="shared" si="4"/>
        <v/>
      </c>
      <c r="H152" t="str">
        <f t="shared" si="5"/>
        <v/>
      </c>
    </row>
    <row r="153" spans="1:8" x14ac:dyDescent="0.25">
      <c r="A153" s="4">
        <v>259</v>
      </c>
      <c r="B153" s="4" t="s">
        <v>110</v>
      </c>
      <c r="C153" t="str">
        <f>VLOOKUP(VALUE(A153),CURRENT,2,FALSE)</f>
        <v>Discovery Science</v>
      </c>
      <c r="D153" t="str">
        <f>IF(B153=C153,"","x")</f>
        <v/>
      </c>
      <c r="E153" t="str">
        <f>IFERROR(VLOOKUP(VLOOKUP(VALUE(A153),CURRENT,4,FALSE),NOV,2,FALSE),"")</f>
        <v/>
      </c>
      <c r="F153" t="str">
        <f>IFERROR(VLOOKUP(VLOOKUP(VALUE(A153),CURRENT,5,FALSE),NOV,2,FALSE),"")</f>
        <v>Discovery Science +1</v>
      </c>
      <c r="G153" t="str">
        <f t="shared" si="4"/>
        <v/>
      </c>
      <c r="H153">
        <f t="shared" si="5"/>
        <v>1</v>
      </c>
    </row>
    <row r="154" spans="1:8" x14ac:dyDescent="0.25">
      <c r="A154" s="4">
        <v>260</v>
      </c>
      <c r="B154" s="4" t="s">
        <v>111</v>
      </c>
      <c r="C154" t="str">
        <f>VLOOKUP(VALUE(A154),CURRENT,2,FALSE)</f>
        <v>Discovery Science +1</v>
      </c>
      <c r="D154" t="str">
        <f>IF(B154=C154,"","x")</f>
        <v/>
      </c>
      <c r="E154" t="str">
        <f>IFERROR(VLOOKUP(VLOOKUP(VALUE(A154),CURRENT,4,FALSE),NOV,2,FALSE),"")</f>
        <v/>
      </c>
      <c r="F154" t="str">
        <f>IFERROR(VLOOKUP(VLOOKUP(VALUE(A154),CURRENT,5,FALSE),NOV,2,FALSE),"")</f>
        <v/>
      </c>
      <c r="G154" t="str">
        <f t="shared" si="4"/>
        <v/>
      </c>
      <c r="H154" t="str">
        <f t="shared" si="5"/>
        <v/>
      </c>
    </row>
    <row r="155" spans="1:8" x14ac:dyDescent="0.25">
      <c r="A155" s="4">
        <v>261</v>
      </c>
      <c r="B155" s="4" t="s">
        <v>112</v>
      </c>
      <c r="C155" t="str">
        <f>VLOOKUP(VALUE(A155),CURRENT,2,FALSE)</f>
        <v>Discovery Turbo</v>
      </c>
      <c r="D155" t="str">
        <f>IF(B155=C155,"","x")</f>
        <v/>
      </c>
      <c r="E155" t="str">
        <f>IFERROR(VLOOKUP(VLOOKUP(VALUE(A155),CURRENT,4,FALSE),NOV,2,FALSE),"")</f>
        <v/>
      </c>
      <c r="F155" t="str">
        <f>IFERROR(VLOOKUP(VLOOKUP(VALUE(A155),CURRENT,5,FALSE),NOV,2,FALSE),"")</f>
        <v/>
      </c>
      <c r="G155" t="str">
        <f t="shared" si="4"/>
        <v/>
      </c>
      <c r="H155" t="str">
        <f t="shared" si="5"/>
        <v/>
      </c>
    </row>
    <row r="156" spans="1:8" x14ac:dyDescent="0.25">
      <c r="A156" s="4">
        <v>262</v>
      </c>
      <c r="B156" s="4" t="s">
        <v>113</v>
      </c>
      <c r="C156" t="str">
        <f>VLOOKUP(VALUE(A156),CURRENT,2,FALSE)</f>
        <v>Discovery History</v>
      </c>
      <c r="D156" t="str">
        <f>IF(B156=C156,"","x")</f>
        <v/>
      </c>
      <c r="E156" t="str">
        <f>IFERROR(VLOOKUP(VLOOKUP(VALUE(A156),CURRENT,4,FALSE),NOV,2,FALSE),"")</f>
        <v/>
      </c>
      <c r="F156" t="str">
        <f>IFERROR(VLOOKUP(VLOOKUP(VALUE(A156),CURRENT,5,FALSE),NOV,2,FALSE),"")</f>
        <v>Discovery History +1</v>
      </c>
      <c r="G156" t="str">
        <f t="shared" si="4"/>
        <v/>
      </c>
      <c r="H156">
        <f t="shared" si="5"/>
        <v>1</v>
      </c>
    </row>
    <row r="157" spans="1:8" x14ac:dyDescent="0.25">
      <c r="A157" s="4">
        <v>263</v>
      </c>
      <c r="B157" s="4" t="s">
        <v>114</v>
      </c>
      <c r="C157" t="str">
        <f>VLOOKUP(VALUE(A157),CURRENT,2,FALSE)</f>
        <v>Discovery History +1</v>
      </c>
      <c r="D157" t="str">
        <f>IF(B157=C157,"","x")</f>
        <v/>
      </c>
      <c r="E157" t="str">
        <f>IFERROR(VLOOKUP(VLOOKUP(VALUE(A157),CURRENT,4,FALSE),NOV,2,FALSE),"")</f>
        <v/>
      </c>
      <c r="F157" t="str">
        <f>IFERROR(VLOOKUP(VLOOKUP(VALUE(A157),CURRENT,5,FALSE),NOV,2,FALSE),"")</f>
        <v/>
      </c>
      <c r="G157" t="str">
        <f t="shared" si="4"/>
        <v/>
      </c>
      <c r="H157" t="str">
        <f t="shared" si="5"/>
        <v/>
      </c>
    </row>
    <row r="158" spans="1:8" x14ac:dyDescent="0.25">
      <c r="A158" s="4">
        <v>264</v>
      </c>
      <c r="B158" s="4" t="s">
        <v>115</v>
      </c>
      <c r="C158" t="str">
        <f>VLOOKUP(VALUE(A158),CURRENT,2,FALSE)</f>
        <v>Nat Geo Wild</v>
      </c>
      <c r="D158" t="str">
        <f>IF(B158=C158,"","x")</f>
        <v/>
      </c>
      <c r="E158" t="str">
        <f>IFERROR(VLOOKUP(VLOOKUP(VALUE(A158),CURRENT,4,FALSE),NOV,2,FALSE),"")</f>
        <v>Nat Geo Wild HD</v>
      </c>
      <c r="F158" t="str">
        <f>IFERROR(VLOOKUP(VLOOKUP(VALUE(A158),CURRENT,5,FALSE),NOV,2,FALSE),"")</f>
        <v/>
      </c>
      <c r="G158">
        <f t="shared" si="4"/>
        <v>1</v>
      </c>
      <c r="H158" t="str">
        <f t="shared" si="5"/>
        <v/>
      </c>
    </row>
    <row r="159" spans="1:8" x14ac:dyDescent="0.25">
      <c r="A159" s="4">
        <v>265</v>
      </c>
      <c r="B159" s="4" t="s">
        <v>116</v>
      </c>
      <c r="C159" t="str">
        <f>VLOOKUP(VALUE(A159),CURRENT,2,FALSE)</f>
        <v>Nat Geo Wild HD</v>
      </c>
      <c r="D159" t="str">
        <f>IF(B159=C159,"","x")</f>
        <v/>
      </c>
      <c r="E159" t="str">
        <f>IFERROR(VLOOKUP(VLOOKUP(VALUE(A159),CURRENT,4,FALSE),NOV,2,FALSE),"")</f>
        <v/>
      </c>
      <c r="F159" t="str">
        <f>IFERROR(VLOOKUP(VLOOKUP(VALUE(A159),CURRENT,5,FALSE),NOV,2,FALSE),"")</f>
        <v/>
      </c>
      <c r="G159" t="str">
        <f t="shared" si="4"/>
        <v/>
      </c>
      <c r="H159" t="str">
        <f t="shared" si="5"/>
        <v/>
      </c>
    </row>
    <row r="160" spans="1:8" x14ac:dyDescent="0.25">
      <c r="A160" s="4">
        <v>266</v>
      </c>
      <c r="B160" s="4" t="s">
        <v>531</v>
      </c>
      <c r="C160" t="str">
        <f>VLOOKUP(VALUE(A160),CURRENT,2,FALSE)</f>
        <v>National Geographic Channel</v>
      </c>
      <c r="D160" t="str">
        <f>IF(B160=C160,"","x")</f>
        <v/>
      </c>
      <c r="E160" t="str">
        <f>IFERROR(VLOOKUP(VLOOKUP(VALUE(A160),CURRENT,4,FALSE),NOV,2,FALSE),"")</f>
        <v>National Geographic Channel HD</v>
      </c>
      <c r="F160" t="str">
        <f>IFERROR(VLOOKUP(VLOOKUP(VALUE(A160),CURRENT,5,FALSE),NOV,2,FALSE),"")</f>
        <v>National Geographic Channel +1</v>
      </c>
      <c r="G160">
        <f t="shared" si="4"/>
        <v>1</v>
      </c>
      <c r="H160">
        <f t="shared" si="5"/>
        <v>1</v>
      </c>
    </row>
    <row r="161" spans="1:8" x14ac:dyDescent="0.25">
      <c r="A161" s="4">
        <v>267</v>
      </c>
      <c r="B161" s="4" t="s">
        <v>532</v>
      </c>
      <c r="C161" t="str">
        <f>VLOOKUP(VALUE(A161),CURRENT,2,FALSE)</f>
        <v>National Geographic Channel +1</v>
      </c>
      <c r="D161" t="str">
        <f>IF(B161=C161,"","x")</f>
        <v/>
      </c>
      <c r="E161" t="str">
        <f>IFERROR(VLOOKUP(VLOOKUP(VALUE(A161),CURRENT,4,FALSE),NOV,2,FALSE),"")</f>
        <v/>
      </c>
      <c r="F161" t="str">
        <f>IFERROR(VLOOKUP(VLOOKUP(VALUE(A161),CURRENT,5,FALSE),NOV,2,FALSE),"")</f>
        <v/>
      </c>
      <c r="G161" t="str">
        <f t="shared" si="4"/>
        <v/>
      </c>
      <c r="H161" t="str">
        <f t="shared" si="5"/>
        <v/>
      </c>
    </row>
    <row r="162" spans="1:8" x14ac:dyDescent="0.25">
      <c r="A162" s="4">
        <v>268</v>
      </c>
      <c r="B162" s="4" t="s">
        <v>534</v>
      </c>
      <c r="C162" t="str">
        <f>VLOOKUP(VALUE(A162),CURRENT,2,FALSE)</f>
        <v>National Geographic Channel HD</v>
      </c>
      <c r="D162" t="str">
        <f>IF(B162=C162,"","x")</f>
        <v/>
      </c>
      <c r="E162" t="str">
        <f>IFERROR(VLOOKUP(VLOOKUP(VALUE(A162),CURRENT,4,FALSE),NOV,2,FALSE),"")</f>
        <v/>
      </c>
      <c r="F162" t="str">
        <f>IFERROR(VLOOKUP(VLOOKUP(VALUE(A162),CURRENT,5,FALSE),NOV,2,FALSE),"")</f>
        <v/>
      </c>
      <c r="G162" t="str">
        <f t="shared" si="4"/>
        <v/>
      </c>
      <c r="H162" t="str">
        <f t="shared" si="5"/>
        <v/>
      </c>
    </row>
    <row r="163" spans="1:8" x14ac:dyDescent="0.25">
      <c r="A163" s="4">
        <v>269</v>
      </c>
      <c r="B163" s="4" t="s">
        <v>312</v>
      </c>
      <c r="C163" t="str">
        <f>VLOOKUP(VALUE(A163),CURRENT,2,FALSE)</f>
        <v>Together</v>
      </c>
      <c r="D163" t="str">
        <f>IF(B163=C163,"","x")</f>
        <v/>
      </c>
      <c r="E163" t="str">
        <f>IFERROR(VLOOKUP(VLOOKUP(VALUE(A163),CURRENT,4,FALSE),NOV,2,FALSE),"")</f>
        <v/>
      </c>
      <c r="F163" t="str">
        <f>IFERROR(VLOOKUP(VLOOKUP(VALUE(A163),CURRENT,5,FALSE),NOV,2,FALSE),"")</f>
        <v/>
      </c>
      <c r="G163" t="str">
        <f t="shared" si="4"/>
        <v/>
      </c>
      <c r="H163" t="str">
        <f t="shared" si="5"/>
        <v/>
      </c>
    </row>
    <row r="164" spans="1:8" x14ac:dyDescent="0.25">
      <c r="A164" s="4">
        <v>270</v>
      </c>
      <c r="B164" s="4" t="s">
        <v>117</v>
      </c>
      <c r="C164" t="str">
        <f>VLOOKUP(VALUE(A164),CURRENT,2,FALSE)</f>
        <v>History</v>
      </c>
      <c r="D164" t="str">
        <f>IF(B164=C164,"","x")</f>
        <v/>
      </c>
      <c r="E164" t="str">
        <f>IFERROR(VLOOKUP(VLOOKUP(VALUE(A164),CURRENT,4,FALSE),NOV,2,FALSE),"")</f>
        <v>History HD</v>
      </c>
      <c r="F164" t="str">
        <f>IFERROR(VLOOKUP(VLOOKUP(VALUE(A164),CURRENT,5,FALSE),NOV,2,FALSE),"")</f>
        <v>History +1</v>
      </c>
      <c r="G164">
        <f t="shared" si="4"/>
        <v>1</v>
      </c>
      <c r="H164">
        <f t="shared" si="5"/>
        <v>1</v>
      </c>
    </row>
    <row r="165" spans="1:8" x14ac:dyDescent="0.25">
      <c r="A165" s="4">
        <v>271</v>
      </c>
      <c r="B165" s="4" t="s">
        <v>118</v>
      </c>
      <c r="C165" t="str">
        <f>VLOOKUP(VALUE(A165),CURRENT,2,FALSE)</f>
        <v>History +1</v>
      </c>
      <c r="D165" t="str">
        <f>IF(B165=C165,"","x")</f>
        <v/>
      </c>
      <c r="E165" t="str">
        <f>IFERROR(VLOOKUP(VLOOKUP(VALUE(A165),CURRENT,4,FALSE),NOV,2,FALSE),"")</f>
        <v/>
      </c>
      <c r="F165" t="str">
        <f>IFERROR(VLOOKUP(VLOOKUP(VALUE(A165),CURRENT,5,FALSE),NOV,2,FALSE),"")</f>
        <v/>
      </c>
      <c r="G165" t="str">
        <f t="shared" si="4"/>
        <v/>
      </c>
      <c r="H165" t="str">
        <f t="shared" si="5"/>
        <v/>
      </c>
    </row>
    <row r="166" spans="1:8" x14ac:dyDescent="0.25">
      <c r="A166" s="4">
        <v>272</v>
      </c>
      <c r="B166" s="4" t="s">
        <v>313</v>
      </c>
      <c r="C166" t="str">
        <f>VLOOKUP(VALUE(A166),CURRENT,2,FALSE)</f>
        <v>Crime + Investigation HD</v>
      </c>
      <c r="D166" t="str">
        <f>IF(B166=C166,"","x")</f>
        <v/>
      </c>
      <c r="E166" t="str">
        <f>IFERROR(VLOOKUP(VLOOKUP(VALUE(A166),CURRENT,4,FALSE),NOV,2,FALSE),"")</f>
        <v/>
      </c>
      <c r="F166" t="str">
        <f>IFERROR(VLOOKUP(VLOOKUP(VALUE(A166),CURRENT,5,FALSE),NOV,2,FALSE),"")</f>
        <v>Crime + Investigation +1</v>
      </c>
      <c r="G166" t="str">
        <f t="shared" si="4"/>
        <v/>
      </c>
      <c r="H166">
        <f t="shared" si="5"/>
        <v>1</v>
      </c>
    </row>
    <row r="167" spans="1:8" x14ac:dyDescent="0.25">
      <c r="A167" s="4">
        <v>273</v>
      </c>
      <c r="B167" s="4" t="s">
        <v>119</v>
      </c>
      <c r="C167" t="str">
        <f>VLOOKUP(VALUE(A167),CURRENT,2,FALSE)</f>
        <v>H2</v>
      </c>
      <c r="D167" t="str">
        <f>IF(B167=C167,"","x")</f>
        <v/>
      </c>
      <c r="E167" t="str">
        <f>IFERROR(VLOOKUP(VLOOKUP(VALUE(A167),CURRENT,4,FALSE),NOV,2,FALSE),"")</f>
        <v>H2 HD</v>
      </c>
      <c r="F167" t="str">
        <f>IFERROR(VLOOKUP(VLOOKUP(VALUE(A167),CURRENT,5,FALSE),NOV,2,FALSE),"")</f>
        <v/>
      </c>
      <c r="G167">
        <f t="shared" si="4"/>
        <v>1</v>
      </c>
      <c r="H167" t="str">
        <f t="shared" si="5"/>
        <v/>
      </c>
    </row>
    <row r="168" spans="1:8" x14ac:dyDescent="0.25">
      <c r="A168" s="4">
        <v>274</v>
      </c>
      <c r="B168" s="4" t="s">
        <v>120</v>
      </c>
      <c r="C168" t="str">
        <f>VLOOKUP(VALUE(A168),CURRENT,2,FALSE)</f>
        <v>H2 HD</v>
      </c>
      <c r="D168" t="str">
        <f>IF(B168=C168,"","x")</f>
        <v/>
      </c>
      <c r="E168" t="str">
        <f>IFERROR(VLOOKUP(VLOOKUP(VALUE(A168),CURRENT,4,FALSE),NOV,2,FALSE),"")</f>
        <v/>
      </c>
      <c r="F168" t="str">
        <f>IFERROR(VLOOKUP(VLOOKUP(VALUE(A168),CURRENT,5,FALSE),NOV,2,FALSE),"")</f>
        <v/>
      </c>
      <c r="G168" t="str">
        <f t="shared" si="4"/>
        <v/>
      </c>
      <c r="H168" t="str">
        <f t="shared" si="5"/>
        <v/>
      </c>
    </row>
    <row r="169" spans="1:8" x14ac:dyDescent="0.25">
      <c r="A169" s="4">
        <v>275</v>
      </c>
      <c r="B169" s="4" t="s">
        <v>121</v>
      </c>
      <c r="C169" t="str">
        <f>VLOOKUP(VALUE(A169),CURRENT,2,FALSE)</f>
        <v>Crime + Investigation</v>
      </c>
      <c r="D169" t="str">
        <f>IF(B169=C169,"","x")</f>
        <v/>
      </c>
      <c r="E169" t="str">
        <f>IFERROR(VLOOKUP(VLOOKUP(VALUE(A169),CURRENT,4,FALSE),NOV,2,FALSE),"")</f>
        <v>Crime + Investigation HD</v>
      </c>
      <c r="F169" t="str">
        <f>IFERROR(VLOOKUP(VLOOKUP(VALUE(A169),CURRENT,5,FALSE),NOV,2,FALSE),"")</f>
        <v>Crime + Investigation +1</v>
      </c>
      <c r="G169">
        <f t="shared" si="4"/>
        <v>1</v>
      </c>
      <c r="H169">
        <f t="shared" si="5"/>
        <v>1</v>
      </c>
    </row>
    <row r="170" spans="1:8" x14ac:dyDescent="0.25">
      <c r="A170" s="4">
        <v>276</v>
      </c>
      <c r="B170" s="4" t="s">
        <v>122</v>
      </c>
      <c r="C170" t="str">
        <f>VLOOKUP(VALUE(A170),CURRENT,2,FALSE)</f>
        <v>PBS America</v>
      </c>
      <c r="D170" t="str">
        <f>IF(B170=C170,"","x")</f>
        <v/>
      </c>
      <c r="E170" t="str">
        <f>IFERROR(VLOOKUP(VLOOKUP(VALUE(A170),CURRENT,4,FALSE),NOV,2,FALSE),"")</f>
        <v/>
      </c>
      <c r="F170" t="str">
        <f>IFERROR(VLOOKUP(VLOOKUP(VALUE(A170),CURRENT,5,FALSE),NOV,2,FALSE),"")</f>
        <v/>
      </c>
      <c r="G170" t="str">
        <f t="shared" si="4"/>
        <v/>
      </c>
      <c r="H170" t="str">
        <f t="shared" si="5"/>
        <v/>
      </c>
    </row>
    <row r="171" spans="1:8" x14ac:dyDescent="0.25">
      <c r="A171" s="4">
        <v>277</v>
      </c>
      <c r="B171" s="4" t="s">
        <v>123</v>
      </c>
      <c r="C171" t="str">
        <f>VLOOKUP(VALUE(A171),CURRENT,2,FALSE)</f>
        <v>Forces TV</v>
      </c>
      <c r="D171" t="str">
        <f>IF(B171=C171,"","x")</f>
        <v/>
      </c>
      <c r="E171" t="str">
        <f>IFERROR(VLOOKUP(VLOOKUP(VALUE(A171),CURRENT,4,FALSE),NOV,2,FALSE),"")</f>
        <v/>
      </c>
      <c r="F171" t="str">
        <f>IFERROR(VLOOKUP(VLOOKUP(VALUE(A171),CURRENT,5,FALSE),NOV,2,FALSE),"")</f>
        <v/>
      </c>
      <c r="G171" t="str">
        <f t="shared" si="4"/>
        <v/>
      </c>
      <c r="H171" t="str">
        <f t="shared" si="5"/>
        <v/>
      </c>
    </row>
    <row r="172" spans="1:8" x14ac:dyDescent="0.25">
      <c r="A172" s="4">
        <v>278</v>
      </c>
      <c r="B172" s="4" t="s">
        <v>124</v>
      </c>
      <c r="C172" t="str">
        <f>VLOOKUP(VALUE(A172),CURRENT,2,FALSE)</f>
        <v>Good Food</v>
      </c>
      <c r="D172" t="str">
        <f>IF(B172=C172,"","x")</f>
        <v/>
      </c>
      <c r="E172" t="str">
        <f>IFERROR(VLOOKUP(VLOOKUP(VALUE(A172),CURRENT,4,FALSE),NOV,2,FALSE),"")</f>
        <v>Good Food HD</v>
      </c>
      <c r="F172" t="str">
        <f>IFERROR(VLOOKUP(VLOOKUP(VALUE(A172),CURRENT,5,FALSE),NOV,2,FALSE),"")</f>
        <v>Good Food +1</v>
      </c>
      <c r="G172">
        <f t="shared" si="4"/>
        <v>1</v>
      </c>
      <c r="H172">
        <f t="shared" si="5"/>
        <v>1</v>
      </c>
    </row>
    <row r="173" spans="1:8" x14ac:dyDescent="0.25">
      <c r="A173" s="4">
        <v>279</v>
      </c>
      <c r="B173" s="4" t="s">
        <v>126</v>
      </c>
      <c r="C173" t="str">
        <f>VLOOKUP(VALUE(A173),CURRENT,2,FALSE)</f>
        <v>Good Food HD</v>
      </c>
      <c r="D173" t="str">
        <f>IF(B173=C173,"","x")</f>
        <v/>
      </c>
      <c r="E173" t="str">
        <f>IFERROR(VLOOKUP(VLOOKUP(VALUE(A173),CURRENT,4,FALSE),NOV,2,FALSE),"")</f>
        <v/>
      </c>
      <c r="F173" t="str">
        <f>IFERROR(VLOOKUP(VLOOKUP(VALUE(A173),CURRENT,5,FALSE),NOV,2,FALSE),"")</f>
        <v/>
      </c>
      <c r="G173" t="str">
        <f t="shared" si="4"/>
        <v/>
      </c>
      <c r="H173" t="str">
        <f t="shared" si="5"/>
        <v/>
      </c>
    </row>
    <row r="174" spans="1:8" x14ac:dyDescent="0.25">
      <c r="A174" s="4">
        <v>280</v>
      </c>
      <c r="B174" s="4" t="s">
        <v>125</v>
      </c>
      <c r="C174" t="str">
        <f>VLOOKUP(VALUE(A174),CURRENT,2,FALSE)</f>
        <v>Good Food +1</v>
      </c>
      <c r="D174" t="str">
        <f>IF(B174=C174,"","x")</f>
        <v/>
      </c>
      <c r="E174" t="str">
        <f>IFERROR(VLOOKUP(VLOOKUP(VALUE(A174),CURRENT,4,FALSE),NOV,2,FALSE),"")</f>
        <v/>
      </c>
      <c r="F174" t="str">
        <f>IFERROR(VLOOKUP(VLOOKUP(VALUE(A174),CURRENT,5,FALSE),NOV,2,FALSE),"")</f>
        <v/>
      </c>
      <c r="G174" t="str">
        <f t="shared" si="4"/>
        <v/>
      </c>
      <c r="H174" t="str">
        <f t="shared" si="5"/>
        <v/>
      </c>
    </row>
    <row r="175" spans="1:8" x14ac:dyDescent="0.25">
      <c r="A175" s="4">
        <v>281</v>
      </c>
      <c r="B175" s="4" t="s">
        <v>127</v>
      </c>
      <c r="C175" t="str">
        <f>VLOOKUP(VALUE(A175),CURRENT,2,FALSE)</f>
        <v>Home</v>
      </c>
      <c r="D175" t="str">
        <f>IF(B175=C175,"","x")</f>
        <v/>
      </c>
      <c r="E175" t="str">
        <f>IFERROR(VLOOKUP(VLOOKUP(VALUE(A175),CURRENT,4,FALSE),NOV,2,FALSE),"")</f>
        <v/>
      </c>
      <c r="F175" t="str">
        <f>IFERROR(VLOOKUP(VLOOKUP(VALUE(A175),CURRENT,5,FALSE),NOV,2,FALSE),"")</f>
        <v>Home +1</v>
      </c>
      <c r="G175" t="str">
        <f t="shared" si="4"/>
        <v/>
      </c>
      <c r="H175">
        <f t="shared" si="5"/>
        <v>1</v>
      </c>
    </row>
    <row r="176" spans="1:8" x14ac:dyDescent="0.25">
      <c r="A176" s="4">
        <v>282</v>
      </c>
      <c r="B176" s="4" t="s">
        <v>128</v>
      </c>
      <c r="C176" t="str">
        <f>VLOOKUP(VALUE(A176),CURRENT,2,FALSE)</f>
        <v>Home +1</v>
      </c>
      <c r="D176" t="str">
        <f>IF(B176=C176,"","x")</f>
        <v/>
      </c>
      <c r="E176" t="str">
        <f>IFERROR(VLOOKUP(VLOOKUP(VALUE(A176),CURRENT,4,FALSE),NOV,2,FALSE),"")</f>
        <v/>
      </c>
      <c r="F176" t="str">
        <f>IFERROR(VLOOKUP(VLOOKUP(VALUE(A176),CURRENT,5,FALSE),NOV,2,FALSE),"")</f>
        <v/>
      </c>
      <c r="G176" t="str">
        <f t="shared" si="4"/>
        <v/>
      </c>
      <c r="H176" t="str">
        <f t="shared" si="5"/>
        <v/>
      </c>
    </row>
    <row r="177" spans="1:8" x14ac:dyDescent="0.25">
      <c r="A177" s="4">
        <v>284</v>
      </c>
      <c r="B177" s="4" t="s">
        <v>129</v>
      </c>
      <c r="C177" t="str">
        <f>VLOOKUP(VALUE(A177),CURRENT,2,FALSE)</f>
        <v>Discovery Home &amp; Health</v>
      </c>
      <c r="D177" t="str">
        <f>IF(B177=C177,"","x")</f>
        <v/>
      </c>
      <c r="E177" t="str">
        <f>IFERROR(VLOOKUP(VLOOKUP(VALUE(A177),CURRENT,4,FALSE),NOV,2,FALSE),"")</f>
        <v/>
      </c>
      <c r="F177" t="str">
        <f>IFERROR(VLOOKUP(VLOOKUP(VALUE(A177),CURRENT,5,FALSE),NOV,2,FALSE),"")</f>
        <v>Discovery Home &amp; Health +1</v>
      </c>
      <c r="G177" t="str">
        <f t="shared" si="4"/>
        <v/>
      </c>
      <c r="H177">
        <f t="shared" si="5"/>
        <v>1</v>
      </c>
    </row>
    <row r="178" spans="1:8" x14ac:dyDescent="0.25">
      <c r="A178" s="4">
        <v>285</v>
      </c>
      <c r="B178" s="4" t="s">
        <v>130</v>
      </c>
      <c r="C178" t="str">
        <f>VLOOKUP(VALUE(A178),CURRENT,2,FALSE)</f>
        <v>Discovery Home &amp; Health +1</v>
      </c>
      <c r="D178" t="str">
        <f>IF(B178=C178,"","x")</f>
        <v/>
      </c>
      <c r="E178" t="str">
        <f>IFERROR(VLOOKUP(VLOOKUP(VALUE(A178),CURRENT,4,FALSE),NOV,2,FALSE),"")</f>
        <v/>
      </c>
      <c r="F178" t="str">
        <f>IFERROR(VLOOKUP(VLOOKUP(VALUE(A178),CURRENT,5,FALSE),NOV,2,FALSE),"")</f>
        <v/>
      </c>
      <c r="G178" t="str">
        <f t="shared" si="4"/>
        <v/>
      </c>
      <c r="H178" t="str">
        <f t="shared" si="5"/>
        <v/>
      </c>
    </row>
    <row r="179" spans="1:8" x14ac:dyDescent="0.25">
      <c r="A179" s="4">
        <v>286</v>
      </c>
      <c r="B179" s="4" t="s">
        <v>131</v>
      </c>
      <c r="C179" t="str">
        <f>VLOOKUP(VALUE(A179),CURRENT,2,FALSE)</f>
        <v>Discovery Shed</v>
      </c>
      <c r="D179" t="str">
        <f>IF(B179=C179,"","x")</f>
        <v/>
      </c>
      <c r="E179" t="str">
        <f>IFERROR(VLOOKUP(VLOOKUP(VALUE(A179),CURRENT,4,FALSE),NOV,2,FALSE),"")</f>
        <v/>
      </c>
      <c r="F179" t="str">
        <f>IFERROR(VLOOKUP(VLOOKUP(VALUE(A179),CURRENT,5,FALSE),NOV,2,FALSE),"")</f>
        <v/>
      </c>
      <c r="G179" t="str">
        <f t="shared" si="4"/>
        <v/>
      </c>
      <c r="H179" t="str">
        <f t="shared" si="5"/>
        <v/>
      </c>
    </row>
    <row r="180" spans="1:8" x14ac:dyDescent="0.25">
      <c r="A180" s="4">
        <v>287</v>
      </c>
      <c r="B180" s="4" t="s">
        <v>314</v>
      </c>
      <c r="C180" t="str">
        <f>VLOOKUP(VALUE(A180),CURRENT,2,FALSE)</f>
        <v>GOD Channel</v>
      </c>
      <c r="D180" t="str">
        <f>IF(B180=C180,"","x")</f>
        <v/>
      </c>
      <c r="E180" t="str">
        <f>IFERROR(VLOOKUP(VLOOKUP(VALUE(A180),CURRENT,4,FALSE),NOV,2,FALSE),"")</f>
        <v/>
      </c>
      <c r="F180" t="str">
        <f>IFERROR(VLOOKUP(VLOOKUP(VALUE(A180),CURRENT,5,FALSE),NOV,2,FALSE),"")</f>
        <v/>
      </c>
      <c r="G180" t="str">
        <f t="shared" si="4"/>
        <v/>
      </c>
      <c r="H180" t="str">
        <f t="shared" si="5"/>
        <v/>
      </c>
    </row>
    <row r="181" spans="1:8" x14ac:dyDescent="0.25">
      <c r="A181" s="4">
        <v>291</v>
      </c>
      <c r="B181" s="4" t="s">
        <v>133</v>
      </c>
      <c r="C181" t="str">
        <f>VLOOKUP(VALUE(A181),CURRENT,2,FALSE)</f>
        <v>Food Network</v>
      </c>
      <c r="D181" t="str">
        <f>IF(B181=C181,"","x")</f>
        <v/>
      </c>
      <c r="E181" t="str">
        <f>IFERROR(VLOOKUP(VLOOKUP(VALUE(A181),CURRENT,4,FALSE),NOV,2,FALSE),"")</f>
        <v/>
      </c>
      <c r="F181" t="str">
        <f>IFERROR(VLOOKUP(VLOOKUP(VALUE(A181),CURRENT,5,FALSE),NOV,2,FALSE),"")</f>
        <v/>
      </c>
      <c r="G181" t="str">
        <f t="shared" si="4"/>
        <v/>
      </c>
      <c r="H181" t="str">
        <f t="shared" si="5"/>
        <v/>
      </c>
    </row>
    <row r="182" spans="1:8" x14ac:dyDescent="0.25">
      <c r="A182" s="4">
        <v>292</v>
      </c>
      <c r="B182" s="4" t="s">
        <v>134</v>
      </c>
      <c r="C182" t="str">
        <f>VLOOKUP(VALUE(A182),CURRENT,2,FALSE)</f>
        <v>Travel Channel</v>
      </c>
      <c r="D182" t="str">
        <f>IF(B182=C182,"","x")</f>
        <v/>
      </c>
      <c r="E182" t="str">
        <f>IFERROR(VLOOKUP(VLOOKUP(VALUE(A182),CURRENT,4,FALSE),NOV,2,FALSE),"")</f>
        <v/>
      </c>
      <c r="F182" t="str">
        <f>IFERROR(VLOOKUP(VLOOKUP(VALUE(A182),CURRENT,5,FALSE),NOV,2,FALSE),"")</f>
        <v/>
      </c>
      <c r="G182" t="str">
        <f t="shared" si="4"/>
        <v/>
      </c>
      <c r="H182" t="str">
        <f t="shared" si="5"/>
        <v/>
      </c>
    </row>
    <row r="183" spans="1:8" x14ac:dyDescent="0.25">
      <c r="A183" s="4">
        <v>293</v>
      </c>
      <c r="B183" s="4" t="s">
        <v>315</v>
      </c>
      <c r="C183" t="str">
        <f>VLOOKUP(VALUE(A183),CURRENT,2,FALSE)</f>
        <v>Love Nature HD</v>
      </c>
      <c r="D183" t="str">
        <f>IF(B183=C183,"","x")</f>
        <v/>
      </c>
      <c r="E183" t="str">
        <f>IFERROR(VLOOKUP(VLOOKUP(VALUE(A183),CURRENT,4,FALSE),NOV,2,FALSE),"")</f>
        <v/>
      </c>
      <c r="F183" t="str">
        <f>IFERROR(VLOOKUP(VLOOKUP(VALUE(A183),CURRENT,5,FALSE),NOV,2,FALSE),"")</f>
        <v/>
      </c>
      <c r="G183" t="str">
        <f t="shared" si="4"/>
        <v/>
      </c>
      <c r="H183" t="str">
        <f t="shared" si="5"/>
        <v/>
      </c>
    </row>
    <row r="184" spans="1:8" x14ac:dyDescent="0.25">
      <c r="A184" s="4">
        <v>294</v>
      </c>
      <c r="B184" s="4" t="s">
        <v>316</v>
      </c>
      <c r="C184" t="str">
        <f>VLOOKUP(VALUE(A184),CURRENT,2,FALSE)</f>
        <v>Love Nature</v>
      </c>
      <c r="D184" t="str">
        <f>IF(B184=C184,"","x")</f>
        <v/>
      </c>
      <c r="E184" t="str">
        <f>IFERROR(VLOOKUP(VLOOKUP(VALUE(A184),CURRENT,4,FALSE),NOV,2,FALSE),"")</f>
        <v>Love Nature HD</v>
      </c>
      <c r="F184" t="str">
        <f>IFERROR(VLOOKUP(VLOOKUP(VALUE(A184),CURRENT,5,FALSE),NOV,2,FALSE),"")</f>
        <v/>
      </c>
      <c r="G184">
        <f t="shared" si="4"/>
        <v>1</v>
      </c>
      <c r="H184" t="str">
        <f t="shared" si="5"/>
        <v/>
      </c>
    </row>
    <row r="185" spans="1:8" x14ac:dyDescent="0.25">
      <c r="A185" s="4">
        <v>295</v>
      </c>
      <c r="B185" s="4" t="s">
        <v>317</v>
      </c>
      <c r="C185" t="str">
        <f>VLOOKUP(VALUE(A185),CURRENT,2,FALSE)</f>
        <v>Crime + Investigation +1</v>
      </c>
      <c r="D185" t="str">
        <f>IF(B185=C185,"","x")</f>
        <v/>
      </c>
      <c r="E185" t="str">
        <f>IFERROR(VLOOKUP(VLOOKUP(VALUE(A185),CURRENT,4,FALSE),NOV,2,FALSE),"")</f>
        <v/>
      </c>
      <c r="F185" t="str">
        <f>IFERROR(VLOOKUP(VLOOKUP(VALUE(A185),CURRENT,5,FALSE),NOV,2,FALSE),"")</f>
        <v/>
      </c>
      <c r="G185" t="str">
        <f t="shared" si="4"/>
        <v/>
      </c>
      <c r="H185" t="str">
        <f t="shared" si="5"/>
        <v/>
      </c>
    </row>
    <row r="186" spans="1:8" x14ac:dyDescent="0.25">
      <c r="A186" s="4">
        <v>298</v>
      </c>
      <c r="B186" s="4" t="s">
        <v>318</v>
      </c>
      <c r="C186" t="str">
        <f>VLOOKUP(VALUE(A186),CURRENT,2,FALSE)</f>
        <v>Horse &amp; Country</v>
      </c>
      <c r="D186" t="str">
        <f>IF(B186=C186,"","x")</f>
        <v/>
      </c>
      <c r="E186" t="str">
        <f>IFERROR(VLOOKUP(VLOOKUP(VALUE(A186),CURRENT,4,FALSE),NOV,2,FALSE),"")</f>
        <v/>
      </c>
      <c r="F186" t="str">
        <f>IFERROR(VLOOKUP(VLOOKUP(VALUE(A186),CURRENT,5,FALSE),NOV,2,FALSE),"")</f>
        <v/>
      </c>
      <c r="G186" t="str">
        <f t="shared" si="4"/>
        <v/>
      </c>
      <c r="H186" t="str">
        <f t="shared" si="5"/>
        <v/>
      </c>
    </row>
    <row r="187" spans="1:8" x14ac:dyDescent="0.25">
      <c r="A187" s="4">
        <v>299</v>
      </c>
      <c r="B187" s="4" t="s">
        <v>362</v>
      </c>
      <c r="C187" t="str">
        <f>VLOOKUP(VALUE(A187),CURRENT,2,FALSE)</f>
        <v>History HD</v>
      </c>
      <c r="D187" t="str">
        <f>IF(B187=C187,"","x")</f>
        <v/>
      </c>
      <c r="E187" t="str">
        <f>IFERROR(VLOOKUP(VLOOKUP(VALUE(A187),CURRENT,4,FALSE),NOV,2,FALSE),"")</f>
        <v/>
      </c>
      <c r="F187" t="str">
        <f>IFERROR(VLOOKUP(VLOOKUP(VALUE(A187),CURRENT,5,FALSE),NOV,2,FALSE),"")</f>
        <v/>
      </c>
      <c r="G187" t="str">
        <f t="shared" si="4"/>
        <v/>
      </c>
      <c r="H187" t="str">
        <f t="shared" si="5"/>
        <v/>
      </c>
    </row>
    <row r="188" spans="1:8" x14ac:dyDescent="0.25">
      <c r="A188" s="4">
        <v>300</v>
      </c>
      <c r="B188" s="4" t="s">
        <v>550</v>
      </c>
      <c r="C188" t="str">
        <f>VLOOKUP(VALUE(A188),CURRENT,2,FALSE)</f>
        <v>New Music on Demand</v>
      </c>
      <c r="D188" t="str">
        <f>IF(B188=C188,"","x")</f>
        <v/>
      </c>
      <c r="E188" t="str">
        <f>IFERROR(VLOOKUP(VLOOKUP(VALUE(A188),CURRENT,4,FALSE),NOV,2,FALSE),"")</f>
        <v/>
      </c>
      <c r="F188" t="str">
        <f>IFERROR(VLOOKUP(VLOOKUP(VALUE(A188),CURRENT,5,FALSE),NOV,2,FALSE),"")</f>
        <v/>
      </c>
      <c r="G188" t="str">
        <f t="shared" si="4"/>
        <v/>
      </c>
      <c r="H188" t="str">
        <f t="shared" si="5"/>
        <v/>
      </c>
    </row>
    <row r="189" spans="1:8" x14ac:dyDescent="0.25">
      <c r="A189" s="4">
        <v>310</v>
      </c>
      <c r="B189" s="4" t="s">
        <v>135</v>
      </c>
      <c r="C189" t="str">
        <f>VLOOKUP(VALUE(A189),CURRENT,2,FALSE)</f>
        <v>MTV Music</v>
      </c>
      <c r="D189" t="str">
        <f>IF(B189=C189,"","x")</f>
        <v/>
      </c>
      <c r="E189" t="str">
        <f>IFERROR(VLOOKUP(VLOOKUP(VALUE(A189),CURRENT,4,FALSE),NOV,2,FALSE),"")</f>
        <v/>
      </c>
      <c r="F189" t="str">
        <f>IFERROR(VLOOKUP(VLOOKUP(VALUE(A189),CURRENT,5,FALSE),NOV,2,FALSE),"")</f>
        <v/>
      </c>
      <c r="G189" t="str">
        <f t="shared" si="4"/>
        <v/>
      </c>
      <c r="H189" t="str">
        <f t="shared" si="5"/>
        <v/>
      </c>
    </row>
    <row r="190" spans="1:8" x14ac:dyDescent="0.25">
      <c r="A190" s="4">
        <v>311</v>
      </c>
      <c r="B190" s="4" t="s">
        <v>136</v>
      </c>
      <c r="C190" t="str">
        <f>VLOOKUP(VALUE(A190),CURRENT,2,FALSE)</f>
        <v>MTV Live HD</v>
      </c>
      <c r="D190" t="str">
        <f>IF(B190=C190,"","x")</f>
        <v/>
      </c>
      <c r="E190" t="str">
        <f>IFERROR(VLOOKUP(VLOOKUP(VALUE(A190),CURRENT,4,FALSE),NOV,2,FALSE),"")</f>
        <v/>
      </c>
      <c r="F190" t="str">
        <f>IFERROR(VLOOKUP(VLOOKUP(VALUE(A190),CURRENT,5,FALSE),NOV,2,FALSE),"")</f>
        <v/>
      </c>
      <c r="G190" t="str">
        <f t="shared" si="4"/>
        <v/>
      </c>
      <c r="H190" t="str">
        <f t="shared" si="5"/>
        <v/>
      </c>
    </row>
    <row r="191" spans="1:8" x14ac:dyDescent="0.25">
      <c r="A191" s="4">
        <v>312</v>
      </c>
      <c r="B191" s="4" t="s">
        <v>137</v>
      </c>
      <c r="C191" t="str">
        <f>VLOOKUP(VALUE(A191),CURRENT,2,FALSE)</f>
        <v>MTV Hits</v>
      </c>
      <c r="D191" t="str">
        <f>IF(B191=C191,"","x")</f>
        <v/>
      </c>
      <c r="E191" t="str">
        <f>IFERROR(VLOOKUP(VLOOKUP(VALUE(A191),CURRENT,4,FALSE),NOV,2,FALSE),"")</f>
        <v/>
      </c>
      <c r="F191" t="str">
        <f>IFERROR(VLOOKUP(VLOOKUP(VALUE(A191),CURRENT,5,FALSE),NOV,2,FALSE),"")</f>
        <v/>
      </c>
      <c r="G191" t="str">
        <f t="shared" si="4"/>
        <v/>
      </c>
      <c r="H191" t="str">
        <f t="shared" si="5"/>
        <v/>
      </c>
    </row>
    <row r="192" spans="1:8" x14ac:dyDescent="0.25">
      <c r="A192" s="4">
        <v>313</v>
      </c>
      <c r="B192" s="4" t="s">
        <v>138</v>
      </c>
      <c r="C192" t="str">
        <f>VLOOKUP(VALUE(A192),CURRENT,2,FALSE)</f>
        <v>MTV Base</v>
      </c>
      <c r="D192" t="str">
        <f>IF(B192=C192,"","x")</f>
        <v/>
      </c>
      <c r="E192" t="str">
        <f>IFERROR(VLOOKUP(VLOOKUP(VALUE(A192),CURRENT,4,FALSE),NOV,2,FALSE),"")</f>
        <v/>
      </c>
      <c r="F192" t="str">
        <f>IFERROR(VLOOKUP(VLOOKUP(VALUE(A192),CURRENT,5,FALSE),NOV,2,FALSE),"")</f>
        <v/>
      </c>
      <c r="G192" t="str">
        <f t="shared" si="4"/>
        <v/>
      </c>
      <c r="H192" t="str">
        <f t="shared" si="5"/>
        <v/>
      </c>
    </row>
    <row r="193" spans="1:8" x14ac:dyDescent="0.25">
      <c r="A193" s="4">
        <v>314</v>
      </c>
      <c r="B193" s="4" t="s">
        <v>552</v>
      </c>
      <c r="C193" t="str">
        <f>VLOOKUP(VALUE(A193),CURRENT,2,FALSE)</f>
        <v>Club MTV</v>
      </c>
      <c r="D193" t="str">
        <f>IF(B193=C193,"","x")</f>
        <v/>
      </c>
      <c r="E193" t="str">
        <f>IFERROR(VLOOKUP(VLOOKUP(VALUE(A193),CURRENT,4,FALSE),NOV,2,FALSE),"")</f>
        <v/>
      </c>
      <c r="F193" t="str">
        <f>IFERROR(VLOOKUP(VLOOKUP(VALUE(A193),CURRENT,5,FALSE),NOV,2,FALSE),"")</f>
        <v/>
      </c>
      <c r="G193" t="str">
        <f t="shared" si="4"/>
        <v/>
      </c>
      <c r="H193" t="str">
        <f t="shared" si="5"/>
        <v/>
      </c>
    </row>
    <row r="194" spans="1:8" x14ac:dyDescent="0.25">
      <c r="A194" s="4">
        <v>315</v>
      </c>
      <c r="B194" s="4" t="s">
        <v>139</v>
      </c>
      <c r="C194" t="str">
        <f>VLOOKUP(VALUE(A194),CURRENT,2,FALSE)</f>
        <v>MTV Rocks</v>
      </c>
      <c r="D194" t="str">
        <f>IF(B194=C194,"","x")</f>
        <v/>
      </c>
      <c r="E194" t="str">
        <f>IFERROR(VLOOKUP(VLOOKUP(VALUE(A194),CURRENT,4,FALSE),NOV,2,FALSE),"")</f>
        <v/>
      </c>
      <c r="F194" t="str">
        <f>IFERROR(VLOOKUP(VLOOKUP(VALUE(A194),CURRENT,5,FALSE),NOV,2,FALSE),"")</f>
        <v/>
      </c>
      <c r="G194" t="str">
        <f t="shared" si="4"/>
        <v/>
      </c>
      <c r="H194" t="str">
        <f t="shared" si="5"/>
        <v/>
      </c>
    </row>
    <row r="195" spans="1:8" x14ac:dyDescent="0.25">
      <c r="A195" s="4">
        <v>316</v>
      </c>
      <c r="B195" s="4" t="s">
        <v>140</v>
      </c>
      <c r="C195" t="str">
        <f>VLOOKUP(VALUE(A195),CURRENT,2,FALSE)</f>
        <v>VH1</v>
      </c>
      <c r="D195" t="str">
        <f>IF(B195=C195,"","x")</f>
        <v/>
      </c>
      <c r="E195" t="str">
        <f>IFERROR(VLOOKUP(VLOOKUP(VALUE(A195),CURRENT,4,FALSE),NOV,2,FALSE),"")</f>
        <v/>
      </c>
      <c r="F195" t="str">
        <f>IFERROR(VLOOKUP(VLOOKUP(VALUE(A195),CURRENT,5,FALSE),NOV,2,FALSE),"")</f>
        <v/>
      </c>
      <c r="G195" t="str">
        <f t="shared" ref="G195:G258" si="6">IF(E195&lt;&gt;"",FIND(IFERROR(LEFT(B195,FIND(" ",B195)-1),B195),E195),"")</f>
        <v/>
      </c>
      <c r="H195" t="str">
        <f t="shared" ref="H195:H258" si="7">IF(F195&lt;&gt;"",FIND(IFERROR(LEFT(B195,FIND(" ",B195)-1),B195),F195),"")</f>
        <v/>
      </c>
    </row>
    <row r="196" spans="1:8" x14ac:dyDescent="0.25">
      <c r="A196" s="4">
        <v>318</v>
      </c>
      <c r="B196" s="4" t="s">
        <v>141</v>
      </c>
      <c r="C196" t="str">
        <f>VLOOKUP(VALUE(A196),CURRENT,2,FALSE)</f>
        <v>MTV OMG</v>
      </c>
      <c r="D196" t="str">
        <f>IF(B196=C196,"","x")</f>
        <v/>
      </c>
      <c r="E196" t="str">
        <f>IFERROR(VLOOKUP(VLOOKUP(VALUE(A196),CURRENT,4,FALSE),NOV,2,FALSE),"")</f>
        <v/>
      </c>
      <c r="F196" t="str">
        <f>IFERROR(VLOOKUP(VLOOKUP(VALUE(A196),CURRENT,5,FALSE),NOV,2,FALSE),"")</f>
        <v/>
      </c>
      <c r="G196" t="str">
        <f t="shared" si="6"/>
        <v/>
      </c>
      <c r="H196" t="str">
        <f t="shared" si="7"/>
        <v/>
      </c>
    </row>
    <row r="197" spans="1:8" x14ac:dyDescent="0.25">
      <c r="A197" s="4">
        <v>330</v>
      </c>
      <c r="B197" s="4" t="s">
        <v>142</v>
      </c>
      <c r="C197" t="str">
        <f>VLOOKUP(VALUE(A197),CURRENT,2,FALSE)</f>
        <v>Box Upfront</v>
      </c>
      <c r="D197" t="str">
        <f>IF(B197=C197,"","x")</f>
        <v/>
      </c>
      <c r="E197" t="str">
        <f>IFERROR(VLOOKUP(VLOOKUP(VALUE(A197),CURRENT,4,FALSE),NOV,2,FALSE),"")</f>
        <v/>
      </c>
      <c r="F197" t="str">
        <f>IFERROR(VLOOKUP(VLOOKUP(VALUE(A197),CURRENT,5,FALSE),NOV,2,FALSE),"")</f>
        <v/>
      </c>
      <c r="G197" t="str">
        <f t="shared" si="6"/>
        <v/>
      </c>
      <c r="H197" t="str">
        <f t="shared" si="7"/>
        <v/>
      </c>
    </row>
    <row r="198" spans="1:8" x14ac:dyDescent="0.25">
      <c r="A198" s="4">
        <v>335</v>
      </c>
      <c r="B198" s="4" t="s">
        <v>143</v>
      </c>
      <c r="C198" t="str">
        <f>VLOOKUP(VALUE(A198),CURRENT,2,FALSE)</f>
        <v>The Box</v>
      </c>
      <c r="D198" t="str">
        <f>IF(B198=C198,"","x")</f>
        <v/>
      </c>
      <c r="E198" t="str">
        <f>IFERROR(VLOOKUP(VLOOKUP(VALUE(A198),CURRENT,4,FALSE),NOV,2,FALSE),"")</f>
        <v/>
      </c>
      <c r="F198" t="str">
        <f>IFERROR(VLOOKUP(VLOOKUP(VALUE(A198),CURRENT,5,FALSE),NOV,2,FALSE),"")</f>
        <v/>
      </c>
      <c r="G198" t="str">
        <f t="shared" si="6"/>
        <v/>
      </c>
      <c r="H198" t="str">
        <f t="shared" si="7"/>
        <v/>
      </c>
    </row>
    <row r="199" spans="1:8" x14ac:dyDescent="0.25">
      <c r="A199" s="4">
        <v>336</v>
      </c>
      <c r="B199" s="4" t="s">
        <v>144</v>
      </c>
      <c r="C199" t="str">
        <f>VLOOKUP(VALUE(A199),CURRENT,2,FALSE)</f>
        <v>Box Hits</v>
      </c>
      <c r="D199" t="str">
        <f>IF(B199=C199,"","x")</f>
        <v/>
      </c>
      <c r="E199" t="str">
        <f>IFERROR(VLOOKUP(VLOOKUP(VALUE(A199),CURRENT,4,FALSE),NOV,2,FALSE),"")</f>
        <v/>
      </c>
      <c r="F199" t="str">
        <f>IFERROR(VLOOKUP(VLOOKUP(VALUE(A199),CURRENT,5,FALSE),NOV,2,FALSE),"")</f>
        <v/>
      </c>
      <c r="G199" t="str">
        <f t="shared" si="6"/>
        <v/>
      </c>
      <c r="H199" t="str">
        <f t="shared" si="7"/>
        <v/>
      </c>
    </row>
    <row r="200" spans="1:8" x14ac:dyDescent="0.25">
      <c r="A200" s="4">
        <v>337</v>
      </c>
      <c r="B200" s="4" t="s">
        <v>145</v>
      </c>
      <c r="C200" t="str">
        <f>VLOOKUP(VALUE(A200),CURRENT,2,FALSE)</f>
        <v>4Music</v>
      </c>
      <c r="D200" t="str">
        <f>IF(B200=C200,"","x")</f>
        <v/>
      </c>
      <c r="E200" t="str">
        <f>IFERROR(VLOOKUP(VLOOKUP(VALUE(A200),CURRENT,4,FALSE),NOV,2,FALSE),"")</f>
        <v/>
      </c>
      <c r="F200" t="str">
        <f>IFERROR(VLOOKUP(VLOOKUP(VALUE(A200),CURRENT,5,FALSE),NOV,2,FALSE),"")</f>
        <v/>
      </c>
      <c r="G200" t="str">
        <f t="shared" si="6"/>
        <v/>
      </c>
      <c r="H200" t="str">
        <f t="shared" si="7"/>
        <v/>
      </c>
    </row>
    <row r="201" spans="1:8" x14ac:dyDescent="0.25">
      <c r="A201" s="4">
        <v>338</v>
      </c>
      <c r="B201" s="4" t="s">
        <v>146</v>
      </c>
      <c r="C201" t="str">
        <f>VLOOKUP(VALUE(A201),CURRENT,2,FALSE)</f>
        <v>Kiss</v>
      </c>
      <c r="D201" t="str">
        <f>IF(B201=C201,"","x")</f>
        <v/>
      </c>
      <c r="E201" t="str">
        <f>IFERROR(VLOOKUP(VLOOKUP(VALUE(A201),CURRENT,4,FALSE),NOV,2,FALSE),"")</f>
        <v/>
      </c>
      <c r="F201" t="str">
        <f>IFERROR(VLOOKUP(VLOOKUP(VALUE(A201),CURRENT,5,FALSE),NOV,2,FALSE),"")</f>
        <v/>
      </c>
      <c r="G201" t="str">
        <f t="shared" si="6"/>
        <v/>
      </c>
      <c r="H201" t="str">
        <f t="shared" si="7"/>
        <v/>
      </c>
    </row>
    <row r="202" spans="1:8" x14ac:dyDescent="0.25">
      <c r="A202" s="4">
        <v>340</v>
      </c>
      <c r="B202" s="4" t="s">
        <v>147</v>
      </c>
      <c r="C202" t="str">
        <f>VLOOKUP(VALUE(A202),CURRENT,2,FALSE)</f>
        <v>Magic</v>
      </c>
      <c r="D202" t="str">
        <f>IF(B202=C202,"","x")</f>
        <v/>
      </c>
      <c r="E202" t="str">
        <f>IFERROR(VLOOKUP(VLOOKUP(VALUE(A202),CURRENT,4,FALSE),NOV,2,FALSE),"")</f>
        <v/>
      </c>
      <c r="F202" t="str">
        <f>IFERROR(VLOOKUP(VLOOKUP(VALUE(A202),CURRENT,5,FALSE),NOV,2,FALSE),"")</f>
        <v/>
      </c>
      <c r="G202" t="str">
        <f t="shared" si="6"/>
        <v/>
      </c>
      <c r="H202" t="str">
        <f t="shared" si="7"/>
        <v/>
      </c>
    </row>
    <row r="203" spans="1:8" x14ac:dyDescent="0.25">
      <c r="A203" s="4">
        <v>342</v>
      </c>
      <c r="B203" s="4" t="s">
        <v>319</v>
      </c>
      <c r="C203" t="str">
        <f>VLOOKUP(VALUE(A203),CURRENT,2,FALSE)</f>
        <v>Kerrang!</v>
      </c>
      <c r="D203" t="str">
        <f>IF(B203=C203,"","x")</f>
        <v/>
      </c>
      <c r="E203" t="str">
        <f>IFERROR(VLOOKUP(VLOOKUP(VALUE(A203),CURRENT,4,FALSE),NOV,2,FALSE),"")</f>
        <v/>
      </c>
      <c r="F203" t="str">
        <f>IFERROR(VLOOKUP(VLOOKUP(VALUE(A203),CURRENT,5,FALSE),NOV,2,FALSE),"")</f>
        <v/>
      </c>
      <c r="G203" t="str">
        <f t="shared" si="6"/>
        <v/>
      </c>
      <c r="H203" t="str">
        <f t="shared" si="7"/>
        <v/>
      </c>
    </row>
    <row r="204" spans="1:8" x14ac:dyDescent="0.25">
      <c r="A204" s="4">
        <v>344</v>
      </c>
      <c r="B204" s="4" t="s">
        <v>148</v>
      </c>
      <c r="C204" t="str">
        <f>VLOOKUP(VALUE(A204),CURRENT,2,FALSE)</f>
        <v>Vevo</v>
      </c>
      <c r="D204" t="str">
        <f>IF(B204=C204,"","x")</f>
        <v/>
      </c>
      <c r="E204" t="str">
        <f>IFERROR(VLOOKUP(VLOOKUP(VALUE(A204),CURRENT,4,FALSE),NOV,2,FALSE),"")</f>
        <v/>
      </c>
      <c r="F204" t="str">
        <f>IFERROR(VLOOKUP(VLOOKUP(VALUE(A204),CURRENT,5,FALSE),NOV,2,FALSE),"")</f>
        <v/>
      </c>
      <c r="G204" t="str">
        <f t="shared" si="6"/>
        <v/>
      </c>
      <c r="H204" t="str">
        <f t="shared" si="7"/>
        <v/>
      </c>
    </row>
    <row r="205" spans="1:8" x14ac:dyDescent="0.25">
      <c r="A205" s="4">
        <v>345</v>
      </c>
      <c r="B205" s="4" t="s">
        <v>554</v>
      </c>
      <c r="C205" t="str">
        <f>VLOOKUP(VALUE(A205),CURRENT,2,FALSE)</f>
        <v>Clubland</v>
      </c>
      <c r="D205" t="str">
        <f>IF(B205=C205,"","x")</f>
        <v/>
      </c>
      <c r="E205" t="str">
        <f>IFERROR(VLOOKUP(VLOOKUP(VALUE(A205),CURRENT,4,FALSE),NOV,2,FALSE),"")</f>
        <v/>
      </c>
      <c r="F205" t="str">
        <f>IFERROR(VLOOKUP(VLOOKUP(VALUE(A205),CURRENT,5,FALSE),NOV,2,FALSE),"")</f>
        <v/>
      </c>
      <c r="G205" t="str">
        <f t="shared" si="6"/>
        <v/>
      </c>
      <c r="H205" t="str">
        <f t="shared" si="7"/>
        <v/>
      </c>
    </row>
    <row r="206" spans="1:8" x14ac:dyDescent="0.25">
      <c r="A206" s="4">
        <v>346</v>
      </c>
      <c r="B206" s="4" t="s">
        <v>320</v>
      </c>
      <c r="C206" t="str">
        <f>VLOOKUP(VALUE(A206),CURRENT,2,FALSE)</f>
        <v>Now 80s</v>
      </c>
      <c r="D206" t="str">
        <f>IF(B206=C206,"","x")</f>
        <v/>
      </c>
      <c r="E206" t="str">
        <f>IFERROR(VLOOKUP(VLOOKUP(VALUE(A206),CURRENT,4,FALSE),NOV,2,FALSE),"")</f>
        <v/>
      </c>
      <c r="F206" t="str">
        <f>IFERROR(VLOOKUP(VLOOKUP(VALUE(A206),CURRENT,5,FALSE),NOV,2,FALSE),"")</f>
        <v/>
      </c>
      <c r="G206" t="str">
        <f t="shared" si="6"/>
        <v/>
      </c>
      <c r="H206" t="str">
        <f t="shared" si="7"/>
        <v/>
      </c>
    </row>
    <row r="207" spans="1:8" x14ac:dyDescent="0.25">
      <c r="A207" s="4">
        <v>400</v>
      </c>
      <c r="B207" s="4" t="s">
        <v>557</v>
      </c>
      <c r="C207" t="str">
        <f>VLOOKUP(VALUE(A207),CURRENT,2,FALSE)</f>
        <v>Virgin Movies &amp; Store</v>
      </c>
      <c r="D207" t="str">
        <f>IF(B207=C207,"","x")</f>
        <v/>
      </c>
      <c r="E207" t="str">
        <f>IFERROR(VLOOKUP(VLOOKUP(VALUE(A207),CURRENT,4,FALSE),NOV,2,FALSE),"")</f>
        <v/>
      </c>
      <c r="F207" t="str">
        <f>IFERROR(VLOOKUP(VLOOKUP(VALUE(A207),CURRENT,5,FALSE),NOV,2,FALSE),"")</f>
        <v/>
      </c>
      <c r="G207" t="str">
        <f t="shared" si="6"/>
        <v/>
      </c>
      <c r="H207" t="str">
        <f t="shared" si="7"/>
        <v/>
      </c>
    </row>
    <row r="208" spans="1:8" x14ac:dyDescent="0.25">
      <c r="A208" s="4">
        <v>401</v>
      </c>
      <c r="B208" s="4" t="s">
        <v>149</v>
      </c>
      <c r="C208" t="str">
        <f>VLOOKUP(VALUE(A208),CURRENT,2,FALSE)</f>
        <v>Sky Cinema Premiere HD</v>
      </c>
      <c r="D208" t="str">
        <f>IF(B208=C208,"","x")</f>
        <v/>
      </c>
      <c r="E208" t="str">
        <f>IFERROR(VLOOKUP(VLOOKUP(VALUE(A208),CURRENT,4,FALSE),NOV,2,FALSE),"")</f>
        <v/>
      </c>
      <c r="F208" t="str">
        <f>IFERROR(VLOOKUP(VLOOKUP(VALUE(A208),CURRENT,5,FALSE),NOV,2,FALSE),"")</f>
        <v/>
      </c>
      <c r="G208" t="str">
        <f t="shared" si="6"/>
        <v/>
      </c>
      <c r="H208" t="str">
        <f t="shared" si="7"/>
        <v/>
      </c>
    </row>
    <row r="209" spans="1:8" x14ac:dyDescent="0.25">
      <c r="A209" s="4">
        <v>402</v>
      </c>
      <c r="B209" s="4" t="s">
        <v>166</v>
      </c>
      <c r="C209" t="str">
        <f>VLOOKUP(VALUE(A209),CURRENT,2,FALSE)</f>
        <v>Sky Cinema Premiere +1</v>
      </c>
      <c r="D209" t="str">
        <f>IF(B209=C209,"","x")</f>
        <v/>
      </c>
      <c r="E209" t="str">
        <f>IFERROR(VLOOKUP(VLOOKUP(VALUE(A209),CURRENT,4,FALSE),NOV,2,FALSE),"")</f>
        <v/>
      </c>
      <c r="F209" t="str">
        <f>IFERROR(VLOOKUP(VLOOKUP(VALUE(A209),CURRENT,5,FALSE),NOV,2,FALSE),"")</f>
        <v/>
      </c>
      <c r="G209" t="str">
        <f t="shared" si="6"/>
        <v/>
      </c>
      <c r="H209" t="str">
        <f t="shared" si="7"/>
        <v/>
      </c>
    </row>
    <row r="210" spans="1:8" x14ac:dyDescent="0.25">
      <c r="A210" s="4">
        <v>403</v>
      </c>
      <c r="B210" s="4" t="s">
        <v>150</v>
      </c>
      <c r="C210" t="str">
        <f>VLOOKUP(VALUE(A210),CURRENT,2,FALSE)</f>
        <v>Sky Cinema Hits HD</v>
      </c>
      <c r="D210" t="str">
        <f>IF(B210=C210,"","x")</f>
        <v/>
      </c>
      <c r="E210" t="str">
        <f>IFERROR(VLOOKUP(VLOOKUP(VALUE(A210),CURRENT,4,FALSE),NOV,2,FALSE),"")</f>
        <v/>
      </c>
      <c r="F210" t="str">
        <f>IFERROR(VLOOKUP(VLOOKUP(VALUE(A210),CURRENT,5,FALSE),NOV,2,FALSE),"")</f>
        <v/>
      </c>
      <c r="G210" t="str">
        <f t="shared" si="6"/>
        <v/>
      </c>
      <c r="H210" t="str">
        <f t="shared" si="7"/>
        <v/>
      </c>
    </row>
    <row r="211" spans="1:8" x14ac:dyDescent="0.25">
      <c r="A211" s="4">
        <v>404</v>
      </c>
      <c r="B211" s="4" t="s">
        <v>151</v>
      </c>
      <c r="C211" t="str">
        <f>VLOOKUP(VALUE(A211),CURRENT,2,FALSE)</f>
        <v>Sky Cinema Greats HD</v>
      </c>
      <c r="D211" t="str">
        <f>IF(B211=C211,"","x")</f>
        <v/>
      </c>
      <c r="E211" t="str">
        <f>IFERROR(VLOOKUP(VLOOKUP(VALUE(A211),CURRENT,4,FALSE),NOV,2,FALSE),"")</f>
        <v/>
      </c>
      <c r="F211" t="str">
        <f>IFERROR(VLOOKUP(VLOOKUP(VALUE(A211),CURRENT,5,FALSE),NOV,2,FALSE),"")</f>
        <v/>
      </c>
      <c r="G211" t="str">
        <f t="shared" si="6"/>
        <v/>
      </c>
      <c r="H211" t="str">
        <f t="shared" si="7"/>
        <v/>
      </c>
    </row>
    <row r="212" spans="1:8" x14ac:dyDescent="0.25">
      <c r="A212" s="4">
        <v>405</v>
      </c>
      <c r="B212" s="4" t="s">
        <v>152</v>
      </c>
      <c r="C212" t="str">
        <f>VLOOKUP(VALUE(A212),CURRENT,2,FALSE)</f>
        <v>Sky Cinema Disney HD</v>
      </c>
      <c r="D212" t="str">
        <f>IF(B212=C212,"","x")</f>
        <v/>
      </c>
      <c r="E212" t="str">
        <f>IFERROR(VLOOKUP(VLOOKUP(VALUE(A212),CURRENT,4,FALSE),NOV,2,FALSE),"")</f>
        <v/>
      </c>
      <c r="F212" t="str">
        <f>IFERROR(VLOOKUP(VLOOKUP(VALUE(A212),CURRENT,5,FALSE),NOV,2,FALSE),"")</f>
        <v/>
      </c>
      <c r="G212" t="str">
        <f t="shared" si="6"/>
        <v/>
      </c>
      <c r="H212" t="str">
        <f t="shared" si="7"/>
        <v/>
      </c>
    </row>
    <row r="213" spans="1:8" x14ac:dyDescent="0.25">
      <c r="A213" s="4">
        <v>406</v>
      </c>
      <c r="B213" s="4" t="s">
        <v>153</v>
      </c>
      <c r="C213" t="str">
        <f>VLOOKUP(VALUE(A213),CURRENT,2,FALSE)</f>
        <v>Sky Cinema Family HD</v>
      </c>
      <c r="D213" t="str">
        <f>IF(B213=C213,"","x")</f>
        <v/>
      </c>
      <c r="E213" t="str">
        <f>IFERROR(VLOOKUP(VLOOKUP(VALUE(A213),CURRENT,4,FALSE),NOV,2,FALSE),"")</f>
        <v/>
      </c>
      <c r="F213" t="str">
        <f>IFERROR(VLOOKUP(VLOOKUP(VALUE(A213),CURRENT,5,FALSE),NOV,2,FALSE),"")</f>
        <v/>
      </c>
      <c r="G213" t="str">
        <f t="shared" si="6"/>
        <v/>
      </c>
      <c r="H213" t="str">
        <f t="shared" si="7"/>
        <v/>
      </c>
    </row>
    <row r="214" spans="1:8" x14ac:dyDescent="0.25">
      <c r="A214" s="4">
        <v>407</v>
      </c>
      <c r="B214" s="4" t="s">
        <v>321</v>
      </c>
      <c r="C214" t="str">
        <f>VLOOKUP(VALUE(A214),CURRENT,2,FALSE)</f>
        <v>Sky Cinema Action HD</v>
      </c>
      <c r="D214" t="str">
        <f>IF(B214=C214,"","x")</f>
        <v/>
      </c>
      <c r="E214" t="str">
        <f>IFERROR(VLOOKUP(VLOOKUP(VALUE(A214),CURRENT,4,FALSE),NOV,2,FALSE),"")</f>
        <v/>
      </c>
      <c r="F214" t="str">
        <f>IFERROR(VLOOKUP(VLOOKUP(VALUE(A214),CURRENT,5,FALSE),NOV,2,FALSE),"")</f>
        <v/>
      </c>
      <c r="G214" t="str">
        <f t="shared" si="6"/>
        <v/>
      </c>
      <c r="H214" t="str">
        <f t="shared" si="7"/>
        <v/>
      </c>
    </row>
    <row r="215" spans="1:8" x14ac:dyDescent="0.25">
      <c r="A215" s="4">
        <v>408</v>
      </c>
      <c r="B215" s="4" t="s">
        <v>154</v>
      </c>
      <c r="C215" t="str">
        <f>VLOOKUP(VALUE(A215),CURRENT,2,FALSE)</f>
        <v>Sky Cinema Comedy HD</v>
      </c>
      <c r="D215" t="str">
        <f>IF(B215=C215,"","x")</f>
        <v/>
      </c>
      <c r="E215" t="str">
        <f>IFERROR(VLOOKUP(VLOOKUP(VALUE(A215),CURRENT,4,FALSE),NOV,2,FALSE),"")</f>
        <v/>
      </c>
      <c r="F215" t="str">
        <f>IFERROR(VLOOKUP(VLOOKUP(VALUE(A215),CURRENT,5,FALSE),NOV,2,FALSE),"")</f>
        <v/>
      </c>
      <c r="G215" t="str">
        <f t="shared" si="6"/>
        <v/>
      </c>
      <c r="H215" t="str">
        <f t="shared" si="7"/>
        <v/>
      </c>
    </row>
    <row r="216" spans="1:8" x14ac:dyDescent="0.25">
      <c r="A216" s="4">
        <v>409</v>
      </c>
      <c r="B216" s="4" t="s">
        <v>322</v>
      </c>
      <c r="C216" t="str">
        <f>VLOOKUP(VALUE(A216),CURRENT,2,FALSE)</f>
        <v>Sky Cinema Thriller HD</v>
      </c>
      <c r="D216" t="str">
        <f>IF(B216=C216,"","x")</f>
        <v/>
      </c>
      <c r="E216" t="str">
        <f>IFERROR(VLOOKUP(VLOOKUP(VALUE(A216),CURRENT,4,FALSE),NOV,2,FALSE),"")</f>
        <v/>
      </c>
      <c r="F216" t="str">
        <f>IFERROR(VLOOKUP(VLOOKUP(VALUE(A216),CURRENT,5,FALSE),NOV,2,FALSE),"")</f>
        <v/>
      </c>
      <c r="G216" t="str">
        <f t="shared" si="6"/>
        <v/>
      </c>
      <c r="H216" t="str">
        <f t="shared" si="7"/>
        <v/>
      </c>
    </row>
    <row r="217" spans="1:8" x14ac:dyDescent="0.25">
      <c r="A217" s="4">
        <v>410</v>
      </c>
      <c r="B217" s="4" t="s">
        <v>323</v>
      </c>
      <c r="C217" t="str">
        <f>VLOOKUP(VALUE(A217),CURRENT,2,FALSE)</f>
        <v>Sky Cinema Drama HD</v>
      </c>
      <c r="D217" t="str">
        <f>IF(B217=C217,"","x")</f>
        <v/>
      </c>
      <c r="E217" t="str">
        <f>IFERROR(VLOOKUP(VLOOKUP(VALUE(A217),CURRENT,4,FALSE),NOV,2,FALSE),"")</f>
        <v/>
      </c>
      <c r="F217" t="str">
        <f>IFERROR(VLOOKUP(VLOOKUP(VALUE(A217),CURRENT,5,FALSE),NOV,2,FALSE),"")</f>
        <v/>
      </c>
      <c r="G217" t="str">
        <f t="shared" si="6"/>
        <v/>
      </c>
      <c r="H217" t="str">
        <f t="shared" si="7"/>
        <v/>
      </c>
    </row>
    <row r="218" spans="1:8" x14ac:dyDescent="0.25">
      <c r="A218" s="4">
        <v>411</v>
      </c>
      <c r="B218" s="4" t="s">
        <v>559</v>
      </c>
      <c r="C218" t="str">
        <f>VLOOKUP(VALUE(A218),CURRENT,2,FALSE)</f>
        <v>Sky Cinema Sci Fi &amp; Horror HD</v>
      </c>
      <c r="D218" t="str">
        <f>IF(B218=C218,"","x")</f>
        <v/>
      </c>
      <c r="E218" t="str">
        <f>IFERROR(VLOOKUP(VLOOKUP(VALUE(A218),CURRENT,4,FALSE),NOV,2,FALSE),"")</f>
        <v/>
      </c>
      <c r="F218" t="str">
        <f>IFERROR(VLOOKUP(VLOOKUP(VALUE(A218),CURRENT,5,FALSE),NOV,2,FALSE),"")</f>
        <v/>
      </c>
      <c r="G218" t="str">
        <f t="shared" si="6"/>
        <v/>
      </c>
      <c r="H218" t="str">
        <f t="shared" si="7"/>
        <v/>
      </c>
    </row>
    <row r="219" spans="1:8" x14ac:dyDescent="0.25">
      <c r="A219" s="4">
        <v>412</v>
      </c>
      <c r="B219" s="4" t="s">
        <v>155</v>
      </c>
      <c r="C219" t="str">
        <f>VLOOKUP(VALUE(A219),CURRENT,2,FALSE)</f>
        <v>Sky Cinema Select HD</v>
      </c>
      <c r="D219" t="str">
        <f>IF(B219=C219,"","x")</f>
        <v/>
      </c>
      <c r="E219" t="str">
        <f>IFERROR(VLOOKUP(VLOOKUP(VALUE(A219),CURRENT,4,FALSE),NOV,2,FALSE),"")</f>
        <v/>
      </c>
      <c r="F219" t="str">
        <f>IFERROR(VLOOKUP(VLOOKUP(VALUE(A219),CURRENT,5,FALSE),NOV,2,FALSE),"")</f>
        <v/>
      </c>
      <c r="G219" t="str">
        <f t="shared" si="6"/>
        <v/>
      </c>
      <c r="H219" t="str">
        <f t="shared" si="7"/>
        <v/>
      </c>
    </row>
    <row r="220" spans="1:8" x14ac:dyDescent="0.25">
      <c r="A220" s="4">
        <v>415</v>
      </c>
      <c r="B220" s="4" t="s">
        <v>156</v>
      </c>
      <c r="C220" t="str">
        <f>VLOOKUP(VALUE(A220),CURRENT,2,FALSE)</f>
        <v>TCM</v>
      </c>
      <c r="D220" t="str">
        <f>IF(B220=C220,"","x")</f>
        <v/>
      </c>
      <c r="E220" t="str">
        <f>IFERROR(VLOOKUP(VLOOKUP(VALUE(A220),CURRENT,4,FALSE),NOV,2,FALSE),"")</f>
        <v>TCM HD</v>
      </c>
      <c r="F220" t="str">
        <f>IFERROR(VLOOKUP(VLOOKUP(VALUE(A220),CURRENT,5,FALSE),NOV,2,FALSE),"")</f>
        <v>TCM +1</v>
      </c>
      <c r="G220">
        <f t="shared" si="6"/>
        <v>1</v>
      </c>
      <c r="H220">
        <f t="shared" si="7"/>
        <v>1</v>
      </c>
    </row>
    <row r="221" spans="1:8" x14ac:dyDescent="0.25">
      <c r="A221" s="4">
        <v>416</v>
      </c>
      <c r="B221" s="4" t="s">
        <v>157</v>
      </c>
      <c r="C221" t="str">
        <f>VLOOKUP(VALUE(A221),CURRENT,2,FALSE)</f>
        <v>TCM HD</v>
      </c>
      <c r="D221" t="str">
        <f>IF(B221=C221,"","x")</f>
        <v/>
      </c>
      <c r="E221" t="str">
        <f>IFERROR(VLOOKUP(VLOOKUP(VALUE(A221),CURRENT,4,FALSE),NOV,2,FALSE),"")</f>
        <v/>
      </c>
      <c r="F221" t="str">
        <f>IFERROR(VLOOKUP(VLOOKUP(VALUE(A221),CURRENT,5,FALSE),NOV,2,FALSE),"")</f>
        <v/>
      </c>
      <c r="G221" t="str">
        <f t="shared" si="6"/>
        <v/>
      </c>
      <c r="H221" t="str">
        <f t="shared" si="7"/>
        <v/>
      </c>
    </row>
    <row r="222" spans="1:8" x14ac:dyDescent="0.25">
      <c r="A222" s="4">
        <v>417</v>
      </c>
      <c r="B222" s="4" t="s">
        <v>158</v>
      </c>
      <c r="C222" t="str">
        <f>VLOOKUP(VALUE(A222),CURRENT,2,FALSE)</f>
        <v>TCM +1</v>
      </c>
      <c r="D222" t="str">
        <f>IF(B222=C222,"","x")</f>
        <v/>
      </c>
      <c r="E222" t="str">
        <f>IFERROR(VLOOKUP(VLOOKUP(VALUE(A222),CURRENT,4,FALSE),NOV,2,FALSE),"")</f>
        <v/>
      </c>
      <c r="F222" t="str">
        <f>IFERROR(VLOOKUP(VLOOKUP(VALUE(A222),CURRENT,5,FALSE),NOV,2,FALSE),"")</f>
        <v/>
      </c>
      <c r="G222" t="str">
        <f t="shared" si="6"/>
        <v/>
      </c>
      <c r="H222" t="str">
        <f t="shared" si="7"/>
        <v/>
      </c>
    </row>
    <row r="223" spans="1:8" x14ac:dyDescent="0.25">
      <c r="A223" s="4">
        <v>419</v>
      </c>
      <c r="B223" s="4" t="s">
        <v>159</v>
      </c>
      <c r="C223" t="str">
        <f>VLOOKUP(VALUE(A223),CURRENT,2,FALSE)</f>
        <v>Movies 24</v>
      </c>
      <c r="D223" t="str">
        <f>IF(B223=C223,"","x")</f>
        <v/>
      </c>
      <c r="E223" t="str">
        <f>IFERROR(VLOOKUP(VLOOKUP(VALUE(A223),CURRENT,4,FALSE),NOV,2,FALSE),"")</f>
        <v/>
      </c>
      <c r="F223" t="str">
        <f>IFERROR(VLOOKUP(VLOOKUP(VALUE(A223),CURRENT,5,FALSE),NOV,2,FALSE),"")</f>
        <v>Movies 24 + 1</v>
      </c>
      <c r="G223" t="str">
        <f t="shared" si="6"/>
        <v/>
      </c>
      <c r="H223">
        <f t="shared" si="7"/>
        <v>1</v>
      </c>
    </row>
    <row r="224" spans="1:8" x14ac:dyDescent="0.25">
      <c r="A224" s="4">
        <v>420</v>
      </c>
      <c r="B224" s="4" t="s">
        <v>324</v>
      </c>
      <c r="C224" t="str">
        <f>VLOOKUP(VALUE(A224),CURRENT,2,FALSE)</f>
        <v>Movies 24 + 1</v>
      </c>
      <c r="D224" t="str">
        <f>IF(B224=C224,"","x")</f>
        <v/>
      </c>
      <c r="E224" t="str">
        <f>IFERROR(VLOOKUP(VLOOKUP(VALUE(A224),CURRENT,4,FALSE),NOV,2,FALSE),"")</f>
        <v/>
      </c>
      <c r="F224" t="str">
        <f>IFERROR(VLOOKUP(VLOOKUP(VALUE(A224),CURRENT,5,FALSE),NOV,2,FALSE),"")</f>
        <v/>
      </c>
      <c r="G224" t="str">
        <f t="shared" si="6"/>
        <v/>
      </c>
      <c r="H224" t="str">
        <f t="shared" si="7"/>
        <v/>
      </c>
    </row>
    <row r="225" spans="1:8" x14ac:dyDescent="0.25">
      <c r="A225" s="4">
        <v>424</v>
      </c>
      <c r="B225" s="4" t="s">
        <v>325</v>
      </c>
      <c r="C225" t="str">
        <f>VLOOKUP(VALUE(A225),CURRENT,2,FALSE)</f>
        <v>True Movies</v>
      </c>
      <c r="D225" t="str">
        <f>IF(B225=C225,"","x")</f>
        <v/>
      </c>
      <c r="E225" t="str">
        <f>IFERROR(VLOOKUP(VLOOKUP(VALUE(A225),CURRENT,4,FALSE),NOV,2,FALSE),"")</f>
        <v/>
      </c>
      <c r="F225" t="str">
        <f>IFERROR(VLOOKUP(VLOOKUP(VALUE(A225),CURRENT,5,FALSE),NOV,2,FALSE),"")</f>
        <v/>
      </c>
      <c r="G225" t="str">
        <f t="shared" si="6"/>
        <v/>
      </c>
      <c r="H225" t="str">
        <f t="shared" si="7"/>
        <v/>
      </c>
    </row>
    <row r="226" spans="1:8" x14ac:dyDescent="0.25">
      <c r="A226" s="4">
        <v>425</v>
      </c>
      <c r="B226" s="4" t="s">
        <v>160</v>
      </c>
      <c r="C226" t="str">
        <f>VLOOKUP(VALUE(A226),CURRENT,2,FALSE)</f>
        <v>Sony Movie Channel</v>
      </c>
      <c r="D226" t="str">
        <f>IF(B226=C226,"","x")</f>
        <v/>
      </c>
      <c r="E226" t="str">
        <f>IFERROR(VLOOKUP(VLOOKUP(VALUE(A226),CURRENT,4,FALSE),NOV,2,FALSE),"")</f>
        <v/>
      </c>
      <c r="F226" t="str">
        <f>IFERROR(VLOOKUP(VLOOKUP(VALUE(A226),CURRENT,5,FALSE),NOV,2,FALSE),"")</f>
        <v/>
      </c>
      <c r="G226" t="str">
        <f t="shared" si="6"/>
        <v/>
      </c>
      <c r="H226" t="str">
        <f t="shared" si="7"/>
        <v/>
      </c>
    </row>
    <row r="227" spans="1:8" x14ac:dyDescent="0.25">
      <c r="A227" s="4">
        <v>426</v>
      </c>
      <c r="B227" s="4" t="s">
        <v>161</v>
      </c>
      <c r="C227" t="str">
        <f>VLOOKUP(VALUE(A227),CURRENT,2,FALSE)</f>
        <v>Movies4Men</v>
      </c>
      <c r="D227" t="str">
        <f>IF(B227=C227,"","x")</f>
        <v/>
      </c>
      <c r="E227" t="str">
        <f>IFERROR(VLOOKUP(VLOOKUP(VALUE(A227),CURRENT,4,FALSE),NOV,2,FALSE),"")</f>
        <v/>
      </c>
      <c r="F227" t="str">
        <f>IFERROR(VLOOKUP(VLOOKUP(VALUE(A227),CURRENT,5,FALSE),NOV,2,FALSE),"")</f>
        <v/>
      </c>
      <c r="G227" t="str">
        <f t="shared" si="6"/>
        <v/>
      </c>
      <c r="H227" t="str">
        <f t="shared" si="7"/>
        <v/>
      </c>
    </row>
    <row r="228" spans="1:8" x14ac:dyDescent="0.25">
      <c r="A228" s="4">
        <v>428</v>
      </c>
      <c r="B228" s="4" t="s">
        <v>162</v>
      </c>
      <c r="C228" t="str">
        <f>VLOOKUP(VALUE(A228),CURRENT,2,FALSE)</f>
        <v>Film4</v>
      </c>
      <c r="D228" t="str">
        <f>IF(B228=C228,"","x")</f>
        <v/>
      </c>
      <c r="E228" t="str">
        <f>IFERROR(VLOOKUP(VLOOKUP(VALUE(A228),CURRENT,4,FALSE),NOV,2,FALSE),"")</f>
        <v>Film4 HD</v>
      </c>
      <c r="F228" t="str">
        <f>IFERROR(VLOOKUP(VLOOKUP(VALUE(A228),CURRENT,5,FALSE),NOV,2,FALSE),"")</f>
        <v>Film4 +1</v>
      </c>
      <c r="G228">
        <f t="shared" si="6"/>
        <v>1</v>
      </c>
      <c r="H228">
        <f t="shared" si="7"/>
        <v>1</v>
      </c>
    </row>
    <row r="229" spans="1:8" x14ac:dyDescent="0.25">
      <c r="A229" s="4">
        <v>429</v>
      </c>
      <c r="B229" s="4" t="s">
        <v>163</v>
      </c>
      <c r="C229" t="str">
        <f>VLOOKUP(VALUE(A229),CURRENT,2,FALSE)</f>
        <v>Film4 HD</v>
      </c>
      <c r="D229" t="str">
        <f>IF(B229=C229,"","x")</f>
        <v/>
      </c>
      <c r="E229" t="str">
        <f>IFERROR(VLOOKUP(VLOOKUP(VALUE(A229),CURRENT,4,FALSE),NOV,2,FALSE),"")</f>
        <v/>
      </c>
      <c r="F229" t="str">
        <f>IFERROR(VLOOKUP(VLOOKUP(VALUE(A229),CURRENT,5,FALSE),NOV,2,FALSE),"")</f>
        <v/>
      </c>
      <c r="G229" t="str">
        <f t="shared" si="6"/>
        <v/>
      </c>
      <c r="H229" t="str">
        <f t="shared" si="7"/>
        <v/>
      </c>
    </row>
    <row r="230" spans="1:8" x14ac:dyDescent="0.25">
      <c r="A230" s="4">
        <v>430</v>
      </c>
      <c r="B230" s="4" t="s">
        <v>164</v>
      </c>
      <c r="C230" t="str">
        <f>VLOOKUP(VALUE(A230),CURRENT,2,FALSE)</f>
        <v>Film4 +1</v>
      </c>
      <c r="D230" t="str">
        <f>IF(B230=C230,"","x")</f>
        <v/>
      </c>
      <c r="E230" t="str">
        <f>IFERROR(VLOOKUP(VLOOKUP(VALUE(A230),CURRENT,4,FALSE),NOV,2,FALSE),"")</f>
        <v/>
      </c>
      <c r="F230" t="str">
        <f>IFERROR(VLOOKUP(VLOOKUP(VALUE(A230),CURRENT,5,FALSE),NOV,2,FALSE),"")</f>
        <v/>
      </c>
      <c r="G230" t="str">
        <f t="shared" si="6"/>
        <v/>
      </c>
      <c r="H230" t="str">
        <f t="shared" si="7"/>
        <v/>
      </c>
    </row>
    <row r="231" spans="1:8" x14ac:dyDescent="0.25">
      <c r="A231" s="4">
        <v>431</v>
      </c>
      <c r="B231" s="4" t="s">
        <v>165</v>
      </c>
      <c r="C231" t="str">
        <f>VLOOKUP(VALUE(A231),CURRENT,2,FALSE)</f>
        <v>Sky Cinema Premiere</v>
      </c>
      <c r="D231" t="str">
        <f>IF(B231=C231,"","x")</f>
        <v/>
      </c>
      <c r="E231" t="str">
        <f>IFERROR(VLOOKUP(VLOOKUP(VALUE(A231),CURRENT,4,FALSE),NOV,2,FALSE),"")</f>
        <v>Sky Cinema Premiere HD</v>
      </c>
      <c r="F231" t="str">
        <f>IFERROR(VLOOKUP(VLOOKUP(VALUE(A231),CURRENT,5,FALSE),NOV,2,FALSE),"")</f>
        <v/>
      </c>
      <c r="G231">
        <f t="shared" si="6"/>
        <v>1</v>
      </c>
      <c r="H231" t="str">
        <f t="shared" si="7"/>
        <v/>
      </c>
    </row>
    <row r="232" spans="1:8" x14ac:dyDescent="0.25">
      <c r="A232" s="4">
        <v>433</v>
      </c>
      <c r="B232" s="4" t="s">
        <v>167</v>
      </c>
      <c r="C232" t="str">
        <f>VLOOKUP(VALUE(A232),CURRENT,2,FALSE)</f>
        <v>Sky Cinema Hits</v>
      </c>
      <c r="D232" t="str">
        <f>IF(B232=C232,"","x")</f>
        <v/>
      </c>
      <c r="E232" t="str">
        <f>IFERROR(VLOOKUP(VLOOKUP(VALUE(A232),CURRENT,4,FALSE),NOV,2,FALSE),"")</f>
        <v>Sky Cinema Hits HD</v>
      </c>
      <c r="F232" t="str">
        <f>IFERROR(VLOOKUP(VLOOKUP(VALUE(A232),CURRENT,5,FALSE),NOV,2,FALSE),"")</f>
        <v/>
      </c>
      <c r="G232">
        <f t="shared" si="6"/>
        <v>1</v>
      </c>
      <c r="H232" t="str">
        <f t="shared" si="7"/>
        <v/>
      </c>
    </row>
    <row r="233" spans="1:8" x14ac:dyDescent="0.25">
      <c r="A233" s="4">
        <v>434</v>
      </c>
      <c r="B233" s="4" t="s">
        <v>168</v>
      </c>
      <c r="C233" t="str">
        <f>VLOOKUP(VALUE(A233),CURRENT,2,FALSE)</f>
        <v>Sky Cinema Greats</v>
      </c>
      <c r="D233" t="str">
        <f>IF(B233=C233,"","x")</f>
        <v/>
      </c>
      <c r="E233" t="str">
        <f>IFERROR(VLOOKUP(VLOOKUP(VALUE(A233),CURRENT,4,FALSE),NOV,2,FALSE),"")</f>
        <v>Sky Cinema Greats HD</v>
      </c>
      <c r="F233" t="str">
        <f>IFERROR(VLOOKUP(VLOOKUP(VALUE(A233),CURRENT,5,FALSE),NOV,2,FALSE),"")</f>
        <v/>
      </c>
      <c r="G233">
        <f t="shared" si="6"/>
        <v>1</v>
      </c>
      <c r="H233" t="str">
        <f t="shared" si="7"/>
        <v/>
      </c>
    </row>
    <row r="234" spans="1:8" x14ac:dyDescent="0.25">
      <c r="A234" s="4">
        <v>435</v>
      </c>
      <c r="B234" s="4" t="s">
        <v>169</v>
      </c>
      <c r="C234" t="str">
        <f>VLOOKUP(VALUE(A234),CURRENT,2,FALSE)</f>
        <v>Sky Cinema Disney</v>
      </c>
      <c r="D234" t="str">
        <f>IF(B234=C234,"","x")</f>
        <v/>
      </c>
      <c r="E234" t="str">
        <f>IFERROR(VLOOKUP(VLOOKUP(VALUE(A234),CURRENT,4,FALSE),NOV,2,FALSE),"")</f>
        <v>Sky Cinema Disney HD</v>
      </c>
      <c r="F234" t="str">
        <f>IFERROR(VLOOKUP(VLOOKUP(VALUE(A234),CURRENT,5,FALSE),NOV,2,FALSE),"")</f>
        <v/>
      </c>
      <c r="G234">
        <f t="shared" si="6"/>
        <v>1</v>
      </c>
      <c r="H234" t="str">
        <f t="shared" si="7"/>
        <v/>
      </c>
    </row>
    <row r="235" spans="1:8" x14ac:dyDescent="0.25">
      <c r="A235" s="4">
        <v>436</v>
      </c>
      <c r="B235" s="4" t="s">
        <v>170</v>
      </c>
      <c r="C235" t="str">
        <f>VLOOKUP(VALUE(A235),CURRENT,2,FALSE)</f>
        <v>Sky Cinema Family</v>
      </c>
      <c r="D235" t="str">
        <f>IF(B235=C235,"","x")</f>
        <v/>
      </c>
      <c r="E235" t="str">
        <f>IFERROR(VLOOKUP(VLOOKUP(VALUE(A235),CURRENT,4,FALSE),NOV,2,FALSE),"")</f>
        <v>Sky Cinema Family HD</v>
      </c>
      <c r="F235" t="str">
        <f>IFERROR(VLOOKUP(VLOOKUP(VALUE(A235),CURRENT,5,FALSE),NOV,2,FALSE),"")</f>
        <v/>
      </c>
      <c r="G235">
        <f t="shared" si="6"/>
        <v>1</v>
      </c>
      <c r="H235" t="str">
        <f t="shared" si="7"/>
        <v/>
      </c>
    </row>
    <row r="236" spans="1:8" x14ac:dyDescent="0.25">
      <c r="A236" s="4">
        <v>437</v>
      </c>
      <c r="B236" s="4" t="s">
        <v>326</v>
      </c>
      <c r="C236" t="str">
        <f>VLOOKUP(VALUE(A236),CURRENT,2,FALSE)</f>
        <v>Sky Cinema Action</v>
      </c>
      <c r="D236" t="str">
        <f>IF(B236=C236,"","x")</f>
        <v/>
      </c>
      <c r="E236" t="str">
        <f>IFERROR(VLOOKUP(VLOOKUP(VALUE(A236),CURRENT,4,FALSE),NOV,2,FALSE),"")</f>
        <v>Sky Cinema Action HD</v>
      </c>
      <c r="F236" t="str">
        <f>IFERROR(VLOOKUP(VLOOKUP(VALUE(A236),CURRENT,5,FALSE),NOV,2,FALSE),"")</f>
        <v/>
      </c>
      <c r="G236">
        <f t="shared" si="6"/>
        <v>1</v>
      </c>
      <c r="H236" t="str">
        <f t="shared" si="7"/>
        <v/>
      </c>
    </row>
    <row r="237" spans="1:8" x14ac:dyDescent="0.25">
      <c r="A237" s="4">
        <v>438</v>
      </c>
      <c r="B237" s="4" t="s">
        <v>171</v>
      </c>
      <c r="C237" t="str">
        <f>VLOOKUP(VALUE(A237),CURRENT,2,FALSE)</f>
        <v>Sky Cinema Comedy</v>
      </c>
      <c r="D237" t="str">
        <f>IF(B237=C237,"","x")</f>
        <v/>
      </c>
      <c r="E237" t="str">
        <f>IFERROR(VLOOKUP(VLOOKUP(VALUE(A237),CURRENT,4,FALSE),NOV,2,FALSE),"")</f>
        <v>Sky Cinema Comedy HD</v>
      </c>
      <c r="F237" t="str">
        <f>IFERROR(VLOOKUP(VLOOKUP(VALUE(A237),CURRENT,5,FALSE),NOV,2,FALSE),"")</f>
        <v/>
      </c>
      <c r="G237">
        <f t="shared" si="6"/>
        <v>1</v>
      </c>
      <c r="H237" t="str">
        <f t="shared" si="7"/>
        <v/>
      </c>
    </row>
    <row r="238" spans="1:8" x14ac:dyDescent="0.25">
      <c r="A238" s="4">
        <v>439</v>
      </c>
      <c r="B238" s="4" t="s">
        <v>327</v>
      </c>
      <c r="C238" t="str">
        <f>VLOOKUP(VALUE(A238),CURRENT,2,FALSE)</f>
        <v>Sky Cinema Thriller</v>
      </c>
      <c r="D238" t="str">
        <f>IF(B238=C238,"","x")</f>
        <v/>
      </c>
      <c r="E238" t="str">
        <f>IFERROR(VLOOKUP(VLOOKUP(VALUE(A238),CURRENT,4,FALSE),NOV,2,FALSE),"")</f>
        <v>Sky Cinema Thriller HD</v>
      </c>
      <c r="F238" t="str">
        <f>IFERROR(VLOOKUP(VLOOKUP(VALUE(A238),CURRENT,5,FALSE),NOV,2,FALSE),"")</f>
        <v/>
      </c>
      <c r="G238">
        <f t="shared" si="6"/>
        <v>1</v>
      </c>
      <c r="H238" t="str">
        <f t="shared" si="7"/>
        <v/>
      </c>
    </row>
    <row r="239" spans="1:8" x14ac:dyDescent="0.25">
      <c r="A239" s="4">
        <v>440</v>
      </c>
      <c r="B239" s="4" t="s">
        <v>328</v>
      </c>
      <c r="C239" t="str">
        <f>VLOOKUP(VALUE(A239),CURRENT,2,FALSE)</f>
        <v>Sky Cinema Drama</v>
      </c>
      <c r="D239" t="str">
        <f>IF(B239=C239,"","x")</f>
        <v/>
      </c>
      <c r="E239" t="str">
        <f>IFERROR(VLOOKUP(VLOOKUP(VALUE(A239),CURRENT,4,FALSE),NOV,2,FALSE),"")</f>
        <v>Sky Cinema Drama HD</v>
      </c>
      <c r="F239" t="str">
        <f>IFERROR(VLOOKUP(VLOOKUP(VALUE(A239),CURRENT,5,FALSE),NOV,2,FALSE),"")</f>
        <v/>
      </c>
      <c r="G239">
        <f t="shared" si="6"/>
        <v>1</v>
      </c>
      <c r="H239" t="str">
        <f t="shared" si="7"/>
        <v/>
      </c>
    </row>
    <row r="240" spans="1:8" x14ac:dyDescent="0.25">
      <c r="A240" s="4">
        <v>441</v>
      </c>
      <c r="B240" s="4" t="s">
        <v>567</v>
      </c>
      <c r="C240" t="str">
        <f>VLOOKUP(VALUE(A240),CURRENT,2,FALSE)</f>
        <v>Sky Cinema Sci Fi &amp; Horror</v>
      </c>
      <c r="D240" t="str">
        <f>IF(B240=C240,"","x")</f>
        <v/>
      </c>
      <c r="E240" t="str">
        <f>IFERROR(VLOOKUP(VLOOKUP(VALUE(A240),CURRENT,4,FALSE),NOV,2,FALSE),"")</f>
        <v>Sky Cinema Sci Fi &amp; Horror HD</v>
      </c>
      <c r="F240" t="str">
        <f>IFERROR(VLOOKUP(VLOOKUP(VALUE(A240),CURRENT,5,FALSE),NOV,2,FALSE),"")</f>
        <v/>
      </c>
      <c r="G240">
        <f t="shared" si="6"/>
        <v>1</v>
      </c>
      <c r="H240" t="str">
        <f t="shared" si="7"/>
        <v/>
      </c>
    </row>
    <row r="241" spans="1:8" x14ac:dyDescent="0.25">
      <c r="A241" s="4">
        <v>442</v>
      </c>
      <c r="B241" s="4" t="s">
        <v>172</v>
      </c>
      <c r="C241" t="str">
        <f>VLOOKUP(VALUE(A241),CURRENT,2,FALSE)</f>
        <v>Sky Cinema Select</v>
      </c>
      <c r="D241" t="str">
        <f>IF(B241=C241,"","x")</f>
        <v/>
      </c>
      <c r="E241" t="str">
        <f>IFERROR(VLOOKUP(VLOOKUP(VALUE(A241),CURRENT,4,FALSE),NOV,2,FALSE),"")</f>
        <v>Sky Cinema Select HD</v>
      </c>
      <c r="F241" t="str">
        <f>IFERROR(VLOOKUP(VLOOKUP(VALUE(A241),CURRENT,5,FALSE),NOV,2,FALSE),"")</f>
        <v/>
      </c>
      <c r="G241">
        <f t="shared" si="6"/>
        <v>1</v>
      </c>
      <c r="H241" t="str">
        <f t="shared" si="7"/>
        <v/>
      </c>
    </row>
    <row r="242" spans="1:8" x14ac:dyDescent="0.25">
      <c r="A242" s="4">
        <v>445</v>
      </c>
      <c r="B242" s="4" t="s">
        <v>173</v>
      </c>
      <c r="C242" t="str">
        <f>VLOOKUP(VALUE(A242),CURRENT,2,FALSE)</f>
        <v>Talking Pictures TV</v>
      </c>
      <c r="D242" t="str">
        <f>IF(B242=C242,"","x")</f>
        <v/>
      </c>
      <c r="E242" t="str">
        <f>IFERROR(VLOOKUP(VLOOKUP(VALUE(A242),CURRENT,4,FALSE),NOV,2,FALSE),"")</f>
        <v/>
      </c>
      <c r="F242" t="str">
        <f>IFERROR(VLOOKUP(VLOOKUP(VALUE(A242),CURRENT,5,FALSE),NOV,2,FALSE),"")</f>
        <v/>
      </c>
      <c r="G242" t="str">
        <f t="shared" si="6"/>
        <v/>
      </c>
      <c r="H242" t="str">
        <f t="shared" si="7"/>
        <v/>
      </c>
    </row>
    <row r="243" spans="1:8" x14ac:dyDescent="0.25">
      <c r="A243" s="4">
        <v>501</v>
      </c>
      <c r="B243" s="4" t="s">
        <v>174</v>
      </c>
      <c r="C243" t="str">
        <f>VLOOKUP(VALUE(A243),CURRENT,2,FALSE)</f>
        <v>Sky Sports Main Event HD</v>
      </c>
      <c r="D243" t="str">
        <f>IF(B243=C243,"","x")</f>
        <v/>
      </c>
      <c r="E243" t="str">
        <f>IFERROR(VLOOKUP(VLOOKUP(VALUE(A243),CURRENT,4,FALSE),NOV,2,FALSE),"")</f>
        <v/>
      </c>
      <c r="F243" t="str">
        <f>IFERROR(VLOOKUP(VLOOKUP(VALUE(A243),CURRENT,5,FALSE),NOV,2,FALSE),"")</f>
        <v/>
      </c>
      <c r="G243" t="str">
        <f t="shared" si="6"/>
        <v/>
      </c>
      <c r="H243" t="str">
        <f t="shared" si="7"/>
        <v/>
      </c>
    </row>
    <row r="244" spans="1:8" x14ac:dyDescent="0.25">
      <c r="A244" s="4">
        <v>502</v>
      </c>
      <c r="B244" s="4" t="s">
        <v>175</v>
      </c>
      <c r="C244" t="str">
        <f>VLOOKUP(VALUE(A244),CURRENT,2,FALSE)</f>
        <v>Sky Sports Premier League HD</v>
      </c>
      <c r="D244" t="str">
        <f>IF(B244=C244,"","x")</f>
        <v/>
      </c>
      <c r="E244" t="str">
        <f>IFERROR(VLOOKUP(VLOOKUP(VALUE(A244),CURRENT,4,FALSE),NOV,2,FALSE),"")</f>
        <v/>
      </c>
      <c r="F244" t="str">
        <f>IFERROR(VLOOKUP(VLOOKUP(VALUE(A244),CURRENT,5,FALSE),NOV,2,FALSE),"")</f>
        <v/>
      </c>
      <c r="G244" t="str">
        <f t="shared" si="6"/>
        <v/>
      </c>
      <c r="H244" t="str">
        <f t="shared" si="7"/>
        <v/>
      </c>
    </row>
    <row r="245" spans="1:8" x14ac:dyDescent="0.25">
      <c r="A245" s="4">
        <v>503</v>
      </c>
      <c r="B245" s="4" t="s">
        <v>176</v>
      </c>
      <c r="C245" t="str">
        <f>VLOOKUP(VALUE(A245),CURRENT,2,FALSE)</f>
        <v>Sky Sports Football HD</v>
      </c>
      <c r="D245" t="str">
        <f>IF(B245=C245,"","x")</f>
        <v/>
      </c>
      <c r="E245" t="str">
        <f>IFERROR(VLOOKUP(VLOOKUP(VALUE(A245),CURRENT,4,FALSE),NOV,2,FALSE),"")</f>
        <v/>
      </c>
      <c r="F245" t="str">
        <f>IFERROR(VLOOKUP(VLOOKUP(VALUE(A245),CURRENT,5,FALSE),NOV,2,FALSE),"")</f>
        <v/>
      </c>
      <c r="G245" t="str">
        <f t="shared" si="6"/>
        <v/>
      </c>
      <c r="H245" t="str">
        <f t="shared" si="7"/>
        <v/>
      </c>
    </row>
    <row r="246" spans="1:8" x14ac:dyDescent="0.25">
      <c r="A246" s="4">
        <v>504</v>
      </c>
      <c r="B246" s="4" t="s">
        <v>177</v>
      </c>
      <c r="C246" t="str">
        <f>VLOOKUP(VALUE(A246),CURRENT,2,FALSE)</f>
        <v>Sky Sports Cricket HD</v>
      </c>
      <c r="D246" t="str">
        <f>IF(B246=C246,"","x")</f>
        <v/>
      </c>
      <c r="E246" t="str">
        <f>IFERROR(VLOOKUP(VLOOKUP(VALUE(A246),CURRENT,4,FALSE),NOV,2,FALSE),"")</f>
        <v/>
      </c>
      <c r="F246" t="str">
        <f>IFERROR(VLOOKUP(VLOOKUP(VALUE(A246),CURRENT,5,FALSE),NOV,2,FALSE),"")</f>
        <v/>
      </c>
      <c r="G246" t="str">
        <f t="shared" si="6"/>
        <v/>
      </c>
      <c r="H246" t="str">
        <f t="shared" si="7"/>
        <v/>
      </c>
    </row>
    <row r="247" spans="1:8" x14ac:dyDescent="0.25">
      <c r="A247" s="4">
        <v>505</v>
      </c>
      <c r="B247" s="4" t="s">
        <v>178</v>
      </c>
      <c r="C247" t="str">
        <f>VLOOKUP(VALUE(A247),CURRENT,2,FALSE)</f>
        <v>Sky Sports Golf HD</v>
      </c>
      <c r="D247" t="str">
        <f>IF(B247=C247,"","x")</f>
        <v/>
      </c>
      <c r="E247" t="str">
        <f>IFERROR(VLOOKUP(VLOOKUP(VALUE(A247),CURRENT,4,FALSE),NOV,2,FALSE),"")</f>
        <v/>
      </c>
      <c r="F247" t="str">
        <f>IFERROR(VLOOKUP(VLOOKUP(VALUE(A247),CURRENT,5,FALSE),NOV,2,FALSE),"")</f>
        <v/>
      </c>
      <c r="G247" t="str">
        <f t="shared" si="6"/>
        <v/>
      </c>
      <c r="H247" t="str">
        <f t="shared" si="7"/>
        <v/>
      </c>
    </row>
    <row r="248" spans="1:8" x14ac:dyDescent="0.25">
      <c r="A248" s="4">
        <v>506</v>
      </c>
      <c r="B248" s="4" t="s">
        <v>179</v>
      </c>
      <c r="C248" t="str">
        <f>VLOOKUP(VALUE(A248),CURRENT,2,FALSE)</f>
        <v>Sky Sports F1 HD</v>
      </c>
      <c r="D248" t="str">
        <f>IF(B248=C248,"","x")</f>
        <v/>
      </c>
      <c r="E248" t="str">
        <f>IFERROR(VLOOKUP(VLOOKUP(VALUE(A248),CURRENT,4,FALSE),NOV,2,FALSE),"")</f>
        <v/>
      </c>
      <c r="F248" t="str">
        <f>IFERROR(VLOOKUP(VLOOKUP(VALUE(A248),CURRENT,5,FALSE),NOV,2,FALSE),"")</f>
        <v/>
      </c>
      <c r="G248" t="str">
        <f t="shared" si="6"/>
        <v/>
      </c>
      <c r="H248" t="str">
        <f t="shared" si="7"/>
        <v/>
      </c>
    </row>
    <row r="249" spans="1:8" x14ac:dyDescent="0.25">
      <c r="A249" s="4">
        <v>507</v>
      </c>
      <c r="B249" s="4" t="s">
        <v>180</v>
      </c>
      <c r="C249" t="str">
        <f>VLOOKUP(VALUE(A249),CURRENT,2,FALSE)</f>
        <v>Sky Sports Action HD</v>
      </c>
      <c r="D249" t="str">
        <f>IF(B249=C249,"","x")</f>
        <v/>
      </c>
      <c r="E249" t="str">
        <f>IFERROR(VLOOKUP(VLOOKUP(VALUE(A249),CURRENT,4,FALSE),NOV,2,FALSE),"")</f>
        <v/>
      </c>
      <c r="F249" t="str">
        <f>IFERROR(VLOOKUP(VLOOKUP(VALUE(A249),CURRENT,5,FALSE),NOV,2,FALSE),"")</f>
        <v/>
      </c>
      <c r="G249" t="str">
        <f t="shared" si="6"/>
        <v/>
      </c>
      <c r="H249" t="str">
        <f t="shared" si="7"/>
        <v/>
      </c>
    </row>
    <row r="250" spans="1:8" x14ac:dyDescent="0.25">
      <c r="A250" s="4">
        <v>508</v>
      </c>
      <c r="B250" s="4" t="s">
        <v>181</v>
      </c>
      <c r="C250" t="str">
        <f>VLOOKUP(VALUE(A250),CURRENT,2,FALSE)</f>
        <v>Sky Sports Arena HD</v>
      </c>
      <c r="D250" t="str">
        <f>IF(B250=C250,"","x")</f>
        <v/>
      </c>
      <c r="E250" t="str">
        <f>IFERROR(VLOOKUP(VLOOKUP(VALUE(A250),CURRENT,4,FALSE),NOV,2,FALSE),"")</f>
        <v/>
      </c>
      <c r="F250" t="str">
        <f>IFERROR(VLOOKUP(VLOOKUP(VALUE(A250),CURRENT,5,FALSE),NOV,2,FALSE),"")</f>
        <v/>
      </c>
      <c r="G250" t="str">
        <f t="shared" si="6"/>
        <v/>
      </c>
      <c r="H250" t="str">
        <f t="shared" si="7"/>
        <v/>
      </c>
    </row>
    <row r="251" spans="1:8" x14ac:dyDescent="0.25">
      <c r="A251" s="4">
        <v>509</v>
      </c>
      <c r="B251" s="4" t="s">
        <v>182</v>
      </c>
      <c r="C251" t="str">
        <f>VLOOKUP(VALUE(A251),CURRENT,2,FALSE)</f>
        <v>Sky Sports News HD</v>
      </c>
      <c r="D251" t="str">
        <f>IF(B251=C251,"","x")</f>
        <v/>
      </c>
      <c r="E251" t="str">
        <f>IFERROR(VLOOKUP(VLOOKUP(VALUE(A251),CURRENT,4,FALSE),NOV,2,FALSE),"")</f>
        <v/>
      </c>
      <c r="F251" t="str">
        <f>IFERROR(VLOOKUP(VLOOKUP(VALUE(A251),CURRENT,5,FALSE),NOV,2,FALSE),"")</f>
        <v/>
      </c>
      <c r="G251" t="str">
        <f t="shared" si="6"/>
        <v/>
      </c>
      <c r="H251" t="str">
        <f t="shared" si="7"/>
        <v/>
      </c>
    </row>
    <row r="252" spans="1:8" x14ac:dyDescent="0.25">
      <c r="A252" s="4">
        <v>510</v>
      </c>
      <c r="B252" s="4" t="s">
        <v>183</v>
      </c>
      <c r="C252" t="str">
        <f>VLOOKUP(VALUE(A252),CURRENT,2,FALSE)</f>
        <v>Sky Sports Mix HD</v>
      </c>
      <c r="D252" t="str">
        <f>IF(B252=C252,"","x")</f>
        <v/>
      </c>
      <c r="E252" t="str">
        <f>IFERROR(VLOOKUP(VLOOKUP(VALUE(A252),CURRENT,4,FALSE),NOV,2,FALSE),"")</f>
        <v/>
      </c>
      <c r="F252" t="str">
        <f>IFERROR(VLOOKUP(VLOOKUP(VALUE(A252),CURRENT,5,FALSE),NOV,2,FALSE),"")</f>
        <v/>
      </c>
      <c r="G252" t="str">
        <f t="shared" si="6"/>
        <v/>
      </c>
      <c r="H252" t="str">
        <f t="shared" si="7"/>
        <v/>
      </c>
    </row>
    <row r="253" spans="1:8" x14ac:dyDescent="0.25">
      <c r="A253" s="4">
        <v>511</v>
      </c>
      <c r="B253" s="4" t="s">
        <v>184</v>
      </c>
      <c r="C253" t="str">
        <f>VLOOKUP(VALUE(A253),CURRENT,2,FALSE)</f>
        <v>Sky Sports Main Event</v>
      </c>
      <c r="D253" t="str">
        <f>IF(B253=C253,"","x")</f>
        <v/>
      </c>
      <c r="E253" t="str">
        <f>IFERROR(VLOOKUP(VLOOKUP(VALUE(A253),CURRENT,4,FALSE),NOV,2,FALSE),"")</f>
        <v>Sky Sports Main Event HD</v>
      </c>
      <c r="F253" t="str">
        <f>IFERROR(VLOOKUP(VLOOKUP(VALUE(A253),CURRENT,5,FALSE),NOV,2,FALSE),"")</f>
        <v/>
      </c>
      <c r="G253">
        <f t="shared" si="6"/>
        <v>1</v>
      </c>
      <c r="H253" t="str">
        <f t="shared" si="7"/>
        <v/>
      </c>
    </row>
    <row r="254" spans="1:8" x14ac:dyDescent="0.25">
      <c r="A254" s="4">
        <v>512</v>
      </c>
      <c r="B254" s="4" t="s">
        <v>185</v>
      </c>
      <c r="C254" t="str">
        <f>VLOOKUP(VALUE(A254),CURRENT,2,FALSE)</f>
        <v>Sky Sports Premier League</v>
      </c>
      <c r="D254" t="str">
        <f>IF(B254=C254,"","x")</f>
        <v/>
      </c>
      <c r="E254" t="str">
        <f>IFERROR(VLOOKUP(VLOOKUP(VALUE(A254),CURRENT,4,FALSE),NOV,2,FALSE),"")</f>
        <v>Sky Sports Premier League HD</v>
      </c>
      <c r="F254" t="str">
        <f>IFERROR(VLOOKUP(VLOOKUP(VALUE(A254),CURRENT,5,FALSE),NOV,2,FALSE),"")</f>
        <v/>
      </c>
      <c r="G254">
        <f t="shared" si="6"/>
        <v>1</v>
      </c>
      <c r="H254" t="str">
        <f t="shared" si="7"/>
        <v/>
      </c>
    </row>
    <row r="255" spans="1:8" x14ac:dyDescent="0.25">
      <c r="A255" s="4">
        <v>513</v>
      </c>
      <c r="B255" s="4" t="s">
        <v>186</v>
      </c>
      <c r="C255" t="str">
        <f>VLOOKUP(VALUE(A255),CURRENT,2,FALSE)</f>
        <v>Sky Sports Football</v>
      </c>
      <c r="D255" t="str">
        <f>IF(B255=C255,"","x")</f>
        <v/>
      </c>
      <c r="E255" t="str">
        <f>IFERROR(VLOOKUP(VLOOKUP(VALUE(A255),CURRENT,4,FALSE),NOV,2,FALSE),"")</f>
        <v>Sky Sports Football HD</v>
      </c>
      <c r="F255" t="str">
        <f>IFERROR(VLOOKUP(VLOOKUP(VALUE(A255),CURRENT,5,FALSE),NOV,2,FALSE),"")</f>
        <v/>
      </c>
      <c r="G255">
        <f t="shared" si="6"/>
        <v>1</v>
      </c>
      <c r="H255" t="str">
        <f t="shared" si="7"/>
        <v/>
      </c>
    </row>
    <row r="256" spans="1:8" x14ac:dyDescent="0.25">
      <c r="A256" s="4">
        <v>514</v>
      </c>
      <c r="B256" s="4" t="s">
        <v>187</v>
      </c>
      <c r="C256" t="str">
        <f>VLOOKUP(VALUE(A256),CURRENT,2,FALSE)</f>
        <v>Sky Sports Cricket</v>
      </c>
      <c r="D256" t="str">
        <f>IF(B256=C256,"","x")</f>
        <v/>
      </c>
      <c r="E256" t="str">
        <f>IFERROR(VLOOKUP(VLOOKUP(VALUE(A256),CURRENT,4,FALSE),NOV,2,FALSE),"")</f>
        <v>Sky Sports Cricket HD</v>
      </c>
      <c r="F256" t="str">
        <f>IFERROR(VLOOKUP(VLOOKUP(VALUE(A256),CURRENT,5,FALSE),NOV,2,FALSE),"")</f>
        <v/>
      </c>
      <c r="G256">
        <f t="shared" si="6"/>
        <v>1</v>
      </c>
      <c r="H256" t="str">
        <f t="shared" si="7"/>
        <v/>
      </c>
    </row>
    <row r="257" spans="1:8" x14ac:dyDescent="0.25">
      <c r="A257" s="4">
        <v>515</v>
      </c>
      <c r="B257" s="4" t="s">
        <v>188</v>
      </c>
      <c r="C257" t="str">
        <f>VLOOKUP(VALUE(A257),CURRENT,2,FALSE)</f>
        <v>Sky Sports Golf</v>
      </c>
      <c r="D257" t="str">
        <f>IF(B257=C257,"","x")</f>
        <v/>
      </c>
      <c r="E257" t="str">
        <f>IFERROR(VLOOKUP(VLOOKUP(VALUE(A257),CURRENT,4,FALSE),NOV,2,FALSE),"")</f>
        <v>Sky Sports Golf HD</v>
      </c>
      <c r="F257" t="str">
        <f>IFERROR(VLOOKUP(VLOOKUP(VALUE(A257),CURRENT,5,FALSE),NOV,2,FALSE),"")</f>
        <v/>
      </c>
      <c r="G257">
        <f t="shared" si="6"/>
        <v>1</v>
      </c>
      <c r="H257" t="str">
        <f t="shared" si="7"/>
        <v/>
      </c>
    </row>
    <row r="258" spans="1:8" x14ac:dyDescent="0.25">
      <c r="A258" s="4">
        <v>516</v>
      </c>
      <c r="B258" s="4" t="s">
        <v>189</v>
      </c>
      <c r="C258" t="str">
        <f>VLOOKUP(VALUE(A258),CURRENT,2,FALSE)</f>
        <v>Sky Sports F1</v>
      </c>
      <c r="D258" t="str">
        <f>IF(B258=C258,"","x")</f>
        <v/>
      </c>
      <c r="E258" t="str">
        <f>IFERROR(VLOOKUP(VLOOKUP(VALUE(A258),CURRENT,4,FALSE),NOV,2,FALSE),"")</f>
        <v>Sky Sports F1 HD</v>
      </c>
      <c r="F258" t="str">
        <f>IFERROR(VLOOKUP(VLOOKUP(VALUE(A258),CURRENT,5,FALSE),NOV,2,FALSE),"")</f>
        <v/>
      </c>
      <c r="G258">
        <f t="shared" si="6"/>
        <v>1</v>
      </c>
      <c r="H258" t="str">
        <f t="shared" si="7"/>
        <v/>
      </c>
    </row>
    <row r="259" spans="1:8" x14ac:dyDescent="0.25">
      <c r="A259" s="4">
        <v>517</v>
      </c>
      <c r="B259" s="4" t="s">
        <v>190</v>
      </c>
      <c r="C259" t="str">
        <f>VLOOKUP(VALUE(A259),CURRENT,2,FALSE)</f>
        <v>Sky Sports Action</v>
      </c>
      <c r="D259" t="str">
        <f>IF(B259=C259,"","x")</f>
        <v/>
      </c>
      <c r="E259" t="str">
        <f>IFERROR(VLOOKUP(VLOOKUP(VALUE(A259),CURRENT,4,FALSE),NOV,2,FALSE),"")</f>
        <v>Sky Sports Action HD</v>
      </c>
      <c r="F259" t="str">
        <f>IFERROR(VLOOKUP(VLOOKUP(VALUE(A259),CURRENT,5,FALSE),NOV,2,FALSE),"")</f>
        <v/>
      </c>
      <c r="G259">
        <f t="shared" ref="G259:G322" si="8">IF(E259&lt;&gt;"",FIND(IFERROR(LEFT(B259,FIND(" ",B259)-1),B259),E259),"")</f>
        <v>1</v>
      </c>
      <c r="H259" t="str">
        <f t="shared" ref="H259:H322" si="9">IF(F259&lt;&gt;"",FIND(IFERROR(LEFT(B259,FIND(" ",B259)-1),B259),F259),"")</f>
        <v/>
      </c>
    </row>
    <row r="260" spans="1:8" x14ac:dyDescent="0.25">
      <c r="A260" s="4">
        <v>518</v>
      </c>
      <c r="B260" s="4" t="s">
        <v>191</v>
      </c>
      <c r="C260" t="str">
        <f>VLOOKUP(VALUE(A260),CURRENT,2,FALSE)</f>
        <v>Sky Sports Arena</v>
      </c>
      <c r="D260" t="str">
        <f>IF(B260=C260,"","x")</f>
        <v/>
      </c>
      <c r="E260" t="str">
        <f>IFERROR(VLOOKUP(VLOOKUP(VALUE(A260),CURRENT,4,FALSE),NOV,2,FALSE),"")</f>
        <v>Sky Sports Arena HD</v>
      </c>
      <c r="F260" t="str">
        <f>IFERROR(VLOOKUP(VLOOKUP(VALUE(A260),CURRENT,5,FALSE),NOV,2,FALSE),"")</f>
        <v/>
      </c>
      <c r="G260">
        <f t="shared" si="8"/>
        <v>1</v>
      </c>
      <c r="H260" t="str">
        <f t="shared" si="9"/>
        <v/>
      </c>
    </row>
    <row r="261" spans="1:8" x14ac:dyDescent="0.25">
      <c r="A261" s="4">
        <v>519</v>
      </c>
      <c r="B261" s="4" t="s">
        <v>192</v>
      </c>
      <c r="C261" t="str">
        <f>VLOOKUP(VALUE(A261),CURRENT,2,FALSE)</f>
        <v>Sky Sports News</v>
      </c>
      <c r="D261" t="str">
        <f>IF(B261=C261,"","x")</f>
        <v/>
      </c>
      <c r="E261" t="str">
        <f>IFERROR(VLOOKUP(VLOOKUP(VALUE(A261),CURRENT,4,FALSE),NOV,2,FALSE),"")</f>
        <v>Sky Sports News HD</v>
      </c>
      <c r="F261" t="str">
        <f>IFERROR(VLOOKUP(VLOOKUP(VALUE(A261),CURRENT,5,FALSE),NOV,2,FALSE),"")</f>
        <v/>
      </c>
      <c r="G261">
        <f t="shared" si="8"/>
        <v>1</v>
      </c>
      <c r="H261" t="str">
        <f t="shared" si="9"/>
        <v/>
      </c>
    </row>
    <row r="262" spans="1:8" x14ac:dyDescent="0.25">
      <c r="A262" s="4">
        <v>520</v>
      </c>
      <c r="B262" s="4" t="s">
        <v>193</v>
      </c>
      <c r="C262" t="str">
        <f>VLOOKUP(VALUE(A262),CURRENT,2,FALSE)</f>
        <v>Sky Sports Mix</v>
      </c>
      <c r="D262" t="str">
        <f>IF(B262=C262,"","x")</f>
        <v/>
      </c>
      <c r="E262" t="str">
        <f>IFERROR(VLOOKUP(VLOOKUP(VALUE(A262),CURRENT,4,FALSE),NOV,2,FALSE),"")</f>
        <v>Sky Sports Mix HD</v>
      </c>
      <c r="F262" t="str">
        <f>IFERROR(VLOOKUP(VLOOKUP(VALUE(A262),CURRENT,5,FALSE),NOV,2,FALSE),"")</f>
        <v/>
      </c>
      <c r="G262">
        <f t="shared" si="8"/>
        <v>1</v>
      </c>
      <c r="H262" t="str">
        <f t="shared" si="9"/>
        <v/>
      </c>
    </row>
    <row r="263" spans="1:8" x14ac:dyDescent="0.25">
      <c r="A263" s="4">
        <v>521</v>
      </c>
      <c r="B263" s="4" t="s">
        <v>194</v>
      </c>
      <c r="C263" t="str">
        <f>VLOOKUP(VALUE(A263),CURRENT,2,FALSE)</f>
        <v>Eurosport 1 HD</v>
      </c>
      <c r="D263" t="str">
        <f>IF(B263=C263,"","x")</f>
        <v/>
      </c>
      <c r="E263" t="str">
        <f>IFERROR(VLOOKUP(VLOOKUP(VALUE(A263),CURRENT,4,FALSE),NOV,2,FALSE),"")</f>
        <v/>
      </c>
      <c r="F263" t="str">
        <f>IFERROR(VLOOKUP(VLOOKUP(VALUE(A263),CURRENT,5,FALSE),NOV,2,FALSE),"")</f>
        <v/>
      </c>
      <c r="G263" t="str">
        <f t="shared" si="8"/>
        <v/>
      </c>
      <c r="H263" t="str">
        <f t="shared" si="9"/>
        <v/>
      </c>
    </row>
    <row r="264" spans="1:8" x14ac:dyDescent="0.25">
      <c r="A264" s="4">
        <v>522</v>
      </c>
      <c r="B264" s="4" t="s">
        <v>195</v>
      </c>
      <c r="C264" t="str">
        <f>VLOOKUP(VALUE(A264),CURRENT,2,FALSE)</f>
        <v>Eurosport 2 HD</v>
      </c>
      <c r="D264" t="str">
        <f>IF(B264=C264,"","x")</f>
        <v/>
      </c>
      <c r="E264" t="str">
        <f>IFERROR(VLOOKUP(VLOOKUP(VALUE(A264),CURRENT,4,FALSE),NOV,2,FALSE),"")</f>
        <v/>
      </c>
      <c r="F264" t="str">
        <f>IFERROR(VLOOKUP(VLOOKUP(VALUE(A264),CURRENT,5,FALSE),NOV,2,FALSE),"")</f>
        <v/>
      </c>
      <c r="G264" t="str">
        <f t="shared" si="8"/>
        <v/>
      </c>
      <c r="H264" t="str">
        <f t="shared" si="9"/>
        <v/>
      </c>
    </row>
    <row r="265" spans="1:8" x14ac:dyDescent="0.25">
      <c r="A265" s="4">
        <v>523</v>
      </c>
      <c r="B265" s="4" t="s">
        <v>196</v>
      </c>
      <c r="C265" t="str">
        <f>VLOOKUP(VALUE(A265),CURRENT,2,FALSE)</f>
        <v>Eurosport 1</v>
      </c>
      <c r="D265" t="str">
        <f>IF(B265=C265,"","x")</f>
        <v/>
      </c>
      <c r="E265" t="str">
        <f>IFERROR(VLOOKUP(VLOOKUP(VALUE(A265),CURRENT,4,FALSE),NOV,2,FALSE),"")</f>
        <v>Eurosport 1 HD</v>
      </c>
      <c r="F265" t="str">
        <f>IFERROR(VLOOKUP(VLOOKUP(VALUE(A265),CURRENT,5,FALSE),NOV,2,FALSE),"")</f>
        <v/>
      </c>
      <c r="G265">
        <f t="shared" si="8"/>
        <v>1</v>
      </c>
      <c r="H265" t="str">
        <f t="shared" si="9"/>
        <v/>
      </c>
    </row>
    <row r="266" spans="1:8" x14ac:dyDescent="0.25">
      <c r="A266" s="4">
        <v>524</v>
      </c>
      <c r="B266" s="4" t="s">
        <v>197</v>
      </c>
      <c r="C266" t="str">
        <f>VLOOKUP(VALUE(A266),CURRENT,2,FALSE)</f>
        <v>Eurosport 2</v>
      </c>
      <c r="D266" t="str">
        <f>IF(B266=C266,"","x")</f>
        <v/>
      </c>
      <c r="E266" t="str">
        <f>IFERROR(VLOOKUP(VLOOKUP(VALUE(A266),CURRENT,4,FALSE),NOV,2,FALSE),"")</f>
        <v>Eurosport 2 HD</v>
      </c>
      <c r="F266" t="str">
        <f>IFERROR(VLOOKUP(VLOOKUP(VALUE(A266),CURRENT,5,FALSE),NOV,2,FALSE),"")</f>
        <v/>
      </c>
      <c r="G266">
        <f t="shared" si="8"/>
        <v>1</v>
      </c>
      <c r="H266" t="str">
        <f t="shared" si="9"/>
        <v/>
      </c>
    </row>
    <row r="267" spans="1:8" x14ac:dyDescent="0.25">
      <c r="A267" s="4">
        <v>526</v>
      </c>
      <c r="B267" s="4" t="s">
        <v>198</v>
      </c>
      <c r="C267" t="str">
        <f>VLOOKUP(VALUE(A267),CURRENT,2,FALSE)</f>
        <v>MUTV</v>
      </c>
      <c r="D267" t="str">
        <f>IF(B267=C267,"","x")</f>
        <v/>
      </c>
      <c r="E267" t="str">
        <f>IFERROR(VLOOKUP(VLOOKUP(VALUE(A267),CURRENT,4,FALSE),NOV,2,FALSE),"")</f>
        <v/>
      </c>
      <c r="F267" t="str">
        <f>IFERROR(VLOOKUP(VLOOKUP(VALUE(A267),CURRENT,5,FALSE),NOV,2,FALSE),"")</f>
        <v/>
      </c>
      <c r="G267" t="str">
        <f t="shared" si="8"/>
        <v/>
      </c>
      <c r="H267" t="str">
        <f t="shared" si="9"/>
        <v/>
      </c>
    </row>
    <row r="268" spans="1:8" x14ac:dyDescent="0.25">
      <c r="A268" s="4">
        <v>527</v>
      </c>
      <c r="B268" s="4" t="s">
        <v>199</v>
      </c>
      <c r="C268" t="str">
        <f>VLOOKUP(VALUE(A268),CURRENT,2,FALSE)</f>
        <v>BT Sport 1 HD</v>
      </c>
      <c r="D268" t="str">
        <f>IF(B268=C268,"","x")</f>
        <v/>
      </c>
      <c r="E268" t="str">
        <f>IFERROR(VLOOKUP(VLOOKUP(VALUE(A268),CURRENT,4,FALSE),NOV,2,FALSE),"")</f>
        <v/>
      </c>
      <c r="F268" t="str">
        <f>IFERROR(VLOOKUP(VLOOKUP(VALUE(A268),CURRENT,5,FALSE),NOV,2,FALSE),"")</f>
        <v/>
      </c>
      <c r="G268" t="str">
        <f t="shared" si="8"/>
        <v/>
      </c>
      <c r="H268" t="str">
        <f t="shared" si="9"/>
        <v/>
      </c>
    </row>
    <row r="269" spans="1:8" x14ac:dyDescent="0.25">
      <c r="A269" s="4">
        <v>528</v>
      </c>
      <c r="B269" s="4" t="s">
        <v>200</v>
      </c>
      <c r="C269" t="str">
        <f>VLOOKUP(VALUE(A269),CURRENT,2,FALSE)</f>
        <v>BT Sport 2 HD</v>
      </c>
      <c r="D269" t="str">
        <f>IF(B269=C269,"","x")</f>
        <v/>
      </c>
      <c r="E269" t="str">
        <f>IFERROR(VLOOKUP(VLOOKUP(VALUE(A269),CURRENT,4,FALSE),NOV,2,FALSE),"")</f>
        <v/>
      </c>
      <c r="F269" t="str">
        <f>IFERROR(VLOOKUP(VLOOKUP(VALUE(A269),CURRENT,5,FALSE),NOV,2,FALSE),"")</f>
        <v/>
      </c>
      <c r="G269" t="str">
        <f t="shared" si="8"/>
        <v/>
      </c>
      <c r="H269" t="str">
        <f t="shared" si="9"/>
        <v/>
      </c>
    </row>
    <row r="270" spans="1:8" x14ac:dyDescent="0.25">
      <c r="A270" s="4">
        <v>529</v>
      </c>
      <c r="B270" s="4" t="s">
        <v>201</v>
      </c>
      <c r="C270" t="str">
        <f>VLOOKUP(VALUE(A270),CURRENT,2,FALSE)</f>
        <v>BT Sport 3 HD</v>
      </c>
      <c r="D270" t="str">
        <f>IF(B270=C270,"","x")</f>
        <v/>
      </c>
      <c r="E270" t="str">
        <f>IFERROR(VLOOKUP(VLOOKUP(VALUE(A270),CURRENT,4,FALSE),NOV,2,FALSE),"")</f>
        <v/>
      </c>
      <c r="F270" t="str">
        <f>IFERROR(VLOOKUP(VLOOKUP(VALUE(A270),CURRENT,5,FALSE),NOV,2,FALSE),"")</f>
        <v/>
      </c>
      <c r="G270" t="str">
        <f t="shared" si="8"/>
        <v/>
      </c>
      <c r="H270" t="str">
        <f t="shared" si="9"/>
        <v/>
      </c>
    </row>
    <row r="271" spans="1:8" x14ac:dyDescent="0.25">
      <c r="A271" s="4">
        <v>530</v>
      </c>
      <c r="B271" s="4" t="s">
        <v>202</v>
      </c>
      <c r="C271" t="str">
        <f>VLOOKUP(VALUE(A271),CURRENT,2,FALSE)</f>
        <v>BT Sport ESPN HD</v>
      </c>
      <c r="D271" t="str">
        <f>IF(B271=C271,"","x")</f>
        <v/>
      </c>
      <c r="E271" t="str">
        <f>IFERROR(VLOOKUP(VLOOKUP(VALUE(A271),CURRENT,4,FALSE),NOV,2,FALSE),"")</f>
        <v/>
      </c>
      <c r="F271" t="str">
        <f>IFERROR(VLOOKUP(VLOOKUP(VALUE(A271),CURRENT,5,FALSE),NOV,2,FALSE),"")</f>
        <v/>
      </c>
      <c r="G271" t="str">
        <f t="shared" si="8"/>
        <v/>
      </c>
      <c r="H271" t="str">
        <f t="shared" si="9"/>
        <v/>
      </c>
    </row>
    <row r="272" spans="1:8" x14ac:dyDescent="0.25">
      <c r="A272" s="4">
        <v>531</v>
      </c>
      <c r="B272" s="4" t="s">
        <v>333</v>
      </c>
      <c r="C272" t="str">
        <f>VLOOKUP(VALUE(A272),CURRENT,2,FALSE)</f>
        <v>BT Sport 4K UHD</v>
      </c>
      <c r="D272" t="str">
        <f>IF(B272=C272,"","x")</f>
        <v/>
      </c>
      <c r="E272" t="str">
        <f>IFERROR(VLOOKUP(VLOOKUP(VALUE(A272),CURRENT,4,FALSE),NOV,2,FALSE),"")</f>
        <v/>
      </c>
      <c r="F272" t="str">
        <f>IFERROR(VLOOKUP(VLOOKUP(VALUE(A272),CURRENT,5,FALSE),NOV,2,FALSE),"")</f>
        <v/>
      </c>
      <c r="G272" t="str">
        <f t="shared" si="8"/>
        <v/>
      </c>
      <c r="H272" t="str">
        <f t="shared" si="9"/>
        <v/>
      </c>
    </row>
    <row r="273" spans="1:8" x14ac:dyDescent="0.25">
      <c r="A273" s="4">
        <v>535</v>
      </c>
      <c r="B273" s="4" t="s">
        <v>572</v>
      </c>
      <c r="C273" t="str">
        <f>VLOOKUP(VALUE(A273),CURRENT,2,FALSE)</f>
        <v>At The Races</v>
      </c>
      <c r="D273" t="str">
        <f>IF(B273=C273,"","x")</f>
        <v/>
      </c>
      <c r="E273" t="str">
        <f>IFERROR(VLOOKUP(VLOOKUP(VALUE(A273),CURRENT,4,FALSE),NOV,2,FALSE),"")</f>
        <v/>
      </c>
      <c r="F273" t="str">
        <f>IFERROR(VLOOKUP(VLOOKUP(VALUE(A273),CURRENT,5,FALSE),NOV,2,FALSE),"")</f>
        <v/>
      </c>
      <c r="G273" t="str">
        <f t="shared" si="8"/>
        <v/>
      </c>
      <c r="H273" t="str">
        <f t="shared" si="9"/>
        <v/>
      </c>
    </row>
    <row r="274" spans="1:8" x14ac:dyDescent="0.25">
      <c r="A274" s="4">
        <v>536</v>
      </c>
      <c r="B274" s="4" t="s">
        <v>693</v>
      </c>
      <c r="C274" t="str">
        <f>VLOOKUP(VALUE(A274),CURRENT,2,FALSE)</f>
        <v>Racing TV HD</v>
      </c>
      <c r="D274" t="str">
        <f>IF(B274=C274,"","x")</f>
        <v/>
      </c>
      <c r="E274" t="str">
        <f>IFERROR(VLOOKUP(VLOOKUP(VALUE(A274),CURRENT,4,FALSE),NOV,2,FALSE),"")</f>
        <v/>
      </c>
      <c r="F274" t="str">
        <f>IFERROR(VLOOKUP(VLOOKUP(VALUE(A274),CURRENT,5,FALSE),NOV,2,FALSE),"")</f>
        <v/>
      </c>
      <c r="G274" t="str">
        <f t="shared" si="8"/>
        <v/>
      </c>
      <c r="H274" t="str">
        <f t="shared" si="9"/>
        <v/>
      </c>
    </row>
    <row r="275" spans="1:8" x14ac:dyDescent="0.25">
      <c r="A275" s="4">
        <v>544</v>
      </c>
      <c r="B275" s="4" t="s">
        <v>573</v>
      </c>
      <c r="C275" t="str">
        <f>VLOOKUP(VALUE(A275),CURRENT,2,FALSE)</f>
        <v>LFCTV</v>
      </c>
      <c r="D275" t="str">
        <f>IF(B275=C275,"","x")</f>
        <v/>
      </c>
      <c r="E275" t="str">
        <f>IFERROR(VLOOKUP(VLOOKUP(VALUE(A275),CURRENT,4,FALSE),NOV,2,FALSE),"")</f>
        <v/>
      </c>
      <c r="F275" t="str">
        <f>IFERROR(VLOOKUP(VLOOKUP(VALUE(A275),CURRENT,5,FALSE),NOV,2,FALSE),"")</f>
        <v/>
      </c>
      <c r="G275" t="str">
        <f t="shared" si="8"/>
        <v/>
      </c>
      <c r="H275" t="str">
        <f t="shared" si="9"/>
        <v/>
      </c>
    </row>
    <row r="276" spans="1:8" x14ac:dyDescent="0.25">
      <c r="A276" s="4">
        <v>546</v>
      </c>
      <c r="B276" s="4" t="s">
        <v>329</v>
      </c>
      <c r="C276" t="str">
        <f>VLOOKUP(VALUE(A276),CURRENT,2,FALSE)</f>
        <v>BoxNation</v>
      </c>
      <c r="D276" t="str">
        <f>IF(B276=C276,"","x")</f>
        <v/>
      </c>
      <c r="E276" t="str">
        <f>IFERROR(VLOOKUP(VLOOKUP(VALUE(A276),CURRENT,4,FALSE),NOV,2,FALSE),"")</f>
        <v/>
      </c>
      <c r="F276" t="str">
        <f>IFERROR(VLOOKUP(VLOOKUP(VALUE(A276),CURRENT,5,FALSE),NOV,2,FALSE),"")</f>
        <v/>
      </c>
      <c r="G276" t="str">
        <f t="shared" si="8"/>
        <v/>
      </c>
      <c r="H276" t="str">
        <f t="shared" si="9"/>
        <v/>
      </c>
    </row>
    <row r="277" spans="1:8" x14ac:dyDescent="0.25">
      <c r="A277" s="4">
        <v>551</v>
      </c>
      <c r="B277" s="4" t="s">
        <v>330</v>
      </c>
      <c r="C277" t="str">
        <f>VLOOKUP(VALUE(A277),CURRENT,2,FALSE)</f>
        <v>Premier Sports 1 HD</v>
      </c>
      <c r="D277" t="str">
        <f>IF(B277=C277,"","x")</f>
        <v/>
      </c>
      <c r="E277" t="str">
        <f>IFERROR(VLOOKUP(VLOOKUP(VALUE(A277),CURRENT,4,FALSE),NOV,2,FALSE),"")</f>
        <v/>
      </c>
      <c r="F277" t="str">
        <f>IFERROR(VLOOKUP(VLOOKUP(VALUE(A277),CURRENT,5,FALSE),NOV,2,FALSE),"")</f>
        <v/>
      </c>
      <c r="G277" t="str">
        <f t="shared" si="8"/>
        <v/>
      </c>
      <c r="H277" t="str">
        <f t="shared" si="9"/>
        <v/>
      </c>
    </row>
    <row r="278" spans="1:8" x14ac:dyDescent="0.25">
      <c r="A278" s="4">
        <v>552</v>
      </c>
      <c r="B278" s="4" t="s">
        <v>331</v>
      </c>
      <c r="C278" t="str">
        <f>VLOOKUP(VALUE(A278),CURRENT,2,FALSE)</f>
        <v>Premier Sports 2</v>
      </c>
      <c r="D278" t="str">
        <f>IF(B278=C278,"","x")</f>
        <v/>
      </c>
      <c r="E278" t="str">
        <f>IFERROR(VLOOKUP(VLOOKUP(VALUE(A278),CURRENT,4,FALSE),NOV,2,FALSE),"")</f>
        <v/>
      </c>
      <c r="F278" t="str">
        <f>IFERROR(VLOOKUP(VLOOKUP(VALUE(A278),CURRENT,5,FALSE),NOV,2,FALSE),"")</f>
        <v/>
      </c>
      <c r="G278" t="str">
        <f t="shared" si="8"/>
        <v/>
      </c>
      <c r="H278" t="str">
        <f t="shared" si="9"/>
        <v/>
      </c>
    </row>
    <row r="279" spans="1:8" x14ac:dyDescent="0.25">
      <c r="A279" s="4">
        <v>553</v>
      </c>
      <c r="B279" s="4" t="s">
        <v>332</v>
      </c>
      <c r="C279" t="str">
        <f>VLOOKUP(VALUE(A279),CURRENT,2,FALSE)</f>
        <v>FreeSports HD</v>
      </c>
      <c r="D279" t="str">
        <f>IF(B279=C279,"","x")</f>
        <v/>
      </c>
      <c r="E279" t="str">
        <f>IFERROR(VLOOKUP(VLOOKUP(VALUE(A279),CURRENT,4,FALSE),NOV,2,FALSE),"")</f>
        <v/>
      </c>
      <c r="F279" t="str">
        <f>IFERROR(VLOOKUP(VLOOKUP(VALUE(A279),CURRENT,5,FALSE),NOV,2,FALSE),"")</f>
        <v/>
      </c>
      <c r="G279" t="str">
        <f t="shared" si="8"/>
        <v/>
      </c>
      <c r="H279" t="str">
        <f t="shared" si="9"/>
        <v/>
      </c>
    </row>
    <row r="280" spans="1:8" x14ac:dyDescent="0.25">
      <c r="A280" s="4">
        <v>601</v>
      </c>
      <c r="B280" s="4" t="s">
        <v>204</v>
      </c>
      <c r="C280" t="str">
        <f>VLOOKUP(VALUE(A280),CURRENT,2,FALSE)</f>
        <v>BBC News</v>
      </c>
      <c r="D280" t="str">
        <f>IF(B280=C280,"","x")</f>
        <v/>
      </c>
      <c r="E280" t="str">
        <f>IFERROR(VLOOKUP(VLOOKUP(VALUE(A280),CURRENT,4,FALSE),NOV,2,FALSE),"")</f>
        <v>BBC News HD</v>
      </c>
      <c r="F280" t="str">
        <f>IFERROR(VLOOKUP(VLOOKUP(VALUE(A280),CURRENT,5,FALSE),NOV,2,FALSE),"")</f>
        <v/>
      </c>
      <c r="G280">
        <f t="shared" si="8"/>
        <v>1</v>
      </c>
      <c r="H280" t="str">
        <f t="shared" si="9"/>
        <v/>
      </c>
    </row>
    <row r="281" spans="1:8" x14ac:dyDescent="0.25">
      <c r="A281" s="4">
        <v>602</v>
      </c>
      <c r="B281" s="4" t="s">
        <v>205</v>
      </c>
      <c r="C281" t="str">
        <f>VLOOKUP(VALUE(A281),CURRENT,2,FALSE)</f>
        <v>Sky News</v>
      </c>
      <c r="D281" t="str">
        <f>IF(B281=C281,"","x")</f>
        <v/>
      </c>
      <c r="E281" t="str">
        <f>IFERROR(VLOOKUP(VLOOKUP(VALUE(A281),CURRENT,4,FALSE),NOV,2,FALSE),"")</f>
        <v>Sky News HD</v>
      </c>
      <c r="F281" t="str">
        <f>IFERROR(VLOOKUP(VLOOKUP(VALUE(A281),CURRENT,5,FALSE),NOV,2,FALSE),"")</f>
        <v/>
      </c>
      <c r="G281">
        <f t="shared" si="8"/>
        <v>1</v>
      </c>
      <c r="H281" t="str">
        <f t="shared" si="9"/>
        <v/>
      </c>
    </row>
    <row r="282" spans="1:8" x14ac:dyDescent="0.25">
      <c r="A282" s="4">
        <v>603</v>
      </c>
      <c r="B282" s="4" t="s">
        <v>206</v>
      </c>
      <c r="C282" t="str">
        <f>VLOOKUP(VALUE(A282),CURRENT,2,FALSE)</f>
        <v>Sky News HD</v>
      </c>
      <c r="D282" t="str">
        <f>IF(B282=C282,"","x")</f>
        <v/>
      </c>
      <c r="E282" t="str">
        <f>IFERROR(VLOOKUP(VLOOKUP(VALUE(A282),CURRENT,4,FALSE),NOV,2,FALSE),"")</f>
        <v/>
      </c>
      <c r="F282" t="str">
        <f>IFERROR(VLOOKUP(VLOOKUP(VALUE(A282),CURRENT,5,FALSE),NOV,2,FALSE),"")</f>
        <v/>
      </c>
      <c r="G282" t="str">
        <f t="shared" si="8"/>
        <v/>
      </c>
      <c r="H282" t="str">
        <f t="shared" si="9"/>
        <v/>
      </c>
    </row>
    <row r="283" spans="1:8" x14ac:dyDescent="0.25">
      <c r="A283" s="4">
        <v>604</v>
      </c>
      <c r="B283" s="4" t="s">
        <v>207</v>
      </c>
      <c r="C283" t="str">
        <f>VLOOKUP(VALUE(A283),CURRENT,2,FALSE)</f>
        <v>BBC News HD</v>
      </c>
      <c r="D283" t="str">
        <f>IF(B283=C283,"","x")</f>
        <v/>
      </c>
      <c r="E283" t="str">
        <f>IFERROR(VLOOKUP(VLOOKUP(VALUE(A283),CURRENT,4,FALSE),NOV,2,FALSE),"")</f>
        <v/>
      </c>
      <c r="F283" t="str">
        <f>IFERROR(VLOOKUP(VLOOKUP(VALUE(A283),CURRENT,5,FALSE),NOV,2,FALSE),"")</f>
        <v/>
      </c>
      <c r="G283" t="str">
        <f t="shared" si="8"/>
        <v/>
      </c>
      <c r="H283" t="str">
        <f t="shared" si="9"/>
        <v/>
      </c>
    </row>
    <row r="284" spans="1:8" x14ac:dyDescent="0.25">
      <c r="A284" s="4">
        <v>605</v>
      </c>
      <c r="B284" s="4" t="s">
        <v>208</v>
      </c>
      <c r="C284" t="str">
        <f>VLOOKUP(VALUE(A284),CURRENT,2,FALSE)</f>
        <v>BBC Parliament</v>
      </c>
      <c r="D284" t="str">
        <f>IF(B284=C284,"","x")</f>
        <v/>
      </c>
      <c r="E284" t="str">
        <f>IFERROR(VLOOKUP(VLOOKUP(VALUE(A284),CURRENT,4,FALSE),NOV,2,FALSE),"")</f>
        <v/>
      </c>
      <c r="F284" t="str">
        <f>IFERROR(VLOOKUP(VLOOKUP(VALUE(A284),CURRENT,5,FALSE),NOV,2,FALSE),"")</f>
        <v/>
      </c>
      <c r="G284" t="str">
        <f t="shared" si="8"/>
        <v/>
      </c>
      <c r="H284" t="str">
        <f t="shared" si="9"/>
        <v/>
      </c>
    </row>
    <row r="285" spans="1:8" x14ac:dyDescent="0.25">
      <c r="A285" s="4">
        <v>607</v>
      </c>
      <c r="B285" s="4" t="s">
        <v>577</v>
      </c>
      <c r="C285" t="str">
        <f>VLOOKUP(VALUE(A285),CURRENT,2,FALSE)</f>
        <v>CNN International</v>
      </c>
      <c r="D285" t="str">
        <f>IF(B285=C285,"","x")</f>
        <v/>
      </c>
      <c r="E285" t="str">
        <f>IFERROR(VLOOKUP(VLOOKUP(VALUE(A285),CURRENT,4,FALSE),NOV,2,FALSE),"")</f>
        <v/>
      </c>
      <c r="F285" t="str">
        <f>IFERROR(VLOOKUP(VLOOKUP(VALUE(A285),CURRENT,5,FALSE),NOV,2,FALSE),"")</f>
        <v/>
      </c>
      <c r="G285" t="str">
        <f t="shared" si="8"/>
        <v/>
      </c>
      <c r="H285" t="str">
        <f t="shared" si="9"/>
        <v/>
      </c>
    </row>
    <row r="286" spans="1:8" x14ac:dyDescent="0.25">
      <c r="A286" s="4">
        <v>609</v>
      </c>
      <c r="B286" s="4" t="s">
        <v>578</v>
      </c>
      <c r="C286" t="str">
        <f>VLOOKUP(VALUE(A286),CURRENT,2,FALSE)</f>
        <v>Bloomberg Television HD</v>
      </c>
      <c r="D286" t="str">
        <f>IF(B286=C286,"","x")</f>
        <v/>
      </c>
      <c r="E286" t="str">
        <f>IFERROR(VLOOKUP(VLOOKUP(VALUE(A286),CURRENT,4,FALSE),NOV,2,FALSE),"")</f>
        <v/>
      </c>
      <c r="F286" t="str">
        <f>IFERROR(VLOOKUP(VLOOKUP(VALUE(A286),CURRENT,5,FALSE),NOV,2,FALSE),"")</f>
        <v/>
      </c>
      <c r="G286" t="str">
        <f t="shared" si="8"/>
        <v/>
      </c>
      <c r="H286" t="str">
        <f t="shared" si="9"/>
        <v/>
      </c>
    </row>
    <row r="287" spans="1:8" x14ac:dyDescent="0.25">
      <c r="A287" s="4">
        <v>613</v>
      </c>
      <c r="B287" s="4" t="s">
        <v>580</v>
      </c>
      <c r="C287" t="str">
        <f>VLOOKUP(VALUE(A287),CURRENT,2,FALSE)</f>
        <v>CNBC Europe</v>
      </c>
      <c r="D287" t="str">
        <f>IF(B287=C287,"","x")</f>
        <v/>
      </c>
      <c r="E287" t="str">
        <f>IFERROR(VLOOKUP(VLOOKUP(VALUE(A287),CURRENT,4,FALSE),NOV,2,FALSE),"")</f>
        <v/>
      </c>
      <c r="F287" t="str">
        <f>IFERROR(VLOOKUP(VLOOKUP(VALUE(A287),CURRENT,5,FALSE),NOV,2,FALSE),"")</f>
        <v/>
      </c>
      <c r="G287" t="str">
        <f t="shared" si="8"/>
        <v/>
      </c>
      <c r="H287" t="str">
        <f t="shared" si="9"/>
        <v/>
      </c>
    </row>
    <row r="288" spans="1:8" x14ac:dyDescent="0.25">
      <c r="A288" s="4">
        <v>620</v>
      </c>
      <c r="B288" s="4" t="s">
        <v>209</v>
      </c>
      <c r="C288" t="str">
        <f>VLOOKUP(VALUE(A288),CURRENT,2,FALSE)</f>
        <v>Euronews</v>
      </c>
      <c r="D288" t="str">
        <f>IF(B288=C288,"","x")</f>
        <v/>
      </c>
      <c r="E288" t="str">
        <f>IFERROR(VLOOKUP(VLOOKUP(VALUE(A288),CURRENT,4,FALSE),NOV,2,FALSE),"")</f>
        <v/>
      </c>
      <c r="F288" t="str">
        <f>IFERROR(VLOOKUP(VLOOKUP(VALUE(A288),CURRENT,5,FALSE),NOV,2,FALSE),"")</f>
        <v/>
      </c>
      <c r="G288" t="str">
        <f t="shared" si="8"/>
        <v/>
      </c>
      <c r="H288" t="str">
        <f t="shared" si="9"/>
        <v/>
      </c>
    </row>
    <row r="289" spans="1:8" x14ac:dyDescent="0.25">
      <c r="A289" s="4">
        <v>621</v>
      </c>
      <c r="B289" s="4" t="s">
        <v>210</v>
      </c>
      <c r="C289" t="str">
        <f>VLOOKUP(VALUE(A289),CURRENT,2,FALSE)</f>
        <v>NDTV 24x7</v>
      </c>
      <c r="D289" t="str">
        <f>IF(B289=C289,"","x")</f>
        <v/>
      </c>
      <c r="E289" t="str">
        <f>IFERROR(VLOOKUP(VLOOKUP(VALUE(A289),CURRENT,4,FALSE),NOV,2,FALSE),"")</f>
        <v/>
      </c>
      <c r="F289" t="str">
        <f>IFERROR(VLOOKUP(VLOOKUP(VALUE(A289),CURRENT,5,FALSE),NOV,2,FALSE),"")</f>
        <v/>
      </c>
      <c r="G289" t="str">
        <f t="shared" si="8"/>
        <v/>
      </c>
      <c r="H289" t="str">
        <f t="shared" si="9"/>
        <v/>
      </c>
    </row>
    <row r="290" spans="1:8" x14ac:dyDescent="0.25">
      <c r="A290" s="4">
        <v>622</v>
      </c>
      <c r="B290" s="4" t="s">
        <v>211</v>
      </c>
      <c r="C290" t="str">
        <f>VLOOKUP(VALUE(A290),CURRENT,2,FALSE)</f>
        <v>Al Jazeera English</v>
      </c>
      <c r="D290" t="str">
        <f>IF(B290=C290,"","x")</f>
        <v/>
      </c>
      <c r="E290" t="str">
        <f>IFERROR(VLOOKUP(VLOOKUP(VALUE(A290),CURRENT,4,FALSE),NOV,2,FALSE),"")</f>
        <v/>
      </c>
      <c r="F290" t="str">
        <f>IFERROR(VLOOKUP(VLOOKUP(VALUE(A290),CURRENT,5,FALSE),NOV,2,FALSE),"")</f>
        <v/>
      </c>
      <c r="G290" t="str">
        <f t="shared" si="8"/>
        <v/>
      </c>
      <c r="H290" t="str">
        <f t="shared" si="9"/>
        <v/>
      </c>
    </row>
    <row r="291" spans="1:8" x14ac:dyDescent="0.25">
      <c r="A291" s="4">
        <v>624</v>
      </c>
      <c r="B291" s="4" t="s">
        <v>334</v>
      </c>
      <c r="C291" t="str">
        <f>VLOOKUP(VALUE(A291),CURRENT,2,FALSE)</f>
        <v>France 24 English HD</v>
      </c>
      <c r="D291" t="str">
        <f>IF(B291=C291,"","x")</f>
        <v/>
      </c>
      <c r="E291" t="str">
        <f>IFERROR(VLOOKUP(VLOOKUP(VALUE(A291),CURRENT,4,FALSE),NOV,2,FALSE),"")</f>
        <v/>
      </c>
      <c r="F291" t="str">
        <f>IFERROR(VLOOKUP(VLOOKUP(VALUE(A291),CURRENT,5,FALSE),NOV,2,FALSE),"")</f>
        <v/>
      </c>
      <c r="G291" t="str">
        <f t="shared" si="8"/>
        <v/>
      </c>
      <c r="H291" t="str">
        <f t="shared" si="9"/>
        <v/>
      </c>
    </row>
    <row r="292" spans="1:8" x14ac:dyDescent="0.25">
      <c r="A292" s="4">
        <v>625</v>
      </c>
      <c r="B292" s="4" t="s">
        <v>586</v>
      </c>
      <c r="C292" t="str">
        <f>VLOOKUP(VALUE(A292),CURRENT,2,FALSE)</f>
        <v>NHK World HD</v>
      </c>
      <c r="D292" t="str">
        <f>IF(B292=C292,"","x")</f>
        <v/>
      </c>
      <c r="E292" t="str">
        <f>IFERROR(VLOOKUP(VLOOKUP(VALUE(A292),CURRENT,4,FALSE),NOV,2,FALSE),"")</f>
        <v/>
      </c>
      <c r="F292" t="str">
        <f>IFERROR(VLOOKUP(VLOOKUP(VALUE(A292),CURRENT,5,FALSE),NOV,2,FALSE),"")</f>
        <v/>
      </c>
      <c r="G292" t="str">
        <f t="shared" si="8"/>
        <v/>
      </c>
      <c r="H292" t="str">
        <f t="shared" si="9"/>
        <v/>
      </c>
    </row>
    <row r="293" spans="1:8" x14ac:dyDescent="0.25">
      <c r="A293" s="4">
        <v>700</v>
      </c>
      <c r="B293" s="4" t="s">
        <v>588</v>
      </c>
      <c r="C293" t="str">
        <f>VLOOKUP(VALUE(A293),CURRENT,2,FALSE)</f>
        <v>Kids TV on Demand</v>
      </c>
      <c r="D293" t="str">
        <f>IF(B293=C293,"","x")</f>
        <v/>
      </c>
      <c r="E293" t="str">
        <f>IFERROR(VLOOKUP(VLOOKUP(VALUE(A293),CURRENT,4,FALSE),NOV,2,FALSE),"")</f>
        <v/>
      </c>
      <c r="F293" t="str">
        <f>IFERROR(VLOOKUP(VLOOKUP(VALUE(A293),CURRENT,5,FALSE),NOV,2,FALSE),"")</f>
        <v/>
      </c>
      <c r="G293" t="str">
        <f t="shared" si="8"/>
        <v/>
      </c>
      <c r="H293" t="str">
        <f t="shared" si="9"/>
        <v/>
      </c>
    </row>
    <row r="294" spans="1:8" x14ac:dyDescent="0.25">
      <c r="A294" s="4">
        <v>701</v>
      </c>
      <c r="B294" s="4" t="s">
        <v>212</v>
      </c>
      <c r="C294" t="str">
        <f>VLOOKUP(VALUE(A294),CURRENT,2,FALSE)</f>
        <v>CBBC</v>
      </c>
      <c r="D294" t="str">
        <f>IF(B294=C294,"","x")</f>
        <v/>
      </c>
      <c r="E294" t="str">
        <f>IFERROR(VLOOKUP(VLOOKUP(VALUE(A294),CURRENT,4,FALSE),NOV,2,FALSE),"")</f>
        <v>CBBC HD</v>
      </c>
      <c r="F294" t="str">
        <f>IFERROR(VLOOKUP(VLOOKUP(VALUE(A294),CURRENT,5,FALSE),NOV,2,FALSE),"")</f>
        <v/>
      </c>
      <c r="G294">
        <f t="shared" si="8"/>
        <v>1</v>
      </c>
      <c r="H294" t="str">
        <f t="shared" si="9"/>
        <v/>
      </c>
    </row>
    <row r="295" spans="1:8" x14ac:dyDescent="0.25">
      <c r="A295" s="4">
        <v>702</v>
      </c>
      <c r="B295" s="4" t="s">
        <v>213</v>
      </c>
      <c r="C295" t="str">
        <f>VLOOKUP(VALUE(A295),CURRENT,2,FALSE)</f>
        <v>CBeebies</v>
      </c>
      <c r="D295" t="str">
        <f>IF(B295=C295,"","x")</f>
        <v/>
      </c>
      <c r="E295" t="str">
        <f>IFERROR(VLOOKUP(VLOOKUP(VALUE(A295),CURRENT,4,FALSE),NOV,2,FALSE),"")</f>
        <v>CBeebies HD</v>
      </c>
      <c r="F295" t="str">
        <f>IFERROR(VLOOKUP(VLOOKUP(VALUE(A295),CURRENT,5,FALSE),NOV,2,FALSE),"")</f>
        <v/>
      </c>
      <c r="G295">
        <f t="shared" si="8"/>
        <v>1</v>
      </c>
      <c r="H295" t="str">
        <f t="shared" si="9"/>
        <v/>
      </c>
    </row>
    <row r="296" spans="1:8" x14ac:dyDescent="0.25">
      <c r="A296" s="4">
        <v>703</v>
      </c>
      <c r="B296" s="4" t="s">
        <v>592</v>
      </c>
      <c r="C296" t="str">
        <f>VLOOKUP(VALUE(A296),CURRENT,2,FALSE)</f>
        <v>BabyTV</v>
      </c>
      <c r="D296" t="str">
        <f>IF(B296=C296,"","x")</f>
        <v/>
      </c>
      <c r="E296" t="str">
        <f>IFERROR(VLOOKUP(VLOOKUP(VALUE(A296),CURRENT,4,FALSE),NOV,2,FALSE),"")</f>
        <v/>
      </c>
      <c r="F296" t="str">
        <f>IFERROR(VLOOKUP(VLOOKUP(VALUE(A296),CURRENT,5,FALSE),NOV,2,FALSE),"")</f>
        <v/>
      </c>
      <c r="G296" t="str">
        <f t="shared" si="8"/>
        <v/>
      </c>
      <c r="H296" t="str">
        <f t="shared" si="9"/>
        <v/>
      </c>
    </row>
    <row r="297" spans="1:8" x14ac:dyDescent="0.25">
      <c r="A297" s="4">
        <v>704</v>
      </c>
      <c r="B297" s="4" t="s">
        <v>214</v>
      </c>
      <c r="C297" t="str">
        <f>VLOOKUP(VALUE(A297),CURRENT,2,FALSE)</f>
        <v>Cartoon Network</v>
      </c>
      <c r="D297" t="str">
        <f>IF(B297=C297,"","x")</f>
        <v/>
      </c>
      <c r="E297" t="str">
        <f>IFERROR(VLOOKUP(VLOOKUP(VALUE(A297),CURRENT,4,FALSE),NOV,2,FALSE),"")</f>
        <v>Cartoon Network HD</v>
      </c>
      <c r="F297" t="str">
        <f>IFERROR(VLOOKUP(VLOOKUP(VALUE(A297),CURRENT,5,FALSE),NOV,2,FALSE),"")</f>
        <v>Cartoon Network +1</v>
      </c>
      <c r="G297">
        <f t="shared" si="8"/>
        <v>1</v>
      </c>
      <c r="H297">
        <f t="shared" si="9"/>
        <v>1</v>
      </c>
    </row>
    <row r="298" spans="1:8" x14ac:dyDescent="0.25">
      <c r="A298" s="4">
        <v>705</v>
      </c>
      <c r="B298" s="4" t="s">
        <v>215</v>
      </c>
      <c r="C298" t="str">
        <f>VLOOKUP(VALUE(A298),CURRENT,2,FALSE)</f>
        <v>Cartoon Network +1</v>
      </c>
      <c r="D298" t="str">
        <f>IF(B298=C298,"","x")</f>
        <v/>
      </c>
      <c r="E298" t="str">
        <f>IFERROR(VLOOKUP(VLOOKUP(VALUE(A298),CURRENT,4,FALSE),NOV,2,FALSE),"")</f>
        <v/>
      </c>
      <c r="F298" t="str">
        <f>IFERROR(VLOOKUP(VLOOKUP(VALUE(A298),CURRENT,5,FALSE),NOV,2,FALSE),"")</f>
        <v/>
      </c>
      <c r="G298" t="str">
        <f t="shared" si="8"/>
        <v/>
      </c>
      <c r="H298" t="str">
        <f t="shared" si="9"/>
        <v/>
      </c>
    </row>
    <row r="299" spans="1:8" x14ac:dyDescent="0.25">
      <c r="A299" s="4">
        <v>706</v>
      </c>
      <c r="B299" s="4" t="s">
        <v>216</v>
      </c>
      <c r="C299" t="str">
        <f>VLOOKUP(VALUE(A299),CURRENT,2,FALSE)</f>
        <v>Cartoonito</v>
      </c>
      <c r="D299" t="str">
        <f>IF(B299=C299,"","x")</f>
        <v/>
      </c>
      <c r="E299" t="str">
        <f>IFERROR(VLOOKUP(VLOOKUP(VALUE(A299),CURRENT,4,FALSE),NOV,2,FALSE),"")</f>
        <v/>
      </c>
      <c r="F299" t="str">
        <f>IFERROR(VLOOKUP(VLOOKUP(VALUE(A299),CURRENT,5,FALSE),NOV,2,FALSE),"")</f>
        <v/>
      </c>
      <c r="G299" t="str">
        <f t="shared" si="8"/>
        <v/>
      </c>
      <c r="H299" t="str">
        <f t="shared" si="9"/>
        <v/>
      </c>
    </row>
    <row r="300" spans="1:8" x14ac:dyDescent="0.25">
      <c r="A300" s="4">
        <v>707</v>
      </c>
      <c r="B300" s="4" t="s">
        <v>217</v>
      </c>
      <c r="C300" t="str">
        <f>VLOOKUP(VALUE(A300),CURRENT,2,FALSE)</f>
        <v>Disney XD</v>
      </c>
      <c r="D300" t="str">
        <f>IF(B300=C300,"","x")</f>
        <v/>
      </c>
      <c r="E300" t="str">
        <f>IFERROR(VLOOKUP(VLOOKUP(VALUE(A300),CURRENT,4,FALSE),NOV,2,FALSE),"")</f>
        <v/>
      </c>
      <c r="F300" t="str">
        <f>IFERROR(VLOOKUP(VLOOKUP(VALUE(A300),CURRENT,5,FALSE),NOV,2,FALSE),"")</f>
        <v/>
      </c>
      <c r="G300" t="str">
        <f t="shared" si="8"/>
        <v/>
      </c>
      <c r="H300" t="str">
        <f t="shared" si="9"/>
        <v/>
      </c>
    </row>
    <row r="301" spans="1:8" x14ac:dyDescent="0.25">
      <c r="A301" s="4">
        <v>710</v>
      </c>
      <c r="B301" s="4" t="s">
        <v>218</v>
      </c>
      <c r="C301" t="str">
        <f>VLOOKUP(VALUE(A301),CURRENT,2,FALSE)</f>
        <v>CBBC HD</v>
      </c>
      <c r="D301" t="str">
        <f>IF(B301=C301,"","x")</f>
        <v/>
      </c>
      <c r="E301" t="str">
        <f>IFERROR(VLOOKUP(VLOOKUP(VALUE(A301),CURRENT,4,FALSE),NOV,2,FALSE),"")</f>
        <v/>
      </c>
      <c r="F301" t="str">
        <f>IFERROR(VLOOKUP(VLOOKUP(VALUE(A301),CURRENT,5,FALSE),NOV,2,FALSE),"")</f>
        <v/>
      </c>
      <c r="G301" t="str">
        <f t="shared" si="8"/>
        <v/>
      </c>
      <c r="H301" t="str">
        <f t="shared" si="9"/>
        <v/>
      </c>
    </row>
    <row r="302" spans="1:8" x14ac:dyDescent="0.25">
      <c r="A302" s="4">
        <v>711</v>
      </c>
      <c r="B302" s="4" t="s">
        <v>219</v>
      </c>
      <c r="C302" t="str">
        <f>VLOOKUP(VALUE(A302),CURRENT,2,FALSE)</f>
        <v>CBeebies HD</v>
      </c>
      <c r="D302" t="str">
        <f>IF(B302=C302,"","x")</f>
        <v/>
      </c>
      <c r="E302" t="str">
        <f>IFERROR(VLOOKUP(VLOOKUP(VALUE(A302),CURRENT,4,FALSE),NOV,2,FALSE),"")</f>
        <v/>
      </c>
      <c r="F302" t="str">
        <f>IFERROR(VLOOKUP(VLOOKUP(VALUE(A302),CURRENT,5,FALSE),NOV,2,FALSE),"")</f>
        <v/>
      </c>
      <c r="G302" t="str">
        <f t="shared" si="8"/>
        <v/>
      </c>
      <c r="H302" t="str">
        <f t="shared" si="9"/>
        <v/>
      </c>
    </row>
    <row r="303" spans="1:8" x14ac:dyDescent="0.25">
      <c r="A303" s="4">
        <v>712</v>
      </c>
      <c r="B303" s="4" t="s">
        <v>220</v>
      </c>
      <c r="C303" t="str">
        <f>VLOOKUP(VALUE(A303),CURRENT,2,FALSE)</f>
        <v>Nickelodeon</v>
      </c>
      <c r="D303" t="str">
        <f>IF(B303=C303,"","x")</f>
        <v/>
      </c>
      <c r="E303" t="str">
        <f>IFERROR(VLOOKUP(VLOOKUP(VALUE(A303),CURRENT,4,FALSE),NOV,2,FALSE),"")</f>
        <v>Nickelodeon HD</v>
      </c>
      <c r="F303" t="str">
        <f>IFERROR(VLOOKUP(VLOOKUP(VALUE(A303),CURRENT,5,FALSE),NOV,2,FALSE),"")</f>
        <v>Nickelodeon +1</v>
      </c>
      <c r="G303">
        <f t="shared" si="8"/>
        <v>1</v>
      </c>
      <c r="H303">
        <f t="shared" si="9"/>
        <v>1</v>
      </c>
    </row>
    <row r="304" spans="1:8" x14ac:dyDescent="0.25">
      <c r="A304" s="4">
        <v>713</v>
      </c>
      <c r="B304" s="4" t="s">
        <v>597</v>
      </c>
      <c r="C304" t="str">
        <f>VLOOKUP(VALUE(A304),CURRENT,2,FALSE)</f>
        <v>Nickelodeon +1</v>
      </c>
      <c r="D304" t="str">
        <f>IF(B304=C304,"","x")</f>
        <v/>
      </c>
      <c r="E304" t="str">
        <f>IFERROR(VLOOKUP(VLOOKUP(VALUE(A304),CURRENT,4,FALSE),NOV,2,FALSE),"")</f>
        <v/>
      </c>
      <c r="F304" t="str">
        <f>IFERROR(VLOOKUP(VLOOKUP(VALUE(A304),CURRENT,5,FALSE),NOV,2,FALSE),"")</f>
        <v/>
      </c>
      <c r="G304" t="str">
        <f t="shared" si="8"/>
        <v/>
      </c>
      <c r="H304" t="str">
        <f t="shared" si="9"/>
        <v/>
      </c>
    </row>
    <row r="305" spans="1:8" x14ac:dyDescent="0.25">
      <c r="A305" s="4">
        <v>714</v>
      </c>
      <c r="B305" s="4" t="s">
        <v>600</v>
      </c>
      <c r="C305" t="str">
        <f>VLOOKUP(VALUE(A305),CURRENT,2,FALSE)</f>
        <v>Nickelodeon HD</v>
      </c>
      <c r="D305" t="str">
        <f>IF(B305=C305,"","x")</f>
        <v/>
      </c>
      <c r="E305" t="str">
        <f>IFERROR(VLOOKUP(VLOOKUP(VALUE(A305),CURRENT,4,FALSE),NOV,2,FALSE),"")</f>
        <v/>
      </c>
      <c r="F305" t="str">
        <f>IFERROR(VLOOKUP(VLOOKUP(VALUE(A305),CURRENT,5,FALSE),NOV,2,FALSE),"")</f>
        <v/>
      </c>
      <c r="G305" t="str">
        <f t="shared" si="8"/>
        <v/>
      </c>
      <c r="H305" t="str">
        <f t="shared" si="9"/>
        <v/>
      </c>
    </row>
    <row r="306" spans="1:8" x14ac:dyDescent="0.25">
      <c r="A306" s="4">
        <v>715</v>
      </c>
      <c r="B306" s="4" t="s">
        <v>221</v>
      </c>
      <c r="C306" t="str">
        <f>VLOOKUP(VALUE(A306),CURRENT,2,FALSE)</f>
        <v>Nick Jr.</v>
      </c>
      <c r="D306" t="str">
        <f>IF(B306=C306,"","x")</f>
        <v/>
      </c>
      <c r="E306" t="str">
        <f>IFERROR(VLOOKUP(VLOOKUP(VALUE(A306),CURRENT,4,FALSE),NOV,2,FALSE),"")</f>
        <v/>
      </c>
      <c r="F306" t="str">
        <f>IFERROR(VLOOKUP(VLOOKUP(VALUE(A306),CURRENT,5,FALSE),NOV,2,FALSE),"")</f>
        <v/>
      </c>
      <c r="G306" t="str">
        <f t="shared" si="8"/>
        <v/>
      </c>
      <c r="H306" t="str">
        <f t="shared" si="9"/>
        <v/>
      </c>
    </row>
    <row r="307" spans="1:8" x14ac:dyDescent="0.25">
      <c r="A307" s="4">
        <v>716</v>
      </c>
      <c r="B307" s="4" t="s">
        <v>222</v>
      </c>
      <c r="C307" t="str">
        <f>VLOOKUP(VALUE(A307),CURRENT,2,FALSE)</f>
        <v>Nick Jr. Too</v>
      </c>
      <c r="D307" t="str">
        <f>IF(B307=C307,"","x")</f>
        <v/>
      </c>
      <c r="E307" t="str">
        <f>IFERROR(VLOOKUP(VLOOKUP(VALUE(A307),CURRENT,4,FALSE),NOV,2,FALSE),"")</f>
        <v/>
      </c>
      <c r="F307" t="str">
        <f>IFERROR(VLOOKUP(VLOOKUP(VALUE(A307),CURRENT,5,FALSE),NOV,2,FALSE),"")</f>
        <v/>
      </c>
      <c r="G307" t="str">
        <f t="shared" si="8"/>
        <v/>
      </c>
      <c r="H307" t="str">
        <f t="shared" si="9"/>
        <v/>
      </c>
    </row>
    <row r="308" spans="1:8" x14ac:dyDescent="0.25">
      <c r="A308" s="4">
        <v>717</v>
      </c>
      <c r="B308" s="4" t="s">
        <v>223</v>
      </c>
      <c r="C308" t="str">
        <f>VLOOKUP(VALUE(A308),CURRENT,2,FALSE)</f>
        <v>Nicktoons</v>
      </c>
      <c r="D308" t="str">
        <f>IF(B308=C308,"","x")</f>
        <v/>
      </c>
      <c r="E308" t="str">
        <f>IFERROR(VLOOKUP(VLOOKUP(VALUE(A308),CURRENT,4,FALSE),NOV,2,FALSE),"")</f>
        <v/>
      </c>
      <c r="F308" t="str">
        <f>IFERROR(VLOOKUP(VLOOKUP(VALUE(A308),CURRENT,5,FALSE),NOV,2,FALSE),"")</f>
        <v/>
      </c>
      <c r="G308" t="str">
        <f t="shared" si="8"/>
        <v/>
      </c>
      <c r="H308" t="str">
        <f t="shared" si="9"/>
        <v/>
      </c>
    </row>
    <row r="309" spans="1:8" x14ac:dyDescent="0.25">
      <c r="A309" s="4">
        <v>724</v>
      </c>
      <c r="B309" s="4" t="s">
        <v>224</v>
      </c>
      <c r="C309" t="str">
        <f>VLOOKUP(VALUE(A309),CURRENT,2,FALSE)</f>
        <v>Disney Channel</v>
      </c>
      <c r="D309" t="str">
        <f>IF(B309=C309,"","x")</f>
        <v/>
      </c>
      <c r="E309" t="str">
        <f>IFERROR(VLOOKUP(VLOOKUP(VALUE(A309),CURRENT,4,FALSE),NOV,2,FALSE),"")</f>
        <v/>
      </c>
      <c r="F309" t="str">
        <f>IFERROR(VLOOKUP(VLOOKUP(VALUE(A309),CURRENT,5,FALSE),NOV,2,FALSE),"")</f>
        <v>Disney Channel +1</v>
      </c>
      <c r="G309" t="str">
        <f t="shared" si="8"/>
        <v/>
      </c>
      <c r="H309">
        <f t="shared" si="9"/>
        <v>1</v>
      </c>
    </row>
    <row r="310" spans="1:8" x14ac:dyDescent="0.25">
      <c r="A310" s="4">
        <v>725</v>
      </c>
      <c r="B310" s="4" t="s">
        <v>225</v>
      </c>
      <c r="C310" t="str">
        <f>VLOOKUP(VALUE(A310),CURRENT,2,FALSE)</f>
        <v>Disney Channel +1</v>
      </c>
      <c r="D310" t="str">
        <f>IF(B310=C310,"","x")</f>
        <v/>
      </c>
      <c r="E310" t="str">
        <f>IFERROR(VLOOKUP(VLOOKUP(VALUE(A310),CURRENT,4,FALSE),NOV,2,FALSE),"")</f>
        <v/>
      </c>
      <c r="F310" t="str">
        <f>IFERROR(VLOOKUP(VLOOKUP(VALUE(A310),CURRENT,5,FALSE),NOV,2,FALSE),"")</f>
        <v/>
      </c>
      <c r="G310" t="str">
        <f t="shared" si="8"/>
        <v/>
      </c>
      <c r="H310" t="str">
        <f t="shared" si="9"/>
        <v/>
      </c>
    </row>
    <row r="311" spans="1:8" x14ac:dyDescent="0.25">
      <c r="A311" s="4">
        <v>727</v>
      </c>
      <c r="B311" s="4" t="s">
        <v>226</v>
      </c>
      <c r="C311" t="str">
        <f>VLOOKUP(VALUE(A311),CURRENT,2,FALSE)</f>
        <v>Disney Junior</v>
      </c>
      <c r="D311" t="str">
        <f>IF(B311=C311,"","x")</f>
        <v/>
      </c>
      <c r="E311" t="str">
        <f>IFERROR(VLOOKUP(VLOOKUP(VALUE(A311),CURRENT,4,FALSE),NOV,2,FALSE),"")</f>
        <v/>
      </c>
      <c r="F311" t="str">
        <f>IFERROR(VLOOKUP(VLOOKUP(VALUE(A311),CURRENT,5,FALSE),NOV,2,FALSE),"")</f>
        <v/>
      </c>
      <c r="G311" t="str">
        <f t="shared" si="8"/>
        <v/>
      </c>
      <c r="H311" t="str">
        <f t="shared" si="9"/>
        <v/>
      </c>
    </row>
    <row r="312" spans="1:8" x14ac:dyDescent="0.25">
      <c r="A312" s="4">
        <v>730</v>
      </c>
      <c r="B312" s="4" t="s">
        <v>227</v>
      </c>
      <c r="C312" t="str">
        <f>VLOOKUP(VALUE(A312),CURRENT,2,FALSE)</f>
        <v>Boomerang</v>
      </c>
      <c r="D312" t="str">
        <f>IF(B312=C312,"","x")</f>
        <v/>
      </c>
      <c r="E312" t="str">
        <f>IFERROR(VLOOKUP(VLOOKUP(VALUE(A312),CURRENT,4,FALSE),NOV,2,FALSE),"")</f>
        <v/>
      </c>
      <c r="F312" t="str">
        <f>IFERROR(VLOOKUP(VLOOKUP(VALUE(A312),CURRENT,5,FALSE),NOV,2,FALSE),"")</f>
        <v>Boomerang +1</v>
      </c>
      <c r="G312" t="str">
        <f t="shared" si="8"/>
        <v/>
      </c>
      <c r="H312">
        <f t="shared" si="9"/>
        <v>1</v>
      </c>
    </row>
    <row r="313" spans="1:8" x14ac:dyDescent="0.25">
      <c r="A313" s="4">
        <v>731</v>
      </c>
      <c r="B313" s="4" t="s">
        <v>228</v>
      </c>
      <c r="C313" t="str">
        <f>VLOOKUP(VALUE(A313),CURRENT,2,FALSE)</f>
        <v>Boomerang +1</v>
      </c>
      <c r="D313" t="str">
        <f>IF(B313=C313,"","x")</f>
        <v/>
      </c>
      <c r="E313" t="str">
        <f>IFERROR(VLOOKUP(VLOOKUP(VALUE(A313),CURRENT,4,FALSE),NOV,2,FALSE),"")</f>
        <v/>
      </c>
      <c r="F313" t="str">
        <f>IFERROR(VLOOKUP(VLOOKUP(VALUE(A313),CURRENT,5,FALSE),NOV,2,FALSE),"")</f>
        <v/>
      </c>
      <c r="G313" t="str">
        <f t="shared" si="8"/>
        <v/>
      </c>
      <c r="H313" t="str">
        <f t="shared" si="9"/>
        <v/>
      </c>
    </row>
    <row r="314" spans="1:8" x14ac:dyDescent="0.25">
      <c r="A314" s="4">
        <v>732</v>
      </c>
      <c r="B314" s="4" t="s">
        <v>229</v>
      </c>
      <c r="C314" t="str">
        <f>VLOOKUP(VALUE(A314),CURRENT,2,FALSE)</f>
        <v>Cartoon Network HD</v>
      </c>
      <c r="D314" t="str">
        <f>IF(B314=C314,"","x")</f>
        <v/>
      </c>
      <c r="E314" t="str">
        <f>IFERROR(VLOOKUP(VLOOKUP(VALUE(A314),CURRENT,4,FALSE),NOV,2,FALSE),"")</f>
        <v/>
      </c>
      <c r="F314" t="str">
        <f>IFERROR(VLOOKUP(VLOOKUP(VALUE(A314),CURRENT,5,FALSE),NOV,2,FALSE),"")</f>
        <v/>
      </c>
      <c r="G314" t="str">
        <f t="shared" si="8"/>
        <v/>
      </c>
      <c r="H314" t="str">
        <f t="shared" si="9"/>
        <v/>
      </c>
    </row>
    <row r="315" spans="1:8" x14ac:dyDescent="0.25">
      <c r="A315" s="4">
        <v>734</v>
      </c>
      <c r="B315" s="4" t="s">
        <v>230</v>
      </c>
      <c r="C315" t="str">
        <f>VLOOKUP(VALUE(A315),CURRENT,2,FALSE)</f>
        <v>CITV</v>
      </c>
      <c r="D315" t="str">
        <f>IF(B315=C315,"","x")</f>
        <v/>
      </c>
      <c r="E315" t="str">
        <f>IFERROR(VLOOKUP(VLOOKUP(VALUE(A315),CURRENT,4,FALSE),NOV,2,FALSE),"")</f>
        <v/>
      </c>
      <c r="F315" t="str">
        <f>IFERROR(VLOOKUP(VLOOKUP(VALUE(A315),CURRENT,5,FALSE),NOV,2,FALSE),"")</f>
        <v/>
      </c>
      <c r="G315" t="str">
        <f t="shared" si="8"/>
        <v/>
      </c>
      <c r="H315" t="str">
        <f t="shared" si="9"/>
        <v/>
      </c>
    </row>
    <row r="316" spans="1:8" x14ac:dyDescent="0.25">
      <c r="A316" s="4">
        <v>736</v>
      </c>
      <c r="B316" s="4" t="s">
        <v>335</v>
      </c>
      <c r="C316" t="str">
        <f>VLOOKUP(VALUE(A316),CURRENT,2,FALSE)</f>
        <v>POP</v>
      </c>
      <c r="D316" t="str">
        <f>IF(B316=C316,"","x")</f>
        <v/>
      </c>
      <c r="E316" t="str">
        <f>IFERROR(VLOOKUP(VLOOKUP(VALUE(A316),CURRENT,4,FALSE),NOV,2,FALSE),"")</f>
        <v/>
      </c>
      <c r="F316" t="str">
        <f>IFERROR(VLOOKUP(VLOOKUP(VALUE(A316),CURRENT,5,FALSE),NOV,2,FALSE),"")</f>
        <v/>
      </c>
      <c r="G316" t="str">
        <f t="shared" si="8"/>
        <v/>
      </c>
      <c r="H316" t="str">
        <f t="shared" si="9"/>
        <v/>
      </c>
    </row>
    <row r="317" spans="1:8" x14ac:dyDescent="0.25">
      <c r="A317" s="4">
        <v>737</v>
      </c>
      <c r="B317" s="4" t="s">
        <v>232</v>
      </c>
      <c r="C317" t="str">
        <f>VLOOKUP(VALUE(A317),CURRENT,2,FALSE)</f>
        <v>Tiny Pop</v>
      </c>
      <c r="D317" t="str">
        <f>IF(B317=C317,"","x")</f>
        <v/>
      </c>
      <c r="E317" t="str">
        <f>IFERROR(VLOOKUP(VLOOKUP(VALUE(A317),CURRENT,4,FALSE),NOV,2,FALSE),"")</f>
        <v/>
      </c>
      <c r="F317" t="str">
        <f>IFERROR(VLOOKUP(VLOOKUP(VALUE(A317),CURRENT,5,FALSE),NOV,2,FALSE),"")</f>
        <v/>
      </c>
      <c r="G317" t="str">
        <f t="shared" si="8"/>
        <v/>
      </c>
      <c r="H317" t="str">
        <f t="shared" si="9"/>
        <v/>
      </c>
    </row>
    <row r="318" spans="1:8" x14ac:dyDescent="0.25">
      <c r="A318" s="4">
        <v>739</v>
      </c>
      <c r="B318" s="4" t="s">
        <v>336</v>
      </c>
      <c r="C318" t="str">
        <f>VLOOKUP(VALUE(A318),CURRENT,2,FALSE)</f>
        <v>ZooMoo HD</v>
      </c>
      <c r="D318" t="str">
        <f>IF(B318=C318,"","x")</f>
        <v/>
      </c>
      <c r="E318" t="str">
        <f>IFERROR(VLOOKUP(VLOOKUP(VALUE(A318),CURRENT,4,FALSE),NOV,2,FALSE),"")</f>
        <v/>
      </c>
      <c r="F318" t="str">
        <f>IFERROR(VLOOKUP(VLOOKUP(VALUE(A318),CURRENT,5,FALSE),NOV,2,FALSE),"")</f>
        <v/>
      </c>
      <c r="G318" t="str">
        <f t="shared" si="8"/>
        <v/>
      </c>
      <c r="H318" t="str">
        <f t="shared" si="9"/>
        <v/>
      </c>
    </row>
    <row r="319" spans="1:8" x14ac:dyDescent="0.25">
      <c r="A319" s="4">
        <v>740</v>
      </c>
      <c r="B319" s="4" t="s">
        <v>233</v>
      </c>
      <c r="C319" t="str">
        <f>VLOOKUP(VALUE(A319),CURRENT,2,FALSE)</f>
        <v>QVC</v>
      </c>
      <c r="D319" t="str">
        <f>IF(B319=C319,"","x")</f>
        <v/>
      </c>
      <c r="E319" t="str">
        <f>IFERROR(VLOOKUP(VLOOKUP(VALUE(A319),CURRENT,4,FALSE),NOV,2,FALSE),"")</f>
        <v/>
      </c>
      <c r="F319" t="str">
        <f>IFERROR(VLOOKUP(VLOOKUP(VALUE(A319),CURRENT,5,FALSE),NOV,2,FALSE),"")</f>
        <v/>
      </c>
      <c r="G319" t="str">
        <f t="shared" si="8"/>
        <v/>
      </c>
      <c r="H319" t="str">
        <f t="shared" si="9"/>
        <v/>
      </c>
    </row>
    <row r="320" spans="1:8" x14ac:dyDescent="0.25">
      <c r="A320" s="4">
        <v>741</v>
      </c>
      <c r="B320" s="4" t="s">
        <v>234</v>
      </c>
      <c r="C320" t="str">
        <f>VLOOKUP(VALUE(A320),CURRENT,2,FALSE)</f>
        <v>QVC Beauty</v>
      </c>
      <c r="D320" t="str">
        <f>IF(B320=C320,"","x")</f>
        <v/>
      </c>
      <c r="E320" t="str">
        <f>IFERROR(VLOOKUP(VLOOKUP(VALUE(A320),CURRENT,4,FALSE),NOV,2,FALSE),"")</f>
        <v/>
      </c>
      <c r="F320" t="str">
        <f>IFERROR(VLOOKUP(VLOOKUP(VALUE(A320),CURRENT,5,FALSE),NOV,2,FALSE),"")</f>
        <v/>
      </c>
      <c r="G320" t="str">
        <f t="shared" si="8"/>
        <v/>
      </c>
      <c r="H320" t="str">
        <f t="shared" si="9"/>
        <v/>
      </c>
    </row>
    <row r="321" spans="1:8" x14ac:dyDescent="0.25">
      <c r="A321" s="4">
        <v>742</v>
      </c>
      <c r="B321" s="4" t="s">
        <v>235</v>
      </c>
      <c r="C321" t="str">
        <f>VLOOKUP(VALUE(A321),CURRENT,2,FALSE)</f>
        <v>QVC Style</v>
      </c>
      <c r="D321" t="str">
        <f>IF(B321=C321,"","x")</f>
        <v/>
      </c>
      <c r="E321" t="str">
        <f>IFERROR(VLOOKUP(VLOOKUP(VALUE(A321),CURRENT,4,FALSE),NOV,2,FALSE),"")</f>
        <v/>
      </c>
      <c r="F321" t="str">
        <f>IFERROR(VLOOKUP(VLOOKUP(VALUE(A321),CURRENT,5,FALSE),NOV,2,FALSE),"")</f>
        <v/>
      </c>
      <c r="G321" t="str">
        <f t="shared" si="8"/>
        <v/>
      </c>
      <c r="H321" t="str">
        <f t="shared" si="9"/>
        <v/>
      </c>
    </row>
    <row r="322" spans="1:8" x14ac:dyDescent="0.25">
      <c r="A322" s="4">
        <v>747</v>
      </c>
      <c r="B322" s="4" t="s">
        <v>236</v>
      </c>
      <c r="C322" t="str">
        <f>VLOOKUP(VALUE(A322),CURRENT,2,FALSE)</f>
        <v>Ideal World</v>
      </c>
      <c r="D322" t="str">
        <f>IF(B322=C322,"","x")</f>
        <v/>
      </c>
      <c r="E322" t="str">
        <f>IFERROR(VLOOKUP(VLOOKUP(VALUE(A322),CURRENT,4,FALSE),NOV,2,FALSE),"")</f>
        <v/>
      </c>
      <c r="F322" t="str">
        <f>IFERROR(VLOOKUP(VLOOKUP(VALUE(A322),CURRENT,5,FALSE),NOV,2,FALSE),"")</f>
        <v/>
      </c>
      <c r="G322" t="str">
        <f t="shared" si="8"/>
        <v/>
      </c>
      <c r="H322" t="str">
        <f t="shared" si="9"/>
        <v/>
      </c>
    </row>
    <row r="323" spans="1:8" x14ac:dyDescent="0.25">
      <c r="A323" s="4">
        <v>748</v>
      </c>
      <c r="B323" s="4" t="s">
        <v>237</v>
      </c>
      <c r="C323" t="str">
        <f>VLOOKUP(VALUE(A323),CURRENT,2,FALSE)</f>
        <v>Create and Craft</v>
      </c>
      <c r="D323" t="str">
        <f>IF(B323=C323,"","x")</f>
        <v/>
      </c>
      <c r="E323" t="str">
        <f>IFERROR(VLOOKUP(VLOOKUP(VALUE(A323),CURRENT,4,FALSE),NOV,2,FALSE),"")</f>
        <v/>
      </c>
      <c r="F323" t="str">
        <f>IFERROR(VLOOKUP(VLOOKUP(VALUE(A323),CURRENT,5,FALSE),NOV,2,FALSE),"")</f>
        <v/>
      </c>
      <c r="G323" t="str">
        <f t="shared" ref="G323:G386" si="10">IF(E323&lt;&gt;"",FIND(IFERROR(LEFT(B323,FIND(" ",B323)-1),B323),E323),"")</f>
        <v/>
      </c>
      <c r="H323" t="str">
        <f t="shared" ref="H323:H386" si="11">IF(F323&lt;&gt;"",FIND(IFERROR(LEFT(B323,FIND(" ",B323)-1),B323),F323),"")</f>
        <v/>
      </c>
    </row>
    <row r="324" spans="1:8" x14ac:dyDescent="0.25">
      <c r="A324" s="4">
        <v>755</v>
      </c>
      <c r="B324" s="4" t="s">
        <v>238</v>
      </c>
      <c r="C324" t="str">
        <f>VLOOKUP(VALUE(A324),CURRENT,2,FALSE)</f>
        <v>Gems TV</v>
      </c>
      <c r="D324" t="str">
        <f>IF(B324=C324,"","x")</f>
        <v/>
      </c>
      <c r="E324" t="str">
        <f>IFERROR(VLOOKUP(VLOOKUP(VALUE(A324),CURRENT,4,FALSE),NOV,2,FALSE),"")</f>
        <v/>
      </c>
      <c r="F324" t="str">
        <f>IFERROR(VLOOKUP(VLOOKUP(VALUE(A324),CURRENT,5,FALSE),NOV,2,FALSE),"")</f>
        <v/>
      </c>
      <c r="G324" t="str">
        <f t="shared" si="10"/>
        <v/>
      </c>
      <c r="H324" t="str">
        <f t="shared" si="11"/>
        <v/>
      </c>
    </row>
    <row r="325" spans="1:8" x14ac:dyDescent="0.25">
      <c r="A325" s="4">
        <v>756</v>
      </c>
      <c r="B325" s="4" t="s">
        <v>239</v>
      </c>
      <c r="C325" t="str">
        <f>VLOOKUP(VALUE(A325),CURRENT,2,FALSE)</f>
        <v>Jewellery Maker</v>
      </c>
      <c r="D325" t="str">
        <f>IF(B325=C325,"","x")</f>
        <v/>
      </c>
      <c r="E325" t="str">
        <f>IFERROR(VLOOKUP(VLOOKUP(VALUE(A325),CURRENT,4,FALSE),NOV,2,FALSE),"")</f>
        <v/>
      </c>
      <c r="F325" t="str">
        <f>IFERROR(VLOOKUP(VLOOKUP(VALUE(A325),CURRENT,5,FALSE),NOV,2,FALSE),"")</f>
        <v/>
      </c>
      <c r="G325" t="str">
        <f t="shared" si="10"/>
        <v/>
      </c>
      <c r="H325" t="str">
        <f t="shared" si="11"/>
        <v/>
      </c>
    </row>
    <row r="326" spans="1:8" x14ac:dyDescent="0.25">
      <c r="A326" s="4">
        <v>757</v>
      </c>
      <c r="B326" s="4" t="s">
        <v>240</v>
      </c>
      <c r="C326" t="str">
        <f>VLOOKUP(VALUE(A326),CURRENT,2,FALSE)</f>
        <v>TJC</v>
      </c>
      <c r="D326" t="str">
        <f>IF(B326=C326,"","x")</f>
        <v/>
      </c>
      <c r="E326" t="str">
        <f>IFERROR(VLOOKUP(VLOOKUP(VALUE(A326),CURRENT,4,FALSE),NOV,2,FALSE),"")</f>
        <v/>
      </c>
      <c r="F326" t="str">
        <f>IFERROR(VLOOKUP(VLOOKUP(VALUE(A326),CURRENT,5,FALSE),NOV,2,FALSE),"")</f>
        <v/>
      </c>
      <c r="G326" t="str">
        <f t="shared" si="10"/>
        <v/>
      </c>
      <c r="H326" t="str">
        <f t="shared" si="11"/>
        <v/>
      </c>
    </row>
    <row r="327" spans="1:8" x14ac:dyDescent="0.25">
      <c r="A327" s="4">
        <v>801</v>
      </c>
      <c r="B327" s="4" t="s">
        <v>337</v>
      </c>
      <c r="C327" t="str">
        <f>VLOOKUP(VALUE(A327),CURRENT,2,FALSE)</f>
        <v>Star Gold HD</v>
      </c>
      <c r="D327" t="str">
        <f>IF(B327=C327,"","x")</f>
        <v/>
      </c>
      <c r="E327" t="str">
        <f>IFERROR(VLOOKUP(VLOOKUP(VALUE(A327),CURRENT,4,FALSE),NOV,2,FALSE),"")</f>
        <v/>
      </c>
      <c r="F327" t="str">
        <f>IFERROR(VLOOKUP(VLOOKUP(VALUE(A327),CURRENT,5,FALSE),NOV,2,FALSE),"")</f>
        <v/>
      </c>
      <c r="G327" t="str">
        <f t="shared" si="10"/>
        <v/>
      </c>
      <c r="H327" t="str">
        <f t="shared" si="11"/>
        <v/>
      </c>
    </row>
    <row r="328" spans="1:8" x14ac:dyDescent="0.25">
      <c r="A328" s="4">
        <v>803</v>
      </c>
      <c r="B328" s="4" t="s">
        <v>338</v>
      </c>
      <c r="C328" t="str">
        <f>VLOOKUP(VALUE(A328),CURRENT,2,FALSE)</f>
        <v>Star Plus HD</v>
      </c>
      <c r="D328" t="str">
        <f>IF(B328=C328,"","x")</f>
        <v/>
      </c>
      <c r="E328" t="str">
        <f>IFERROR(VLOOKUP(VLOOKUP(VALUE(A328),CURRENT,4,FALSE),NOV,2,FALSE),"")</f>
        <v/>
      </c>
      <c r="F328" t="str">
        <f>IFERROR(VLOOKUP(VLOOKUP(VALUE(A328),CURRENT,5,FALSE),NOV,2,FALSE),"")</f>
        <v/>
      </c>
      <c r="G328" t="str">
        <f t="shared" si="10"/>
        <v/>
      </c>
      <c r="H328" t="str">
        <f t="shared" si="11"/>
        <v/>
      </c>
    </row>
    <row r="329" spans="1:8" x14ac:dyDescent="0.25">
      <c r="A329" s="4">
        <v>804</v>
      </c>
      <c r="B329" s="4" t="s">
        <v>241</v>
      </c>
      <c r="C329" t="str">
        <f>VLOOKUP(VALUE(A329),CURRENT,2,FALSE)</f>
        <v>Star Bharat</v>
      </c>
      <c r="D329" t="str">
        <f>IF(B329=C329,"","x")</f>
        <v/>
      </c>
      <c r="E329" t="str">
        <f>IFERROR(VLOOKUP(VLOOKUP(VALUE(A329),CURRENT,4,FALSE),NOV,2,FALSE),"")</f>
        <v/>
      </c>
      <c r="F329" t="str">
        <f>IFERROR(VLOOKUP(VLOOKUP(VALUE(A329),CURRENT,5,FALSE),NOV,2,FALSE),"")</f>
        <v/>
      </c>
      <c r="G329" t="str">
        <f t="shared" si="10"/>
        <v/>
      </c>
      <c r="H329" t="str">
        <f t="shared" si="11"/>
        <v/>
      </c>
    </row>
    <row r="330" spans="1:8" x14ac:dyDescent="0.25">
      <c r="A330" s="4">
        <v>805</v>
      </c>
      <c r="B330" s="4" t="s">
        <v>609</v>
      </c>
      <c r="C330" t="str">
        <f>VLOOKUP(VALUE(A330),CURRENT,2,FALSE)</f>
        <v>Sony Entertainment Television Asia HD</v>
      </c>
      <c r="D330" t="str">
        <f>IF(B330=C330,"","x")</f>
        <v/>
      </c>
      <c r="E330" t="str">
        <f>IFERROR(VLOOKUP(VLOOKUP(VALUE(A330),CURRENT,4,FALSE),NOV,2,FALSE),"")</f>
        <v/>
      </c>
      <c r="F330" t="str">
        <f>IFERROR(VLOOKUP(VLOOKUP(VALUE(A330),CURRENT,5,FALSE),NOV,2,FALSE),"")</f>
        <v/>
      </c>
      <c r="G330" t="str">
        <f t="shared" si="10"/>
        <v/>
      </c>
      <c r="H330" t="str">
        <f t="shared" si="11"/>
        <v/>
      </c>
    </row>
    <row r="331" spans="1:8" x14ac:dyDescent="0.25">
      <c r="A331" s="4">
        <v>806</v>
      </c>
      <c r="B331" s="4" t="s">
        <v>611</v>
      </c>
      <c r="C331" t="str">
        <f>VLOOKUP(VALUE(A331),CURRENT,2,FALSE)</f>
        <v>SONY Max HD</v>
      </c>
      <c r="D331" t="str">
        <f>IF(B331=C331,"","x")</f>
        <v/>
      </c>
      <c r="E331" t="str">
        <f>IFERROR(VLOOKUP(VLOOKUP(VALUE(A331),CURRENT,4,FALSE),NOV,2,FALSE),"")</f>
        <v/>
      </c>
      <c r="F331" t="str">
        <f>IFERROR(VLOOKUP(VLOOKUP(VALUE(A331),CURRENT,5,FALSE),NOV,2,FALSE),"")</f>
        <v/>
      </c>
      <c r="G331" t="str">
        <f t="shared" si="10"/>
        <v/>
      </c>
      <c r="H331" t="str">
        <f t="shared" si="11"/>
        <v/>
      </c>
    </row>
    <row r="332" spans="1:8" x14ac:dyDescent="0.25">
      <c r="A332" s="4">
        <v>807</v>
      </c>
      <c r="B332" s="4" t="s">
        <v>612</v>
      </c>
      <c r="C332" t="str">
        <f>VLOOKUP(VALUE(A332),CURRENT,2,FALSE)</f>
        <v>SONY SAB</v>
      </c>
      <c r="D332" t="str">
        <f>IF(B332=C332,"","x")</f>
        <v/>
      </c>
      <c r="E332" t="str">
        <f>IFERROR(VLOOKUP(VLOOKUP(VALUE(A332),CURRENT,4,FALSE),NOV,2,FALSE),"")</f>
        <v/>
      </c>
      <c r="F332" t="str">
        <f>IFERROR(VLOOKUP(VLOOKUP(VALUE(A332),CURRENT,5,FALSE),NOV,2,FALSE),"")</f>
        <v/>
      </c>
      <c r="G332" t="str">
        <f t="shared" si="10"/>
        <v/>
      </c>
      <c r="H332" t="str">
        <f t="shared" si="11"/>
        <v/>
      </c>
    </row>
    <row r="333" spans="1:8" x14ac:dyDescent="0.25">
      <c r="A333" s="4">
        <v>809</v>
      </c>
      <c r="B333" s="4" t="s">
        <v>341</v>
      </c>
      <c r="C333" t="str">
        <f>VLOOKUP(VALUE(A333),CURRENT,2,FALSE)</f>
        <v>Zee TV HD</v>
      </c>
      <c r="D333" t="str">
        <f>IF(B333=C333,"","x")</f>
        <v/>
      </c>
      <c r="E333" t="str">
        <f>IFERROR(VLOOKUP(VLOOKUP(VALUE(A333),CURRENT,4,FALSE),NOV,2,FALSE),"")</f>
        <v/>
      </c>
      <c r="F333" t="str">
        <f>IFERROR(VLOOKUP(VLOOKUP(VALUE(A333),CURRENT,5,FALSE),NOV,2,FALSE),"")</f>
        <v/>
      </c>
      <c r="G333" t="str">
        <f t="shared" si="10"/>
        <v/>
      </c>
      <c r="H333" t="str">
        <f t="shared" si="11"/>
        <v/>
      </c>
    </row>
    <row r="334" spans="1:8" x14ac:dyDescent="0.25">
      <c r="A334" s="4">
        <v>810</v>
      </c>
      <c r="B334" s="4" t="s">
        <v>342</v>
      </c>
      <c r="C334" t="str">
        <f>VLOOKUP(VALUE(A334),CURRENT,2,FALSE)</f>
        <v>Zee Cinema HD</v>
      </c>
      <c r="D334" t="str">
        <f>IF(B334=C334,"","x")</f>
        <v/>
      </c>
      <c r="E334" t="str">
        <f>IFERROR(VLOOKUP(VLOOKUP(VALUE(A334),CURRENT,4,FALSE),NOV,2,FALSE),"")</f>
        <v/>
      </c>
      <c r="F334" t="str">
        <f>IFERROR(VLOOKUP(VLOOKUP(VALUE(A334),CURRENT,5,FALSE),NOV,2,FALSE),"")</f>
        <v/>
      </c>
      <c r="G334" t="str">
        <f t="shared" si="10"/>
        <v/>
      </c>
      <c r="H334" t="str">
        <f t="shared" si="11"/>
        <v/>
      </c>
    </row>
    <row r="335" spans="1:8" x14ac:dyDescent="0.25">
      <c r="A335" s="4">
        <v>811</v>
      </c>
      <c r="B335" s="4" t="s">
        <v>343</v>
      </c>
      <c r="C335" t="str">
        <f>VLOOKUP(VALUE(A335),CURRENT,2,FALSE)</f>
        <v>&amp;TV</v>
      </c>
      <c r="D335" t="str">
        <f>IF(B335=C335,"","x")</f>
        <v/>
      </c>
      <c r="E335" t="str">
        <f>IFERROR(VLOOKUP(VLOOKUP(VALUE(A335),CURRENT,4,FALSE),NOV,2,FALSE),"")</f>
        <v/>
      </c>
      <c r="F335" t="str">
        <f>IFERROR(VLOOKUP(VLOOKUP(VALUE(A335),CURRENT,5,FALSE),NOV,2,FALSE),"")</f>
        <v/>
      </c>
      <c r="G335" t="str">
        <f t="shared" si="10"/>
        <v/>
      </c>
      <c r="H335" t="str">
        <f t="shared" si="11"/>
        <v/>
      </c>
    </row>
    <row r="336" spans="1:8" x14ac:dyDescent="0.25">
      <c r="A336" s="4">
        <v>812</v>
      </c>
      <c r="B336" s="4" t="s">
        <v>344</v>
      </c>
      <c r="C336" t="str">
        <f>VLOOKUP(VALUE(A336),CURRENT,2,FALSE)</f>
        <v>Living Foodz HD</v>
      </c>
      <c r="D336" t="str">
        <f>IF(B336=C336,"","x")</f>
        <v/>
      </c>
      <c r="E336" t="str">
        <f>IFERROR(VLOOKUP(VLOOKUP(VALUE(A336),CURRENT,4,FALSE),NOV,2,FALSE),"")</f>
        <v/>
      </c>
      <c r="F336" t="str">
        <f>IFERROR(VLOOKUP(VLOOKUP(VALUE(A336),CURRENT,5,FALSE),NOV,2,FALSE),"")</f>
        <v/>
      </c>
      <c r="G336" t="str">
        <f t="shared" si="10"/>
        <v/>
      </c>
      <c r="H336" t="str">
        <f t="shared" si="11"/>
        <v/>
      </c>
    </row>
    <row r="337" spans="1:8" x14ac:dyDescent="0.25">
      <c r="A337" s="4">
        <v>813</v>
      </c>
      <c r="B337" s="4" t="s">
        <v>242</v>
      </c>
      <c r="C337" t="str">
        <f>VLOOKUP(VALUE(A337),CURRENT,2,FALSE)</f>
        <v>Zing</v>
      </c>
      <c r="D337" t="str">
        <f>IF(B337=C337,"","x")</f>
        <v/>
      </c>
      <c r="E337" t="str">
        <f>IFERROR(VLOOKUP(VLOOKUP(VALUE(A337),CURRENT,4,FALSE),NOV,2,FALSE),"")</f>
        <v/>
      </c>
      <c r="F337" t="str">
        <f>IFERROR(VLOOKUP(VLOOKUP(VALUE(A337),CURRENT,5,FALSE),NOV,2,FALSE),"")</f>
        <v/>
      </c>
      <c r="G337" t="str">
        <f t="shared" si="10"/>
        <v/>
      </c>
      <c r="H337" t="str">
        <f t="shared" si="11"/>
        <v/>
      </c>
    </row>
    <row r="338" spans="1:8" x14ac:dyDescent="0.25">
      <c r="A338" s="4">
        <v>815</v>
      </c>
      <c r="B338" s="4" t="s">
        <v>243</v>
      </c>
      <c r="C338" t="str">
        <f>VLOOKUP(VALUE(A338),CURRENT,2,FALSE)</f>
        <v>B4U Movies</v>
      </c>
      <c r="D338" t="str">
        <f>IF(B338=C338,"","x")</f>
        <v/>
      </c>
      <c r="E338" t="str">
        <f>IFERROR(VLOOKUP(VLOOKUP(VALUE(A338),CURRENT,4,FALSE),NOV,2,FALSE),"")</f>
        <v/>
      </c>
      <c r="F338" t="str">
        <f>IFERROR(VLOOKUP(VLOOKUP(VALUE(A338),CURRENT,5,FALSE),NOV,2,FALSE),"")</f>
        <v/>
      </c>
      <c r="G338" t="str">
        <f t="shared" si="10"/>
        <v/>
      </c>
      <c r="H338" t="str">
        <f t="shared" si="11"/>
        <v/>
      </c>
    </row>
    <row r="339" spans="1:8" x14ac:dyDescent="0.25">
      <c r="A339" s="4">
        <v>816</v>
      </c>
      <c r="B339" s="4" t="s">
        <v>244</v>
      </c>
      <c r="C339" t="str">
        <f>VLOOKUP(VALUE(A339),CURRENT,2,FALSE)</f>
        <v>B4U Music</v>
      </c>
      <c r="D339" t="str">
        <f>IF(B339=C339,"","x")</f>
        <v/>
      </c>
      <c r="E339" t="str">
        <f>IFERROR(VLOOKUP(VLOOKUP(VALUE(A339),CURRENT,4,FALSE),NOV,2,FALSE),"")</f>
        <v/>
      </c>
      <c r="F339" t="str">
        <f>IFERROR(VLOOKUP(VLOOKUP(VALUE(A339),CURRENT,5,FALSE),NOV,2,FALSE),"")</f>
        <v/>
      </c>
      <c r="G339" t="str">
        <f t="shared" si="10"/>
        <v/>
      </c>
      <c r="H339" t="str">
        <f t="shared" si="11"/>
        <v/>
      </c>
    </row>
    <row r="340" spans="1:8" x14ac:dyDescent="0.25">
      <c r="A340" s="4">
        <v>825</v>
      </c>
      <c r="B340" s="4" t="s">
        <v>616</v>
      </c>
      <c r="C340" t="str">
        <f>VLOOKUP(VALUE(A340),CURRENT,2,FALSE)</f>
        <v>TV5MONDE Europe</v>
      </c>
      <c r="D340" t="str">
        <f>IF(B340=C340,"","x")</f>
        <v/>
      </c>
      <c r="E340" t="str">
        <f>IFERROR(VLOOKUP(VLOOKUP(VALUE(A340),CURRENT,4,FALSE),NOV,2,FALSE),"")</f>
        <v/>
      </c>
      <c r="F340" t="str">
        <f>IFERROR(VLOOKUP(VLOOKUP(VALUE(A340),CURRENT,5,FALSE),NOV,2,FALSE),"")</f>
        <v/>
      </c>
      <c r="G340" t="str">
        <f t="shared" si="10"/>
        <v/>
      </c>
      <c r="H340" t="str">
        <f t="shared" si="11"/>
        <v/>
      </c>
    </row>
    <row r="341" spans="1:8" x14ac:dyDescent="0.25">
      <c r="A341" s="4">
        <v>826</v>
      </c>
      <c r="B341" s="4" t="s">
        <v>345</v>
      </c>
      <c r="C341" t="str">
        <f>VLOOKUP(VALUE(A341),CURRENT,2,FALSE)</f>
        <v>Colors</v>
      </c>
      <c r="D341" t="str">
        <f>IF(B341=C341,"","x")</f>
        <v/>
      </c>
      <c r="E341" t="str">
        <f>IFERROR(VLOOKUP(VLOOKUP(VALUE(A341),CURRENT,4,FALSE),NOV,2,FALSE),"")</f>
        <v/>
      </c>
      <c r="F341" t="str">
        <f>IFERROR(VLOOKUP(VLOOKUP(VALUE(A341),CURRENT,5,FALSE),NOV,2,FALSE),"")</f>
        <v/>
      </c>
      <c r="G341" t="str">
        <f t="shared" si="10"/>
        <v/>
      </c>
      <c r="H341" t="str">
        <f t="shared" si="11"/>
        <v/>
      </c>
    </row>
    <row r="342" spans="1:8" x14ac:dyDescent="0.25">
      <c r="A342" s="4">
        <v>827</v>
      </c>
      <c r="B342" s="4" t="s">
        <v>619</v>
      </c>
      <c r="C342" t="str">
        <f>VLOOKUP(VALUE(A342),CURRENT,2,FALSE)</f>
        <v>Rishtey</v>
      </c>
      <c r="D342" t="str">
        <f>IF(B342=C342,"","x")</f>
        <v/>
      </c>
      <c r="E342" t="str">
        <f>IFERROR(VLOOKUP(VLOOKUP(VALUE(A342),CURRENT,4,FALSE),NOV,2,FALSE),"")</f>
        <v/>
      </c>
      <c r="F342" t="str">
        <f>IFERROR(VLOOKUP(VLOOKUP(VALUE(A342),CURRENT,5,FALSE),NOV,2,FALSE),"")</f>
        <v/>
      </c>
      <c r="G342" t="str">
        <f t="shared" si="10"/>
        <v/>
      </c>
      <c r="H342" t="str">
        <f t="shared" si="11"/>
        <v/>
      </c>
    </row>
    <row r="343" spans="1:8" x14ac:dyDescent="0.25">
      <c r="A343" s="4">
        <v>828</v>
      </c>
      <c r="B343" s="4" t="s">
        <v>245</v>
      </c>
      <c r="C343" t="str">
        <f>VLOOKUP(VALUE(A343),CURRENT,2,FALSE)</f>
        <v>Rishtey Cineplex</v>
      </c>
      <c r="D343" t="str">
        <f>IF(B343=C343,"","x")</f>
        <v/>
      </c>
      <c r="E343" t="str">
        <f>IFERROR(VLOOKUP(VLOOKUP(VALUE(A343),CURRENT,4,FALSE),NOV,2,FALSE),"")</f>
        <v/>
      </c>
      <c r="F343" t="str">
        <f>IFERROR(VLOOKUP(VLOOKUP(VALUE(A343),CURRENT,5,FALSE),NOV,2,FALSE),"")</f>
        <v/>
      </c>
      <c r="G343" t="str">
        <f t="shared" si="10"/>
        <v/>
      </c>
      <c r="H343" t="str">
        <f t="shared" si="11"/>
        <v/>
      </c>
    </row>
    <row r="344" spans="1:8" x14ac:dyDescent="0.25">
      <c r="A344" s="4">
        <v>829</v>
      </c>
      <c r="B344" s="4" t="s">
        <v>246</v>
      </c>
      <c r="C344" t="str">
        <f>VLOOKUP(VALUE(A344),CURRENT,2,FALSE)</f>
        <v>NDTV Good Times</v>
      </c>
      <c r="D344" t="str">
        <f>IF(B344=C344,"","x")</f>
        <v/>
      </c>
      <c r="E344" t="str">
        <f>IFERROR(VLOOKUP(VLOOKUP(VALUE(A344),CURRENT,4,FALSE),NOV,2,FALSE),"")</f>
        <v/>
      </c>
      <c r="F344" t="str">
        <f>IFERROR(VLOOKUP(VLOOKUP(VALUE(A344),CURRENT,5,FALSE),NOV,2,FALSE),"")</f>
        <v/>
      </c>
      <c r="G344" t="str">
        <f t="shared" si="10"/>
        <v/>
      </c>
      <c r="H344" t="str">
        <f t="shared" si="11"/>
        <v/>
      </c>
    </row>
    <row r="345" spans="1:8" x14ac:dyDescent="0.25">
      <c r="A345" s="4">
        <v>831</v>
      </c>
      <c r="B345" s="4" t="s">
        <v>247</v>
      </c>
      <c r="C345" t="str">
        <f>VLOOKUP(VALUE(A345),CURRENT,2,FALSE)</f>
        <v>Al Jazeera Arabic</v>
      </c>
      <c r="D345" t="str">
        <f>IF(B345=C345,"","x")</f>
        <v/>
      </c>
      <c r="E345" t="str">
        <f>IFERROR(VLOOKUP(VLOOKUP(VALUE(A345),CURRENT,4,FALSE),NOV,2,FALSE),"")</f>
        <v/>
      </c>
      <c r="F345" t="str">
        <f>IFERROR(VLOOKUP(VLOOKUP(VALUE(A345),CURRENT,5,FALSE),NOV,2,FALSE),"")</f>
        <v/>
      </c>
      <c r="G345" t="str">
        <f t="shared" si="10"/>
        <v/>
      </c>
      <c r="H345" t="str">
        <f t="shared" si="11"/>
        <v/>
      </c>
    </row>
    <row r="346" spans="1:8" x14ac:dyDescent="0.25">
      <c r="A346" s="4">
        <v>832</v>
      </c>
      <c r="B346" s="4" t="s">
        <v>346</v>
      </c>
      <c r="C346" t="str">
        <f>VLOOKUP(VALUE(A346),CURRENT,2,FALSE)</f>
        <v>France 24 French HD</v>
      </c>
      <c r="D346" t="str">
        <f>IF(B346=C346,"","x")</f>
        <v/>
      </c>
      <c r="E346" t="str">
        <f>IFERROR(VLOOKUP(VLOOKUP(VALUE(A346),CURRENT,4,FALSE),NOV,2,FALSE),"")</f>
        <v/>
      </c>
      <c r="F346" t="str">
        <f>IFERROR(VLOOKUP(VLOOKUP(VALUE(A346),CURRENT,5,FALSE),NOV,2,FALSE),"")</f>
        <v/>
      </c>
      <c r="G346" t="str">
        <f t="shared" si="10"/>
        <v/>
      </c>
      <c r="H346" t="str">
        <f t="shared" si="11"/>
        <v/>
      </c>
    </row>
    <row r="347" spans="1:8" x14ac:dyDescent="0.25">
      <c r="A347" s="4">
        <v>833</v>
      </c>
      <c r="B347" s="4" t="s">
        <v>248</v>
      </c>
      <c r="C347" t="str">
        <f>VLOOKUP(VALUE(A347),CURRENT,2,FALSE)</f>
        <v>Hum Europe</v>
      </c>
      <c r="D347" t="str">
        <f>IF(B347=C347,"","x")</f>
        <v/>
      </c>
      <c r="E347" t="str">
        <f>IFERROR(VLOOKUP(VLOOKUP(VALUE(A347),CURRENT,4,FALSE),NOV,2,FALSE),"")</f>
        <v/>
      </c>
      <c r="F347" t="str">
        <f>IFERROR(VLOOKUP(VLOOKUP(VALUE(A347),CURRENT,5,FALSE),NOV,2,FALSE),"")</f>
        <v/>
      </c>
      <c r="G347" t="str">
        <f t="shared" si="10"/>
        <v/>
      </c>
      <c r="H347" t="str">
        <f t="shared" si="11"/>
        <v/>
      </c>
    </row>
    <row r="348" spans="1:8" x14ac:dyDescent="0.25">
      <c r="A348" s="4">
        <v>834</v>
      </c>
      <c r="B348" s="4" t="s">
        <v>11</v>
      </c>
      <c r="C348" t="str">
        <f>VLOOKUP(VALUE(A348),CURRENT,2,FALSE)</f>
        <v>Worldbox</v>
      </c>
      <c r="D348" t="str">
        <f>IF(B348=C348,"","x")</f>
        <v/>
      </c>
      <c r="E348" t="str">
        <f>IFERROR(VLOOKUP(VLOOKUP(VALUE(A348),CURRENT,4,FALSE),NOV,2,FALSE),"")</f>
        <v/>
      </c>
      <c r="F348" t="str">
        <f>IFERROR(VLOOKUP(VLOOKUP(VALUE(A348),CURRENT,5,FALSE),NOV,2,FALSE),"")</f>
        <v/>
      </c>
      <c r="G348" t="str">
        <f t="shared" si="10"/>
        <v/>
      </c>
      <c r="H348" t="str">
        <f t="shared" si="11"/>
        <v/>
      </c>
    </row>
    <row r="349" spans="1:8" x14ac:dyDescent="0.25">
      <c r="A349" s="4">
        <v>836</v>
      </c>
      <c r="B349" s="4" t="s">
        <v>249</v>
      </c>
      <c r="C349" t="str">
        <f>VLOOKUP(VALUE(A349),CURRENT,2,FALSE)</f>
        <v>NDTV India</v>
      </c>
      <c r="D349" t="str">
        <f>IF(B349=C349,"","x")</f>
        <v/>
      </c>
      <c r="E349" t="str">
        <f>IFERROR(VLOOKUP(VLOOKUP(VALUE(A349),CURRENT,4,FALSE),NOV,2,FALSE),"")</f>
        <v/>
      </c>
      <c r="F349" t="str">
        <f>IFERROR(VLOOKUP(VLOOKUP(VALUE(A349),CURRENT,5,FALSE),NOV,2,FALSE),"")</f>
        <v/>
      </c>
      <c r="G349" t="str">
        <f t="shared" si="10"/>
        <v/>
      </c>
      <c r="H349" t="str">
        <f t="shared" si="11"/>
        <v/>
      </c>
    </row>
    <row r="350" spans="1:8" x14ac:dyDescent="0.25">
      <c r="A350" s="4">
        <v>837</v>
      </c>
      <c r="B350" s="4" t="s">
        <v>250</v>
      </c>
      <c r="C350" t="str">
        <f>VLOOKUP(VALUE(A350),CURRENT,2,FALSE)</f>
        <v>NDTV Spice</v>
      </c>
      <c r="D350" t="str">
        <f>IF(B350=C350,"","x")</f>
        <v/>
      </c>
      <c r="E350" t="str">
        <f>IFERROR(VLOOKUP(VLOOKUP(VALUE(A350),CURRENT,4,FALSE),NOV,2,FALSE),"")</f>
        <v/>
      </c>
      <c r="F350" t="str">
        <f>IFERROR(VLOOKUP(VLOOKUP(VALUE(A350),CURRENT,5,FALSE),NOV,2,FALSE),"")</f>
        <v/>
      </c>
      <c r="G350" t="str">
        <f t="shared" si="10"/>
        <v/>
      </c>
      <c r="H350" t="str">
        <f t="shared" si="11"/>
        <v/>
      </c>
    </row>
    <row r="351" spans="1:8" x14ac:dyDescent="0.25">
      <c r="A351" s="4">
        <v>838</v>
      </c>
      <c r="B351" s="4" t="s">
        <v>347</v>
      </c>
      <c r="C351" t="str">
        <f>VLOOKUP(VALUE(A351),CURRENT,2,FALSE)</f>
        <v>Islam Channel</v>
      </c>
      <c r="D351" t="str">
        <f>IF(B351=C351,"","x")</f>
        <v/>
      </c>
      <c r="E351" t="str">
        <f>IFERROR(VLOOKUP(VLOOKUP(VALUE(A351),CURRENT,4,FALSE),NOV,2,FALSE),"")</f>
        <v/>
      </c>
      <c r="F351" t="str">
        <f>IFERROR(VLOOKUP(VLOOKUP(VALUE(A351),CURRENT,5,FALSE),NOV,2,FALSE),"")</f>
        <v/>
      </c>
      <c r="G351" t="str">
        <f t="shared" si="10"/>
        <v/>
      </c>
      <c r="H351" t="str">
        <f t="shared" si="11"/>
        <v/>
      </c>
    </row>
    <row r="352" spans="1:8" x14ac:dyDescent="0.25">
      <c r="A352" s="4">
        <v>839</v>
      </c>
      <c r="B352" s="4" t="s">
        <v>251</v>
      </c>
      <c r="C352" t="str">
        <f>VLOOKUP(VALUE(A352),CURRENT,2,FALSE)</f>
        <v>Islam Channel Urdu</v>
      </c>
      <c r="D352" t="str">
        <f>IF(B352=C352,"","x")</f>
        <v/>
      </c>
      <c r="E352" t="str">
        <f>IFERROR(VLOOKUP(VLOOKUP(VALUE(A352),CURRENT,4,FALSE),NOV,2,FALSE),"")</f>
        <v/>
      </c>
      <c r="F352" t="str">
        <f>IFERROR(VLOOKUP(VLOOKUP(VALUE(A352),CURRENT,5,FALSE),NOV,2,FALSE),"")</f>
        <v/>
      </c>
      <c r="G352" t="str">
        <f t="shared" si="10"/>
        <v/>
      </c>
      <c r="H352" t="str">
        <f t="shared" si="11"/>
        <v/>
      </c>
    </row>
    <row r="353" spans="1:8" x14ac:dyDescent="0.25">
      <c r="A353" s="4">
        <v>840</v>
      </c>
      <c r="B353" s="4" t="s">
        <v>626</v>
      </c>
      <c r="C353" t="str">
        <f>VLOOKUP(VALUE(A353),CURRENT,2,FALSE)</f>
        <v>Brit Asia TV</v>
      </c>
      <c r="D353" t="str">
        <f>IF(B353=C353,"","x")</f>
        <v/>
      </c>
      <c r="E353" t="str">
        <f>IFERROR(VLOOKUP(VLOOKUP(VALUE(A353),CURRENT,4,FALSE),NOV,2,FALSE),"")</f>
        <v/>
      </c>
      <c r="F353" t="str">
        <f>IFERROR(VLOOKUP(VLOOKUP(VALUE(A353),CURRENT,5,FALSE),NOV,2,FALSE),"")</f>
        <v/>
      </c>
      <c r="G353" t="str">
        <f t="shared" si="10"/>
        <v/>
      </c>
      <c r="H353" t="str">
        <f t="shared" si="11"/>
        <v/>
      </c>
    </row>
    <row r="354" spans="1:8" x14ac:dyDescent="0.25">
      <c r="A354" s="4">
        <v>841</v>
      </c>
      <c r="B354" s="4" t="s">
        <v>252</v>
      </c>
      <c r="C354" t="str">
        <f>VLOOKUP(VALUE(A354),CURRENT,2,FALSE)</f>
        <v>MTV Beats</v>
      </c>
      <c r="D354" t="str">
        <f>IF(B354=C354,"","x")</f>
        <v/>
      </c>
      <c r="E354" t="str">
        <f>IFERROR(VLOOKUP(VLOOKUP(VALUE(A354),CURRENT,4,FALSE),NOV,2,FALSE),"")</f>
        <v/>
      </c>
      <c r="F354" t="str">
        <f>IFERROR(VLOOKUP(VLOOKUP(VALUE(A354),CURRENT,5,FALSE),NOV,2,FALSE),"")</f>
        <v/>
      </c>
      <c r="G354" t="str">
        <f t="shared" si="10"/>
        <v/>
      </c>
      <c r="H354" t="str">
        <f t="shared" si="11"/>
        <v/>
      </c>
    </row>
    <row r="355" spans="1:8" x14ac:dyDescent="0.25">
      <c r="A355" s="4">
        <v>842</v>
      </c>
      <c r="B355" s="4" t="s">
        <v>629</v>
      </c>
      <c r="C355" t="str">
        <f>VLOOKUP(VALUE(A355),CURRENT,2,FALSE)</f>
        <v>ABN TV</v>
      </c>
      <c r="D355" t="str">
        <f>IF(B355=C355,"","x")</f>
        <v/>
      </c>
      <c r="E355" t="str">
        <f>IFERROR(VLOOKUP(VLOOKUP(VALUE(A355),CURRENT,4,FALSE),NOV,2,FALSE),"")</f>
        <v/>
      </c>
      <c r="F355" t="str">
        <f>IFERROR(VLOOKUP(VLOOKUP(VALUE(A355),CURRENT,5,FALSE),NOV,2,FALSE),"")</f>
        <v/>
      </c>
      <c r="G355" t="str">
        <f t="shared" si="10"/>
        <v/>
      </c>
      <c r="H355" t="str">
        <f t="shared" si="11"/>
        <v/>
      </c>
    </row>
    <row r="356" spans="1:8" x14ac:dyDescent="0.25">
      <c r="A356" s="4">
        <v>851</v>
      </c>
      <c r="B356" s="4" t="s">
        <v>349</v>
      </c>
      <c r="C356" t="str">
        <f>VLOOKUP(VALUE(A356),CURRENT,2,FALSE)</f>
        <v>BBC One AD</v>
      </c>
      <c r="D356" t="str">
        <f>IF(B356=C356,"","x")</f>
        <v/>
      </c>
      <c r="E356" t="str">
        <f>IFERROR(VLOOKUP(VLOOKUP(VALUE(A356),CURRENT,4,FALSE),NOV,2,FALSE),"")</f>
        <v/>
      </c>
      <c r="F356" t="str">
        <f>IFERROR(VLOOKUP(VLOOKUP(VALUE(A356),CURRENT,5,FALSE),NOV,2,FALSE),"")</f>
        <v/>
      </c>
      <c r="G356" t="str">
        <f t="shared" si="10"/>
        <v/>
      </c>
      <c r="H356" t="str">
        <f t="shared" si="11"/>
        <v/>
      </c>
    </row>
    <row r="357" spans="1:8" x14ac:dyDescent="0.25">
      <c r="A357" s="4">
        <v>852</v>
      </c>
      <c r="B357" s="4" t="s">
        <v>350</v>
      </c>
      <c r="C357" t="str">
        <f>VLOOKUP(VALUE(A357),CURRENT,2,FALSE)</f>
        <v>BBC Two AD</v>
      </c>
      <c r="D357" t="str">
        <f>IF(B357=C357,"","x")</f>
        <v/>
      </c>
      <c r="E357" t="str">
        <f>IFERROR(VLOOKUP(VLOOKUP(VALUE(A357),CURRENT,4,FALSE),NOV,2,FALSE),"")</f>
        <v/>
      </c>
      <c r="F357" t="str">
        <f>IFERROR(VLOOKUP(VLOOKUP(VALUE(A357),CURRENT,5,FALSE),NOV,2,FALSE),"")</f>
        <v/>
      </c>
      <c r="G357" t="str">
        <f t="shared" si="10"/>
        <v/>
      </c>
      <c r="H357" t="str">
        <f t="shared" si="11"/>
        <v/>
      </c>
    </row>
    <row r="358" spans="1:8" x14ac:dyDescent="0.25">
      <c r="A358" s="4">
        <v>853</v>
      </c>
      <c r="B358" s="4" t="s">
        <v>351</v>
      </c>
      <c r="C358" t="str">
        <f>VLOOKUP(VALUE(A358),CURRENT,2,FALSE)</f>
        <v>ITV AD</v>
      </c>
      <c r="D358" t="str">
        <f>IF(B358=C358,"","x")</f>
        <v/>
      </c>
      <c r="E358" t="str">
        <f>IFERROR(VLOOKUP(VLOOKUP(VALUE(A358),CURRENT,4,FALSE),NOV,2,FALSE),"")</f>
        <v/>
      </c>
      <c r="F358" t="str">
        <f>IFERROR(VLOOKUP(VLOOKUP(VALUE(A358),CURRENT,5,FALSE),NOV,2,FALSE),"")</f>
        <v/>
      </c>
      <c r="G358" t="str">
        <f t="shared" si="10"/>
        <v/>
      </c>
      <c r="H358" t="str">
        <f t="shared" si="11"/>
        <v/>
      </c>
    </row>
    <row r="359" spans="1:8" x14ac:dyDescent="0.25">
      <c r="A359" s="4">
        <v>854</v>
      </c>
      <c r="B359" s="4" t="s">
        <v>352</v>
      </c>
      <c r="C359" t="str">
        <f>VLOOKUP(VALUE(A359),CURRENT,2,FALSE)</f>
        <v>Channel 4 AD</v>
      </c>
      <c r="D359" t="str">
        <f>IF(B359=C359,"","x")</f>
        <v/>
      </c>
      <c r="E359" t="str">
        <f>IFERROR(VLOOKUP(VLOOKUP(VALUE(A359),CURRENT,4,FALSE),NOV,2,FALSE),"")</f>
        <v/>
      </c>
      <c r="F359" t="str">
        <f>IFERROR(VLOOKUP(VLOOKUP(VALUE(A359),CURRENT,5,FALSE),NOV,2,FALSE),"")</f>
        <v/>
      </c>
      <c r="G359" t="str">
        <f t="shared" si="10"/>
        <v/>
      </c>
      <c r="H359" t="str">
        <f t="shared" si="11"/>
        <v/>
      </c>
    </row>
    <row r="360" spans="1:8" x14ac:dyDescent="0.25">
      <c r="A360" s="4">
        <v>855</v>
      </c>
      <c r="B360" s="4" t="s">
        <v>353</v>
      </c>
      <c r="C360" t="str">
        <f>VLOOKUP(VALUE(A360),CURRENT,2,FALSE)</f>
        <v>Channel 5 AD</v>
      </c>
      <c r="D360" t="str">
        <f>IF(B360=C360,"","x")</f>
        <v/>
      </c>
      <c r="E360" t="str">
        <f>IFERROR(VLOOKUP(VLOOKUP(VALUE(A360),CURRENT,4,FALSE),NOV,2,FALSE),"")</f>
        <v/>
      </c>
      <c r="F360" t="str">
        <f>IFERROR(VLOOKUP(VLOOKUP(VALUE(A360),CURRENT,5,FALSE),NOV,2,FALSE),"")</f>
        <v/>
      </c>
      <c r="G360" t="str">
        <f t="shared" si="10"/>
        <v/>
      </c>
      <c r="H360" t="str">
        <f t="shared" si="11"/>
        <v/>
      </c>
    </row>
    <row r="361" spans="1:8" x14ac:dyDescent="0.25">
      <c r="A361" s="4">
        <v>856</v>
      </c>
      <c r="B361" s="4" t="s">
        <v>354</v>
      </c>
      <c r="C361" t="str">
        <f>VLOOKUP(VALUE(A361),CURRENT,2,FALSE)</f>
        <v>S4C AD</v>
      </c>
      <c r="D361" t="str">
        <f>IF(B361=C361,"","x")</f>
        <v/>
      </c>
      <c r="E361" t="str">
        <f>IFERROR(VLOOKUP(VLOOKUP(VALUE(A361),CURRENT,4,FALSE),NOV,2,FALSE),"")</f>
        <v/>
      </c>
      <c r="F361" t="str">
        <f>IFERROR(VLOOKUP(VLOOKUP(VALUE(A361),CURRENT,5,FALSE),NOV,2,FALSE),"")</f>
        <v/>
      </c>
      <c r="G361" t="str">
        <f t="shared" si="10"/>
        <v/>
      </c>
      <c r="H361" t="str">
        <f t="shared" si="11"/>
        <v/>
      </c>
    </row>
    <row r="362" spans="1:8" x14ac:dyDescent="0.25">
      <c r="A362" s="4">
        <v>858</v>
      </c>
      <c r="B362" s="4" t="s">
        <v>12</v>
      </c>
      <c r="C362" t="str">
        <f>VLOOKUP(VALUE(A362),CURRENT,2,FALSE)</f>
        <v>BBC One</v>
      </c>
      <c r="D362" t="str">
        <f>IF(B362=C362,"","x")</f>
        <v/>
      </c>
      <c r="E362" t="str">
        <f>IFERROR(VLOOKUP(VLOOKUP(VALUE(A362),CURRENT,4,FALSE),NOV,2,FALSE),"")</f>
        <v/>
      </c>
      <c r="F362" t="str">
        <f>IFERROR(VLOOKUP(VLOOKUP(VALUE(A362),CURRENT,5,FALSE),NOV,2,FALSE),"")</f>
        <v/>
      </c>
      <c r="G362" t="str">
        <f t="shared" si="10"/>
        <v/>
      </c>
      <c r="H362" t="str">
        <f t="shared" si="11"/>
        <v/>
      </c>
    </row>
    <row r="363" spans="1:8" x14ac:dyDescent="0.25">
      <c r="A363" s="4">
        <v>861</v>
      </c>
      <c r="B363" s="4" t="s">
        <v>635</v>
      </c>
      <c r="C363" t="str">
        <f>VLOOKUP(VALUE(A363),CURRENT,2,FALSE)</f>
        <v>BBC One London</v>
      </c>
      <c r="D363" t="str">
        <f>IF(B363=C363,"","x")</f>
        <v/>
      </c>
      <c r="E363" t="str">
        <f>IFERROR(VLOOKUP(VLOOKUP(VALUE(A363),CURRENT,4,FALSE),NOV,2,FALSE),"")</f>
        <v/>
      </c>
      <c r="F363" t="str">
        <f>IFERROR(VLOOKUP(VLOOKUP(VALUE(A363),CURRENT,5,FALSE),NOV,2,FALSE),"")</f>
        <v/>
      </c>
      <c r="G363" t="str">
        <f t="shared" si="10"/>
        <v/>
      </c>
      <c r="H363" t="str">
        <f t="shared" si="11"/>
        <v/>
      </c>
    </row>
    <row r="364" spans="1:8" x14ac:dyDescent="0.25">
      <c r="A364" s="4">
        <v>862</v>
      </c>
      <c r="B364" s="4" t="s">
        <v>253</v>
      </c>
      <c r="C364" t="str">
        <f>VLOOKUP(VALUE(A364),CURRENT,2,FALSE)</f>
        <v>BBC One Scotland</v>
      </c>
      <c r="D364" t="str">
        <f>IF(B364=C364,"","x")</f>
        <v/>
      </c>
      <c r="E364" t="str">
        <f>IFERROR(VLOOKUP(VLOOKUP(VALUE(A364),CURRENT,4,FALSE),NOV,2,FALSE),"")</f>
        <v/>
      </c>
      <c r="F364" t="str">
        <f>IFERROR(VLOOKUP(VLOOKUP(VALUE(A364),CURRENT,5,FALSE),NOV,2,FALSE),"")</f>
        <v/>
      </c>
      <c r="G364" t="str">
        <f t="shared" si="10"/>
        <v/>
      </c>
      <c r="H364" t="str">
        <f t="shared" si="11"/>
        <v/>
      </c>
    </row>
    <row r="365" spans="1:8" x14ac:dyDescent="0.25">
      <c r="A365" s="4">
        <v>863</v>
      </c>
      <c r="B365" s="4" t="s">
        <v>636</v>
      </c>
      <c r="C365" t="str">
        <f>VLOOKUP(VALUE(A365),CURRENT,2,FALSE)</f>
        <v>BBC One Northern Ireland</v>
      </c>
      <c r="D365" t="str">
        <f>IF(B365=C365,"","x")</f>
        <v/>
      </c>
      <c r="E365" t="str">
        <f>IFERROR(VLOOKUP(VLOOKUP(VALUE(A365),CURRENT,4,FALSE),NOV,2,FALSE),"")</f>
        <v/>
      </c>
      <c r="F365" t="str">
        <f>IFERROR(VLOOKUP(VLOOKUP(VALUE(A365),CURRENT,5,FALSE),NOV,2,FALSE),"")</f>
        <v/>
      </c>
      <c r="G365" t="str">
        <f t="shared" si="10"/>
        <v/>
      </c>
      <c r="H365" t="str">
        <f t="shared" si="11"/>
        <v/>
      </c>
    </row>
    <row r="366" spans="1:8" x14ac:dyDescent="0.25">
      <c r="A366" s="4">
        <v>864</v>
      </c>
      <c r="B366" s="4" t="s">
        <v>254</v>
      </c>
      <c r="C366" t="str">
        <f>VLOOKUP(VALUE(A366),CURRENT,2,FALSE)</f>
        <v>BBC One Wales</v>
      </c>
      <c r="D366" t="str">
        <f>IF(B366=C366,"","x")</f>
        <v/>
      </c>
      <c r="E366" t="str">
        <f>IFERROR(VLOOKUP(VLOOKUP(VALUE(A366),CURRENT,4,FALSE),NOV,2,FALSE),"")</f>
        <v/>
      </c>
      <c r="F366" t="str">
        <f>IFERROR(VLOOKUP(VLOOKUP(VALUE(A366),CURRENT,5,FALSE),NOV,2,FALSE),"")</f>
        <v/>
      </c>
      <c r="G366" t="str">
        <f t="shared" si="10"/>
        <v/>
      </c>
      <c r="H366" t="str">
        <f t="shared" si="11"/>
        <v/>
      </c>
    </row>
    <row r="367" spans="1:8" x14ac:dyDescent="0.25">
      <c r="A367" s="4">
        <v>865</v>
      </c>
      <c r="B367" s="4" t="s">
        <v>255</v>
      </c>
      <c r="C367" t="str">
        <f>VLOOKUP(VALUE(A367),CURRENT,2,FALSE)</f>
        <v>BBC Two England</v>
      </c>
      <c r="D367" t="str">
        <f>IF(B367=C367,"","x")</f>
        <v/>
      </c>
      <c r="E367" t="str">
        <f>IFERROR(VLOOKUP(VLOOKUP(VALUE(A367),CURRENT,4,FALSE),NOV,2,FALSE),"")</f>
        <v/>
      </c>
      <c r="F367" t="str">
        <f>IFERROR(VLOOKUP(VLOOKUP(VALUE(A367),CURRENT,5,FALSE),NOV,2,FALSE),"")</f>
        <v/>
      </c>
      <c r="G367" t="str">
        <f t="shared" si="10"/>
        <v/>
      </c>
      <c r="H367" t="str">
        <f t="shared" si="11"/>
        <v/>
      </c>
    </row>
    <row r="368" spans="1:8" x14ac:dyDescent="0.25">
      <c r="A368" s="4">
        <v>870</v>
      </c>
      <c r="B368" s="4" t="s">
        <v>13</v>
      </c>
      <c r="C368" t="str">
        <f>VLOOKUP(VALUE(A368),CURRENT,2,FALSE)</f>
        <v>ITV</v>
      </c>
      <c r="D368" t="str">
        <f>IF(B368=C368,"","x")</f>
        <v/>
      </c>
      <c r="E368" t="str">
        <f>IFERROR(VLOOKUP(VLOOKUP(VALUE(A368),CURRENT,4,FALSE),NOV,2,FALSE),"")</f>
        <v/>
      </c>
      <c r="F368" t="str">
        <f>IFERROR(VLOOKUP(VLOOKUP(VALUE(A368),CURRENT,5,FALSE),NOV,2,FALSE),"")</f>
        <v/>
      </c>
      <c r="G368" t="str">
        <f t="shared" si="10"/>
        <v/>
      </c>
      <c r="H368" t="str">
        <f t="shared" si="11"/>
        <v/>
      </c>
    </row>
    <row r="369" spans="1:8" x14ac:dyDescent="0.25">
      <c r="A369" s="4">
        <v>871</v>
      </c>
      <c r="B369" s="4" t="s">
        <v>13</v>
      </c>
      <c r="C369" t="str">
        <f>VLOOKUP(VALUE(A369),CURRENT,2,FALSE)</f>
        <v>ITV</v>
      </c>
      <c r="D369" t="str">
        <f>IF(B369=C369,"","x")</f>
        <v/>
      </c>
      <c r="E369" t="str">
        <f>IFERROR(VLOOKUP(VLOOKUP(VALUE(A369),CURRENT,4,FALSE),NOV,2,FALSE),"")</f>
        <v/>
      </c>
      <c r="F369" t="str">
        <f>IFERROR(VLOOKUP(VLOOKUP(VALUE(A369),CURRENT,5,FALSE),NOV,2,FALSE),"")</f>
        <v/>
      </c>
      <c r="G369" t="str">
        <f t="shared" si="10"/>
        <v/>
      </c>
      <c r="H369" t="str">
        <f t="shared" si="11"/>
        <v/>
      </c>
    </row>
    <row r="370" spans="1:8" x14ac:dyDescent="0.25">
      <c r="A370" s="4">
        <v>875</v>
      </c>
      <c r="B370" s="4" t="s">
        <v>282</v>
      </c>
      <c r="C370" t="str">
        <f>VLOOKUP(VALUE(A370),CURRENT,2,FALSE)</f>
        <v>RTÉ One</v>
      </c>
      <c r="D370" t="str">
        <f>IF(B370=C370,"","x")</f>
        <v/>
      </c>
      <c r="E370" t="str">
        <f>IFERROR(VLOOKUP(VLOOKUP(VALUE(A370),CURRENT,4,FALSE),NOV,2,FALSE),"")</f>
        <v/>
      </c>
      <c r="F370" t="str">
        <f>IFERROR(VLOOKUP(VLOOKUP(VALUE(A370),CURRENT,5,FALSE),NOV,2,FALSE),"")</f>
        <v/>
      </c>
      <c r="G370" t="str">
        <f t="shared" si="10"/>
        <v/>
      </c>
      <c r="H370" t="str">
        <f t="shared" si="11"/>
        <v/>
      </c>
    </row>
    <row r="371" spans="1:8" x14ac:dyDescent="0.25">
      <c r="A371" s="4">
        <v>876</v>
      </c>
      <c r="B371" s="4" t="s">
        <v>639</v>
      </c>
      <c r="C371" t="str">
        <f>VLOOKUP(VALUE(A371),CURRENT,2,FALSE)</f>
        <v>RTÉ 2</v>
      </c>
      <c r="D371" t="str">
        <f>IF(B371=C371,"","x")</f>
        <v/>
      </c>
      <c r="E371" t="str">
        <f>IFERROR(VLOOKUP(VLOOKUP(VALUE(A371),CURRENT,4,FALSE),NOV,2,FALSE),"")</f>
        <v/>
      </c>
      <c r="F371" t="str">
        <f>IFERROR(VLOOKUP(VLOOKUP(VALUE(A371),CURRENT,5,FALSE),NOV,2,FALSE),"")</f>
        <v/>
      </c>
      <c r="G371" t="str">
        <f t="shared" si="10"/>
        <v/>
      </c>
      <c r="H371" t="str">
        <f t="shared" si="11"/>
        <v/>
      </c>
    </row>
    <row r="372" spans="1:8" x14ac:dyDescent="0.25">
      <c r="A372" s="4">
        <v>877</v>
      </c>
      <c r="B372" s="4" t="s">
        <v>283</v>
      </c>
      <c r="C372" t="str">
        <f>VLOOKUP(VALUE(A372),CURRENT,2,FALSE)</f>
        <v>TG4</v>
      </c>
      <c r="D372" t="str">
        <f>IF(B372=C372,"","x")</f>
        <v/>
      </c>
      <c r="E372" t="str">
        <f>IFERROR(VLOOKUP(VLOOKUP(VALUE(A372),CURRENT,4,FALSE),NOV,2,FALSE),"")</f>
        <v/>
      </c>
      <c r="F372" t="str">
        <f>IFERROR(VLOOKUP(VLOOKUP(VALUE(A372),CURRENT,5,FALSE),NOV,2,FALSE),"")</f>
        <v/>
      </c>
      <c r="G372" t="str">
        <f t="shared" si="10"/>
        <v/>
      </c>
      <c r="H372" t="str">
        <f t="shared" si="11"/>
        <v/>
      </c>
    </row>
    <row r="373" spans="1:8" x14ac:dyDescent="0.25">
      <c r="A373" s="4">
        <v>901</v>
      </c>
      <c r="B373" s="4" t="s">
        <v>256</v>
      </c>
      <c r="C373" t="str">
        <f>VLOOKUP(VALUE(A373),CURRENT,2,FALSE)</f>
        <v>BBC Radio 1</v>
      </c>
      <c r="D373" t="str">
        <f>IF(B373=C373,"","x")</f>
        <v/>
      </c>
      <c r="E373" t="str">
        <f>IFERROR(VLOOKUP(VLOOKUP(VALUE(A373),CURRENT,4,FALSE),NOV,2,FALSE),"")</f>
        <v/>
      </c>
      <c r="F373" t="str">
        <f>IFERROR(VLOOKUP(VLOOKUP(VALUE(A373),CURRENT,5,FALSE),NOV,2,FALSE),"")</f>
        <v/>
      </c>
      <c r="G373" t="str">
        <f t="shared" si="10"/>
        <v/>
      </c>
      <c r="H373" t="str">
        <f t="shared" si="11"/>
        <v/>
      </c>
    </row>
    <row r="374" spans="1:8" x14ac:dyDescent="0.25">
      <c r="A374" s="4">
        <v>902</v>
      </c>
      <c r="B374" s="4" t="s">
        <v>257</v>
      </c>
      <c r="C374" t="str">
        <f>VLOOKUP(VALUE(A374),CURRENT,2,FALSE)</f>
        <v>BBC Radio 2</v>
      </c>
      <c r="D374" t="str">
        <f>IF(B374=C374,"","x")</f>
        <v/>
      </c>
      <c r="E374" t="str">
        <f>IFERROR(VLOOKUP(VLOOKUP(VALUE(A374),CURRENT,4,FALSE),NOV,2,FALSE),"")</f>
        <v/>
      </c>
      <c r="F374" t="str">
        <f>IFERROR(VLOOKUP(VLOOKUP(VALUE(A374),CURRENT,5,FALSE),NOV,2,FALSE),"")</f>
        <v/>
      </c>
      <c r="G374" t="str">
        <f t="shared" si="10"/>
        <v/>
      </c>
      <c r="H374" t="str">
        <f t="shared" si="11"/>
        <v/>
      </c>
    </row>
    <row r="375" spans="1:8" x14ac:dyDescent="0.25">
      <c r="A375" s="4">
        <v>903</v>
      </c>
      <c r="B375" s="4" t="s">
        <v>258</v>
      </c>
      <c r="C375" t="str">
        <f>VLOOKUP(VALUE(A375),CURRENT,2,FALSE)</f>
        <v>BBC Radio 3</v>
      </c>
      <c r="D375" t="str">
        <f>IF(B375=C375,"","x")</f>
        <v/>
      </c>
      <c r="E375" t="str">
        <f>IFERROR(VLOOKUP(VLOOKUP(VALUE(A375),CURRENT,4,FALSE),NOV,2,FALSE),"")</f>
        <v/>
      </c>
      <c r="F375" t="str">
        <f>IFERROR(VLOOKUP(VLOOKUP(VALUE(A375),CURRENT,5,FALSE),NOV,2,FALSE),"")</f>
        <v/>
      </c>
      <c r="G375" t="str">
        <f t="shared" si="10"/>
        <v/>
      </c>
      <c r="H375" t="str">
        <f t="shared" si="11"/>
        <v/>
      </c>
    </row>
    <row r="376" spans="1:8" x14ac:dyDescent="0.25">
      <c r="A376" s="4">
        <v>904</v>
      </c>
      <c r="B376" s="4" t="s">
        <v>355</v>
      </c>
      <c r="C376" t="str">
        <f>VLOOKUP(VALUE(A376),CURRENT,2,FALSE)</f>
        <v>BBC Radio 4</v>
      </c>
      <c r="D376" t="str">
        <f>IF(B376=C376,"","x")</f>
        <v/>
      </c>
      <c r="E376" t="str">
        <f>IFERROR(VLOOKUP(VLOOKUP(VALUE(A376),CURRENT,4,FALSE),NOV,2,FALSE),"")</f>
        <v/>
      </c>
      <c r="F376" t="str">
        <f>IFERROR(VLOOKUP(VLOOKUP(VALUE(A376),CURRENT,5,FALSE),NOV,2,FALSE),"")</f>
        <v/>
      </c>
      <c r="G376" t="str">
        <f t="shared" si="10"/>
        <v/>
      </c>
      <c r="H376" t="str">
        <f t="shared" si="11"/>
        <v/>
      </c>
    </row>
    <row r="377" spans="1:8" x14ac:dyDescent="0.25">
      <c r="A377" s="4">
        <v>905</v>
      </c>
      <c r="B377" s="4" t="s">
        <v>259</v>
      </c>
      <c r="C377" t="str">
        <f>VLOOKUP(VALUE(A377),CURRENT,2,FALSE)</f>
        <v>BBC Radio 5 Live</v>
      </c>
      <c r="D377" t="str">
        <f>IF(B377=C377,"","x")</f>
        <v/>
      </c>
      <c r="E377" t="str">
        <f>IFERROR(VLOOKUP(VLOOKUP(VALUE(A377),CURRENT,4,FALSE),NOV,2,FALSE),"")</f>
        <v/>
      </c>
      <c r="F377" t="str">
        <f>IFERROR(VLOOKUP(VLOOKUP(VALUE(A377),CURRENT,5,FALSE),NOV,2,FALSE),"")</f>
        <v/>
      </c>
      <c r="G377" t="str">
        <f t="shared" si="10"/>
        <v/>
      </c>
      <c r="H377" t="str">
        <f t="shared" si="11"/>
        <v/>
      </c>
    </row>
    <row r="378" spans="1:8" x14ac:dyDescent="0.25">
      <c r="A378" s="4">
        <v>906</v>
      </c>
      <c r="B378" s="4" t="s">
        <v>260</v>
      </c>
      <c r="C378" t="str">
        <f>VLOOKUP(VALUE(A378),CURRENT,2,FALSE)</f>
        <v>BBC World Service</v>
      </c>
      <c r="D378" t="str">
        <f>IF(B378=C378,"","x")</f>
        <v/>
      </c>
      <c r="E378" t="str">
        <f>IFERROR(VLOOKUP(VLOOKUP(VALUE(A378),CURRENT,4,FALSE),NOV,2,FALSE),"")</f>
        <v/>
      </c>
      <c r="F378" t="str">
        <f>IFERROR(VLOOKUP(VLOOKUP(VALUE(A378),CURRENT,5,FALSE),NOV,2,FALSE),"")</f>
        <v/>
      </c>
      <c r="G378" t="str">
        <f t="shared" si="10"/>
        <v/>
      </c>
      <c r="H378" t="str">
        <f t="shared" si="11"/>
        <v/>
      </c>
    </row>
    <row r="379" spans="1:8" x14ac:dyDescent="0.25">
      <c r="A379" s="4">
        <v>907</v>
      </c>
      <c r="B379" s="4" t="s">
        <v>642</v>
      </c>
      <c r="C379" t="str">
        <f>VLOOKUP(VALUE(A379),CURRENT,2,FALSE)</f>
        <v>BBC Radio 1Xtra</v>
      </c>
      <c r="D379" t="str">
        <f>IF(B379=C379,"","x")</f>
        <v/>
      </c>
      <c r="E379" t="str">
        <f>IFERROR(VLOOKUP(VLOOKUP(VALUE(A379),CURRENT,4,FALSE),NOV,2,FALSE),"")</f>
        <v/>
      </c>
      <c r="F379" t="str">
        <f>IFERROR(VLOOKUP(VLOOKUP(VALUE(A379),CURRENT,5,FALSE),NOV,2,FALSE),"")</f>
        <v/>
      </c>
      <c r="G379" t="str">
        <f t="shared" si="10"/>
        <v/>
      </c>
      <c r="H379" t="str">
        <f t="shared" si="11"/>
        <v/>
      </c>
    </row>
    <row r="380" spans="1:8" x14ac:dyDescent="0.25">
      <c r="A380" s="4">
        <v>908</v>
      </c>
      <c r="B380" s="4" t="s">
        <v>643</v>
      </c>
      <c r="C380" t="str">
        <f>VLOOKUP(VALUE(A380),CURRENT,2,FALSE)</f>
        <v>BBC Radio 5 Live Sports Extra</v>
      </c>
      <c r="D380" t="str">
        <f>IF(B380=C380,"","x")</f>
        <v/>
      </c>
      <c r="E380" t="str">
        <f>IFERROR(VLOOKUP(VLOOKUP(VALUE(A380),CURRENT,4,FALSE),NOV,2,FALSE),"")</f>
        <v/>
      </c>
      <c r="F380" t="str">
        <f>IFERROR(VLOOKUP(VLOOKUP(VALUE(A380),CURRENT,5,FALSE),NOV,2,FALSE),"")</f>
        <v/>
      </c>
      <c r="G380" t="str">
        <f t="shared" si="10"/>
        <v/>
      </c>
      <c r="H380" t="str">
        <f t="shared" si="11"/>
        <v/>
      </c>
    </row>
    <row r="381" spans="1:8" x14ac:dyDescent="0.25">
      <c r="A381" s="4">
        <v>909</v>
      </c>
      <c r="B381" s="4" t="s">
        <v>261</v>
      </c>
      <c r="C381" t="str">
        <f>VLOOKUP(VALUE(A381),CURRENT,2,FALSE)</f>
        <v>BBC Radio 6 Music</v>
      </c>
      <c r="D381" t="str">
        <f>IF(B381=C381,"","x")</f>
        <v/>
      </c>
      <c r="E381" t="str">
        <f>IFERROR(VLOOKUP(VLOOKUP(VALUE(A381),CURRENT,4,FALSE),NOV,2,FALSE),"")</f>
        <v/>
      </c>
      <c r="F381" t="str">
        <f>IFERROR(VLOOKUP(VLOOKUP(VALUE(A381),CURRENT,5,FALSE),NOV,2,FALSE),"")</f>
        <v/>
      </c>
      <c r="G381" t="str">
        <f t="shared" si="10"/>
        <v/>
      </c>
      <c r="H381" t="str">
        <f t="shared" si="11"/>
        <v/>
      </c>
    </row>
    <row r="382" spans="1:8" x14ac:dyDescent="0.25">
      <c r="A382" s="4">
        <v>910</v>
      </c>
      <c r="B382" s="4" t="s">
        <v>262</v>
      </c>
      <c r="C382" t="str">
        <f>VLOOKUP(VALUE(A382),CURRENT,2,FALSE)</f>
        <v>BBC Radio 4 Extra</v>
      </c>
      <c r="D382" t="str">
        <f>IF(B382=C382,"","x")</f>
        <v/>
      </c>
      <c r="E382" t="str">
        <f>IFERROR(VLOOKUP(VLOOKUP(VALUE(A382),CURRENT,4,FALSE),NOV,2,FALSE),"")</f>
        <v/>
      </c>
      <c r="F382" t="str">
        <f>IFERROR(VLOOKUP(VLOOKUP(VALUE(A382),CURRENT,5,FALSE),NOV,2,FALSE),"")</f>
        <v/>
      </c>
      <c r="G382" t="str">
        <f t="shared" si="10"/>
        <v/>
      </c>
      <c r="H382" t="str">
        <f t="shared" si="11"/>
        <v/>
      </c>
    </row>
    <row r="383" spans="1:8" x14ac:dyDescent="0.25">
      <c r="A383" s="4">
        <v>911</v>
      </c>
      <c r="B383" s="4" t="s">
        <v>356</v>
      </c>
      <c r="C383" t="str">
        <f>VLOOKUP(VALUE(A383),CURRENT,2,FALSE)</f>
        <v>BBC Radio 4 LW</v>
      </c>
      <c r="D383" t="str">
        <f>IF(B383=C383,"","x")</f>
        <v/>
      </c>
      <c r="E383" t="str">
        <f>IFERROR(VLOOKUP(VLOOKUP(VALUE(A383),CURRENT,4,FALSE),NOV,2,FALSE),"")</f>
        <v/>
      </c>
      <c r="F383" t="str">
        <f>IFERROR(VLOOKUP(VLOOKUP(VALUE(A383),CURRENT,5,FALSE),NOV,2,FALSE),"")</f>
        <v/>
      </c>
      <c r="G383" t="str">
        <f t="shared" si="10"/>
        <v/>
      </c>
      <c r="H383" t="str">
        <f t="shared" si="11"/>
        <v/>
      </c>
    </row>
    <row r="384" spans="1:8" x14ac:dyDescent="0.25">
      <c r="A384" s="4">
        <v>912</v>
      </c>
      <c r="B384" s="4" t="s">
        <v>263</v>
      </c>
      <c r="C384" t="str">
        <f>VLOOKUP(VALUE(A384),CURRENT,2,FALSE)</f>
        <v>BBC Asian Network</v>
      </c>
      <c r="D384" t="str">
        <f>IF(B384=C384,"","x")</f>
        <v/>
      </c>
      <c r="E384" t="str">
        <f>IFERROR(VLOOKUP(VLOOKUP(VALUE(A384),CURRENT,4,FALSE),NOV,2,FALSE),"")</f>
        <v/>
      </c>
      <c r="F384" t="str">
        <f>IFERROR(VLOOKUP(VLOOKUP(VALUE(A384),CURRENT,5,FALSE),NOV,2,FALSE),"")</f>
        <v/>
      </c>
      <c r="G384" t="str">
        <f t="shared" si="10"/>
        <v/>
      </c>
      <c r="H384" t="str">
        <f t="shared" si="11"/>
        <v/>
      </c>
    </row>
    <row r="385" spans="1:8" x14ac:dyDescent="0.25">
      <c r="A385" s="4">
        <v>915</v>
      </c>
      <c r="B385" s="4" t="s">
        <v>264</v>
      </c>
      <c r="C385" t="str">
        <f>VLOOKUP(VALUE(A385),CURRENT,2,FALSE)</f>
        <v>Absolute Radio</v>
      </c>
      <c r="D385" t="str">
        <f>IF(B385=C385,"","x")</f>
        <v/>
      </c>
      <c r="E385" t="str">
        <f>IFERROR(VLOOKUP(VLOOKUP(VALUE(A385),CURRENT,4,FALSE),NOV,2,FALSE),"")</f>
        <v/>
      </c>
      <c r="F385" t="str">
        <f>IFERROR(VLOOKUP(VLOOKUP(VALUE(A385),CURRENT,5,FALSE),NOV,2,FALSE),"")</f>
        <v/>
      </c>
      <c r="G385" t="str">
        <f t="shared" si="10"/>
        <v/>
      </c>
      <c r="H385" t="str">
        <f t="shared" si="11"/>
        <v/>
      </c>
    </row>
    <row r="386" spans="1:8" x14ac:dyDescent="0.25">
      <c r="A386" s="4">
        <v>916</v>
      </c>
      <c r="B386" s="4" t="s">
        <v>265</v>
      </c>
      <c r="C386" t="str">
        <f>VLOOKUP(VALUE(A386),CURRENT,2,FALSE)</f>
        <v>Smooth Radio</v>
      </c>
      <c r="D386" t="str">
        <f>IF(B386=C386,"","x")</f>
        <v/>
      </c>
      <c r="E386" t="str">
        <f>IFERROR(VLOOKUP(VLOOKUP(VALUE(A386),CURRENT,4,FALSE),NOV,2,FALSE),"")</f>
        <v/>
      </c>
      <c r="F386" t="str">
        <f>IFERROR(VLOOKUP(VLOOKUP(VALUE(A386),CURRENT,5,FALSE),NOV,2,FALSE),"")</f>
        <v/>
      </c>
      <c r="G386" t="str">
        <f t="shared" si="10"/>
        <v/>
      </c>
      <c r="H386" t="str">
        <f t="shared" si="11"/>
        <v/>
      </c>
    </row>
    <row r="387" spans="1:8" x14ac:dyDescent="0.25">
      <c r="A387" s="4">
        <v>917</v>
      </c>
      <c r="B387" s="4" t="s">
        <v>646</v>
      </c>
      <c r="C387" t="str">
        <f>VLOOKUP(VALUE(A387),CURRENT,2,FALSE)</f>
        <v>RTÉ Radio 1</v>
      </c>
      <c r="D387" t="str">
        <f>IF(B387=C387,"","x")</f>
        <v/>
      </c>
      <c r="E387" t="str">
        <f>IFERROR(VLOOKUP(VLOOKUP(VALUE(A387),CURRENT,4,FALSE),NOV,2,FALSE),"")</f>
        <v/>
      </c>
      <c r="F387" t="str">
        <f>IFERROR(VLOOKUP(VLOOKUP(VALUE(A387),CURRENT,5,FALSE),NOV,2,FALSE),"")</f>
        <v/>
      </c>
      <c r="G387" t="str">
        <f t="shared" ref="G387:G429" si="12">IF(E387&lt;&gt;"",FIND(IFERROR(LEFT(B387,FIND(" ",B387)-1),B387),E387),"")</f>
        <v/>
      </c>
      <c r="H387" t="str">
        <f t="shared" ref="H387:H429" si="13">IF(F387&lt;&gt;"",FIND(IFERROR(LEFT(B387,FIND(" ",B387)-1),B387),F387),"")</f>
        <v/>
      </c>
    </row>
    <row r="388" spans="1:8" x14ac:dyDescent="0.25">
      <c r="A388" s="4">
        <v>918</v>
      </c>
      <c r="B388" s="4" t="s">
        <v>647</v>
      </c>
      <c r="C388" t="str">
        <f>VLOOKUP(VALUE(A388),CURRENT,2,FALSE)</f>
        <v>Heart London</v>
      </c>
      <c r="D388" t="str">
        <f>IF(B388=C388,"","x")</f>
        <v/>
      </c>
      <c r="E388" t="str">
        <f>IFERROR(VLOOKUP(VLOOKUP(VALUE(A388),CURRENT,4,FALSE),NOV,2,FALSE),"")</f>
        <v/>
      </c>
      <c r="F388" t="str">
        <f>IFERROR(VLOOKUP(VLOOKUP(VALUE(A388),CURRENT,5,FALSE),NOV,2,FALSE),"")</f>
        <v/>
      </c>
      <c r="G388" t="str">
        <f t="shared" si="12"/>
        <v/>
      </c>
      <c r="H388" t="str">
        <f t="shared" si="13"/>
        <v/>
      </c>
    </row>
    <row r="389" spans="1:8" x14ac:dyDescent="0.25">
      <c r="A389" s="4">
        <v>919</v>
      </c>
      <c r="B389" s="4" t="s">
        <v>357</v>
      </c>
      <c r="C389" t="str">
        <f>VLOOKUP(VALUE(A389),CURRENT,2,FALSE)</f>
        <v>LBC</v>
      </c>
      <c r="D389" t="str">
        <f>IF(B389=C389,"","x")</f>
        <v/>
      </c>
      <c r="E389" t="str">
        <f>IFERROR(VLOOKUP(VLOOKUP(VALUE(A389),CURRENT,4,FALSE),NOV,2,FALSE),"")</f>
        <v/>
      </c>
      <c r="F389" t="str">
        <f>IFERROR(VLOOKUP(VLOOKUP(VALUE(A389),CURRENT,5,FALSE),NOV,2,FALSE),"")</f>
        <v/>
      </c>
      <c r="G389" t="str">
        <f t="shared" si="12"/>
        <v/>
      </c>
      <c r="H389" t="str">
        <f t="shared" si="13"/>
        <v/>
      </c>
    </row>
    <row r="390" spans="1:8" x14ac:dyDescent="0.25">
      <c r="A390" s="4">
        <v>920</v>
      </c>
      <c r="B390" s="4" t="s">
        <v>648</v>
      </c>
      <c r="C390" t="str">
        <f>VLOOKUP(VALUE(A390),CURRENT,2,FALSE)</f>
        <v>WRN Broadcast</v>
      </c>
      <c r="D390" t="str">
        <f>IF(B390=C390,"","x")</f>
        <v/>
      </c>
      <c r="E390" t="str">
        <f>IFERROR(VLOOKUP(VLOOKUP(VALUE(A390),CURRENT,4,FALSE),NOV,2,FALSE),"")</f>
        <v/>
      </c>
      <c r="F390" t="str">
        <f>IFERROR(VLOOKUP(VLOOKUP(VALUE(A390),CURRENT,5,FALSE),NOV,2,FALSE),"")</f>
        <v/>
      </c>
      <c r="G390" t="str">
        <f t="shared" si="12"/>
        <v/>
      </c>
      <c r="H390" t="str">
        <f t="shared" si="13"/>
        <v/>
      </c>
    </row>
    <row r="391" spans="1:8" x14ac:dyDescent="0.25">
      <c r="A391" s="4">
        <v>921</v>
      </c>
      <c r="B391" s="4" t="s">
        <v>266</v>
      </c>
      <c r="C391" t="str">
        <f>VLOOKUP(VALUE(A391),CURRENT,2,FALSE)</f>
        <v>Heart 80s</v>
      </c>
      <c r="D391" t="str">
        <f>IF(B391=C391,"","x")</f>
        <v/>
      </c>
      <c r="E391" t="str">
        <f>IFERROR(VLOOKUP(VLOOKUP(VALUE(A391),CURRENT,4,FALSE),NOV,2,FALSE),"")</f>
        <v/>
      </c>
      <c r="F391" t="str">
        <f>IFERROR(VLOOKUP(VLOOKUP(VALUE(A391),CURRENT,5,FALSE),NOV,2,FALSE),"")</f>
        <v/>
      </c>
      <c r="G391" t="str">
        <f t="shared" si="12"/>
        <v/>
      </c>
      <c r="H391" t="str">
        <f t="shared" si="13"/>
        <v/>
      </c>
    </row>
    <row r="392" spans="1:8" x14ac:dyDescent="0.25">
      <c r="A392" s="4">
        <v>922</v>
      </c>
      <c r="B392" s="4" t="s">
        <v>267</v>
      </c>
      <c r="C392" t="str">
        <f>VLOOKUP(VALUE(A392),CURRENT,2,FALSE)</f>
        <v>Classic FM</v>
      </c>
      <c r="D392" t="str">
        <f>IF(B392=C392,"","x")</f>
        <v/>
      </c>
      <c r="E392" t="str">
        <f>IFERROR(VLOOKUP(VLOOKUP(VALUE(A392),CURRENT,4,FALSE),NOV,2,FALSE),"")</f>
        <v/>
      </c>
      <c r="F392" t="str">
        <f>IFERROR(VLOOKUP(VLOOKUP(VALUE(A392),CURRENT,5,FALSE),NOV,2,FALSE),"")</f>
        <v/>
      </c>
      <c r="G392" t="str">
        <f t="shared" si="12"/>
        <v/>
      </c>
      <c r="H392" t="str">
        <f t="shared" si="13"/>
        <v/>
      </c>
    </row>
    <row r="393" spans="1:8" x14ac:dyDescent="0.25">
      <c r="A393" s="4">
        <v>923</v>
      </c>
      <c r="B393" s="4" t="s">
        <v>29</v>
      </c>
      <c r="C393" t="str">
        <f>VLOOKUP(VALUE(A393),CURRENT,2,FALSE)</f>
        <v>Gold</v>
      </c>
      <c r="D393" t="str">
        <f>IF(B393=C393,"","x")</f>
        <v/>
      </c>
      <c r="E393" t="str">
        <f>IFERROR(VLOOKUP(VLOOKUP(VALUE(A393),CURRENT,4,FALSE),NOV,2,FALSE),"")</f>
        <v/>
      </c>
      <c r="F393" t="str">
        <f>IFERROR(VLOOKUP(VLOOKUP(VALUE(A393),CURRENT,5,FALSE),NOV,2,FALSE),"")</f>
        <v/>
      </c>
      <c r="G393" t="str">
        <f t="shared" si="12"/>
        <v/>
      </c>
      <c r="H393" t="str">
        <f t="shared" si="13"/>
        <v/>
      </c>
    </row>
    <row r="394" spans="1:8" x14ac:dyDescent="0.25">
      <c r="A394" s="4">
        <v>924</v>
      </c>
      <c r="B394" s="4" t="s">
        <v>268</v>
      </c>
      <c r="C394" t="str">
        <f>VLOOKUP(VALUE(A394),CURRENT,2,FALSE)</f>
        <v>Planet Rock</v>
      </c>
      <c r="D394" t="str">
        <f>IF(B394=C394,"","x")</f>
        <v/>
      </c>
      <c r="E394" t="str">
        <f>IFERROR(VLOOKUP(VLOOKUP(VALUE(A394),CURRENT,4,FALSE),NOV,2,FALSE),"")</f>
        <v/>
      </c>
      <c r="F394" t="str">
        <f>IFERROR(VLOOKUP(VLOOKUP(VALUE(A394),CURRENT,5,FALSE),NOV,2,FALSE),"")</f>
        <v/>
      </c>
      <c r="G394" t="str">
        <f t="shared" si="12"/>
        <v/>
      </c>
      <c r="H394" t="str">
        <f t="shared" si="13"/>
        <v/>
      </c>
    </row>
    <row r="395" spans="1:8" x14ac:dyDescent="0.25">
      <c r="A395" s="4">
        <v>927</v>
      </c>
      <c r="B395" s="4" t="s">
        <v>269</v>
      </c>
      <c r="C395" t="str">
        <f>VLOOKUP(VALUE(A395),CURRENT,2,FALSE)</f>
        <v>Talksport</v>
      </c>
      <c r="D395" t="str">
        <f>IF(B395=C395,"","x")</f>
        <v/>
      </c>
      <c r="E395" t="str">
        <f>IFERROR(VLOOKUP(VLOOKUP(VALUE(A395),CURRENT,4,FALSE),NOV,2,FALSE),"")</f>
        <v/>
      </c>
      <c r="F395" t="str">
        <f>IFERROR(VLOOKUP(VLOOKUP(VALUE(A395),CURRENT,5,FALSE),NOV,2,FALSE),"")</f>
        <v/>
      </c>
      <c r="G395" t="str">
        <f t="shared" si="12"/>
        <v/>
      </c>
      <c r="H395" t="str">
        <f t="shared" si="13"/>
        <v/>
      </c>
    </row>
    <row r="396" spans="1:8" x14ac:dyDescent="0.25">
      <c r="A396" s="4">
        <v>928</v>
      </c>
      <c r="B396" s="4" t="s">
        <v>147</v>
      </c>
      <c r="C396" t="str">
        <f>VLOOKUP(VALUE(A396),CURRENT,2,FALSE)</f>
        <v>Magic</v>
      </c>
      <c r="D396" t="str">
        <f>IF(B396=C396,"","x")</f>
        <v/>
      </c>
      <c r="E396" t="str">
        <f>IFERROR(VLOOKUP(VLOOKUP(VALUE(A396),CURRENT,4,FALSE),NOV,2,FALSE),"")</f>
        <v/>
      </c>
      <c r="F396" t="str">
        <f>IFERROR(VLOOKUP(VLOOKUP(VALUE(A396),CURRENT,5,FALSE),NOV,2,FALSE),"")</f>
        <v/>
      </c>
      <c r="G396" t="str">
        <f t="shared" si="12"/>
        <v/>
      </c>
      <c r="H396" t="str">
        <f t="shared" si="13"/>
        <v/>
      </c>
    </row>
    <row r="397" spans="1:8" x14ac:dyDescent="0.25">
      <c r="A397" s="4">
        <v>930</v>
      </c>
      <c r="B397" s="4" t="s">
        <v>270</v>
      </c>
      <c r="C397" t="str">
        <f>VLOOKUP(VALUE(A397),CURRENT,2,FALSE)</f>
        <v>BBC Radio Scotland</v>
      </c>
      <c r="D397" t="str">
        <f>IF(B397=C397,"","x")</f>
        <v/>
      </c>
      <c r="E397" t="str">
        <f>IFERROR(VLOOKUP(VLOOKUP(VALUE(A397),CURRENT,4,FALSE),NOV,2,FALSE),"")</f>
        <v/>
      </c>
      <c r="F397" t="str">
        <f>IFERROR(VLOOKUP(VLOOKUP(VALUE(A397),CURRENT,5,FALSE),NOV,2,FALSE),"")</f>
        <v/>
      </c>
      <c r="G397" t="str">
        <f t="shared" si="12"/>
        <v/>
      </c>
      <c r="H397" t="str">
        <f t="shared" si="13"/>
        <v/>
      </c>
    </row>
    <row r="398" spans="1:8" x14ac:dyDescent="0.25">
      <c r="A398" s="4">
        <v>931</v>
      </c>
      <c r="B398" s="4" t="s">
        <v>271</v>
      </c>
      <c r="C398" t="str">
        <f>VLOOKUP(VALUE(A398),CURRENT,2,FALSE)</f>
        <v>BBC Radio Wales</v>
      </c>
      <c r="D398" t="str">
        <f>IF(B398=C398,"","x")</f>
        <v/>
      </c>
      <c r="E398" t="str">
        <f>IFERROR(VLOOKUP(VLOOKUP(VALUE(A398),CURRENT,4,FALSE),NOV,2,FALSE),"")</f>
        <v/>
      </c>
      <c r="F398" t="str">
        <f>IFERROR(VLOOKUP(VLOOKUP(VALUE(A398),CURRENT,5,FALSE),NOV,2,FALSE),"")</f>
        <v/>
      </c>
      <c r="G398" t="str">
        <f t="shared" si="12"/>
        <v/>
      </c>
      <c r="H398" t="str">
        <f t="shared" si="13"/>
        <v/>
      </c>
    </row>
    <row r="399" spans="1:8" x14ac:dyDescent="0.25">
      <c r="A399" s="4">
        <v>932</v>
      </c>
      <c r="B399" s="4" t="s">
        <v>272</v>
      </c>
      <c r="C399" t="str">
        <f>VLOOKUP(VALUE(A399),CURRENT,2,FALSE)</f>
        <v>BBC Radio Ulster</v>
      </c>
      <c r="D399" t="str">
        <f>IF(B399=C399,"","x")</f>
        <v/>
      </c>
      <c r="E399" t="str">
        <f>IFERROR(VLOOKUP(VLOOKUP(VALUE(A399),CURRENT,4,FALSE),NOV,2,FALSE),"")</f>
        <v/>
      </c>
      <c r="F399" t="str">
        <f>IFERROR(VLOOKUP(VLOOKUP(VALUE(A399),CURRENT,5,FALSE),NOV,2,FALSE),"")</f>
        <v/>
      </c>
      <c r="G399" t="str">
        <f t="shared" si="12"/>
        <v/>
      </c>
      <c r="H399" t="str">
        <f t="shared" si="13"/>
        <v/>
      </c>
    </row>
    <row r="400" spans="1:8" x14ac:dyDescent="0.25">
      <c r="A400">
        <v>933</v>
      </c>
      <c r="B400" t="s">
        <v>358</v>
      </c>
      <c r="C400" t="str">
        <f>VLOOKUP(VALUE(A400),CURRENT,2,FALSE)</f>
        <v>BBC Radio Foyle</v>
      </c>
      <c r="D400" t="str">
        <f>IF(B400=C400,"","x")</f>
        <v/>
      </c>
      <c r="E400" t="str">
        <f>IFERROR(VLOOKUP(VLOOKUP(VALUE(A400),CURRENT,4,FALSE),NOV,2,FALSE),"")</f>
        <v/>
      </c>
      <c r="F400" t="str">
        <f>IFERROR(VLOOKUP(VLOOKUP(VALUE(A400),CURRENT,5,FALSE),NOV,2,FALSE),"")</f>
        <v/>
      </c>
      <c r="G400" t="str">
        <f t="shared" si="12"/>
        <v/>
      </c>
      <c r="H400" t="str">
        <f t="shared" si="13"/>
        <v/>
      </c>
    </row>
    <row r="401" spans="1:8" x14ac:dyDescent="0.25">
      <c r="A401">
        <v>934</v>
      </c>
      <c r="B401" t="s">
        <v>651</v>
      </c>
      <c r="C401" t="str">
        <f>VLOOKUP(VALUE(A401),CURRENT,2,FALSE)</f>
        <v>BBC Radio nan Gàidheal</v>
      </c>
      <c r="D401" t="str">
        <f>IF(B401=C401,"","x")</f>
        <v/>
      </c>
      <c r="E401" t="str">
        <f>IFERROR(VLOOKUP(VLOOKUP(VALUE(A401),CURRENT,4,FALSE),NOV,2,FALSE),"")</f>
        <v/>
      </c>
      <c r="F401" t="str">
        <f>IFERROR(VLOOKUP(VLOOKUP(VALUE(A401),CURRENT,5,FALSE),NOV,2,FALSE),"")</f>
        <v/>
      </c>
      <c r="G401" t="str">
        <f t="shared" si="12"/>
        <v/>
      </c>
      <c r="H401" t="str">
        <f t="shared" si="13"/>
        <v/>
      </c>
    </row>
    <row r="402" spans="1:8" x14ac:dyDescent="0.25">
      <c r="A402">
        <v>936</v>
      </c>
      <c r="B402" t="s">
        <v>273</v>
      </c>
      <c r="C402" t="str">
        <f>VLOOKUP(VALUE(A402),CURRENT,2,FALSE)</f>
        <v>BBC Radio Cymru</v>
      </c>
      <c r="D402" t="str">
        <f>IF(B402=C402,"","x")</f>
        <v/>
      </c>
      <c r="E402" t="str">
        <f>IFERROR(VLOOKUP(VLOOKUP(VALUE(A402),CURRENT,4,FALSE),NOV,2,FALSE),"")</f>
        <v/>
      </c>
      <c r="F402" t="str">
        <f>IFERROR(VLOOKUP(VLOOKUP(VALUE(A402),CURRENT,5,FALSE),NOV,2,FALSE),"")</f>
        <v/>
      </c>
      <c r="G402" t="str">
        <f t="shared" si="12"/>
        <v/>
      </c>
      <c r="H402" t="str">
        <f t="shared" si="13"/>
        <v/>
      </c>
    </row>
    <row r="403" spans="1:8" x14ac:dyDescent="0.25">
      <c r="A403">
        <v>937</v>
      </c>
      <c r="B403" t="s">
        <v>359</v>
      </c>
      <c r="C403" t="str">
        <f>VLOOKUP(VALUE(A403),CURRENT,2,FALSE)</f>
        <v>BBC London</v>
      </c>
      <c r="D403" t="str">
        <f>IF(B403=C403,"","x")</f>
        <v/>
      </c>
      <c r="E403" t="str">
        <f>IFERROR(VLOOKUP(VLOOKUP(VALUE(A403),CURRENT,4,FALSE),NOV,2,FALSE),"")</f>
        <v/>
      </c>
      <c r="F403" t="str">
        <f>IFERROR(VLOOKUP(VLOOKUP(VALUE(A403),CURRENT,5,FALSE),NOV,2,FALSE),"")</f>
        <v/>
      </c>
      <c r="G403" t="str">
        <f t="shared" si="12"/>
        <v/>
      </c>
      <c r="H403" t="str">
        <f t="shared" si="13"/>
        <v/>
      </c>
    </row>
    <row r="404" spans="1:8" x14ac:dyDescent="0.25">
      <c r="A404">
        <v>951</v>
      </c>
      <c r="B404" t="s">
        <v>360</v>
      </c>
      <c r="C404" t="str">
        <f>VLOOKUP(VALUE(A404),CURRENT,2,FALSE)</f>
        <v>Absolute 80s</v>
      </c>
      <c r="D404" t="str">
        <f>IF(B404=C404,"","x")</f>
        <v/>
      </c>
      <c r="E404" t="str">
        <f>IFERROR(VLOOKUP(VLOOKUP(VALUE(A404),CURRENT,4,FALSE),NOV,2,FALSE),"")</f>
        <v/>
      </c>
      <c r="F404" t="str">
        <f>IFERROR(VLOOKUP(VLOOKUP(VALUE(A404),CURRENT,5,FALSE),NOV,2,FALSE),"")</f>
        <v/>
      </c>
      <c r="G404" t="str">
        <f t="shared" si="12"/>
        <v/>
      </c>
      <c r="H404" t="str">
        <f t="shared" si="13"/>
        <v/>
      </c>
    </row>
    <row r="405" spans="1:8" x14ac:dyDescent="0.25">
      <c r="A405">
        <v>952</v>
      </c>
      <c r="B405" t="s">
        <v>274</v>
      </c>
      <c r="C405" t="str">
        <f>VLOOKUP(VALUE(A405),CURRENT,2,FALSE)</f>
        <v>Absolute Classic Rock</v>
      </c>
      <c r="D405" t="str">
        <f>IF(B405=C405,"","x")</f>
        <v/>
      </c>
      <c r="E405" t="str">
        <f>IFERROR(VLOOKUP(VLOOKUP(VALUE(A405),CURRENT,4,FALSE),NOV,2,FALSE),"")</f>
        <v/>
      </c>
      <c r="F405" t="str">
        <f>IFERROR(VLOOKUP(VLOOKUP(VALUE(A405),CURRENT,5,FALSE),NOV,2,FALSE),"")</f>
        <v/>
      </c>
      <c r="G405" t="str">
        <f t="shared" si="12"/>
        <v/>
      </c>
      <c r="H405" t="str">
        <f t="shared" si="13"/>
        <v/>
      </c>
    </row>
    <row r="406" spans="1:8" x14ac:dyDescent="0.25">
      <c r="A406">
        <v>958</v>
      </c>
      <c r="B406" t="s">
        <v>654</v>
      </c>
      <c r="C406" t="str">
        <f>VLOOKUP(VALUE(A406),CURRENT,2,FALSE)</f>
        <v>Capital London</v>
      </c>
      <c r="D406" t="str">
        <f>IF(B406=C406,"","x")</f>
        <v/>
      </c>
      <c r="E406" t="str">
        <f>IFERROR(VLOOKUP(VLOOKUP(VALUE(A406),CURRENT,4,FALSE),NOV,2,FALSE),"")</f>
        <v/>
      </c>
      <c r="F406" t="str">
        <f>IFERROR(VLOOKUP(VLOOKUP(VALUE(A406),CURRENT,5,FALSE),NOV,2,FALSE),"")</f>
        <v/>
      </c>
      <c r="G406" t="str">
        <f t="shared" si="12"/>
        <v/>
      </c>
      <c r="H406" t="str">
        <f t="shared" si="13"/>
        <v/>
      </c>
    </row>
    <row r="407" spans="1:8" x14ac:dyDescent="0.25">
      <c r="A407">
        <v>959</v>
      </c>
      <c r="B407" t="s">
        <v>655</v>
      </c>
      <c r="C407" t="str">
        <f>VLOOKUP(VALUE(A407),CURRENT,2,FALSE)</f>
        <v>Capital XTRA</v>
      </c>
      <c r="D407" t="str">
        <f>IF(B407=C407,"","x")</f>
        <v/>
      </c>
      <c r="E407" t="str">
        <f>IFERROR(VLOOKUP(VLOOKUP(VALUE(A407),CURRENT,4,FALSE),NOV,2,FALSE),"")</f>
        <v/>
      </c>
      <c r="F407" t="str">
        <f>IFERROR(VLOOKUP(VLOOKUP(VALUE(A407),CURRENT,5,FALSE),NOV,2,FALSE),"")</f>
        <v/>
      </c>
      <c r="G407" t="str">
        <f t="shared" si="12"/>
        <v/>
      </c>
      <c r="H407" t="str">
        <f t="shared" si="13"/>
        <v/>
      </c>
    </row>
    <row r="408" spans="1:8" x14ac:dyDescent="0.25">
      <c r="A408">
        <v>960</v>
      </c>
      <c r="B408" t="s">
        <v>276</v>
      </c>
      <c r="C408" t="str">
        <f>VLOOKUP(VALUE(A408),CURRENT,2,FALSE)</f>
        <v>Radio X</v>
      </c>
      <c r="D408" t="str">
        <f>IF(B408=C408,"","x")</f>
        <v/>
      </c>
      <c r="E408" t="str">
        <f>IFERROR(VLOOKUP(VLOOKUP(VALUE(A408),CURRENT,4,FALSE),NOV,2,FALSE),"")</f>
        <v/>
      </c>
      <c r="F408" t="str">
        <f>IFERROR(VLOOKUP(VLOOKUP(VALUE(A408),CURRENT,5,FALSE),NOV,2,FALSE),"")</f>
        <v/>
      </c>
      <c r="G408" t="str">
        <f t="shared" si="12"/>
        <v/>
      </c>
      <c r="H408" t="str">
        <f t="shared" si="13"/>
        <v/>
      </c>
    </row>
    <row r="409" spans="1:8" x14ac:dyDescent="0.25">
      <c r="A409">
        <v>963</v>
      </c>
      <c r="B409" t="s">
        <v>146</v>
      </c>
      <c r="C409" t="str">
        <f>VLOOKUP(VALUE(A409),CURRENT,2,FALSE)</f>
        <v>Kiss</v>
      </c>
      <c r="D409" t="str">
        <f>IF(B409=C409,"","x")</f>
        <v/>
      </c>
      <c r="E409" t="str">
        <f>IFERROR(VLOOKUP(VLOOKUP(VALUE(A409),CURRENT,4,FALSE),NOV,2,FALSE),"")</f>
        <v/>
      </c>
      <c r="F409" t="str">
        <f>IFERROR(VLOOKUP(VLOOKUP(VALUE(A409),CURRENT,5,FALSE),NOV,2,FALSE),"")</f>
        <v/>
      </c>
      <c r="G409" t="str">
        <f t="shared" si="12"/>
        <v/>
      </c>
      <c r="H409" t="str">
        <f t="shared" si="13"/>
        <v/>
      </c>
    </row>
    <row r="410" spans="1:8" x14ac:dyDescent="0.25">
      <c r="A410">
        <v>968</v>
      </c>
      <c r="B410" t="s">
        <v>669</v>
      </c>
      <c r="C410" t="str">
        <f>VLOOKUP(VALUE(A410),CURRENT,2,FALSE)</f>
        <v>A Message for Parents</v>
      </c>
      <c r="D410" t="str">
        <f>IF(B410=C410,"","x")</f>
        <v/>
      </c>
      <c r="E410" t="str">
        <f>IFERROR(VLOOKUP(VLOOKUP(VALUE(A410),CURRENT,4,FALSE),NOV,2,FALSE),"")</f>
        <v/>
      </c>
      <c r="F410" t="str">
        <f>IFERROR(VLOOKUP(VLOOKUP(VALUE(A410),CURRENT,5,FALSE),NOV,2,FALSE),"")</f>
        <v/>
      </c>
      <c r="G410" t="str">
        <f t="shared" si="12"/>
        <v/>
      </c>
      <c r="H410" t="str">
        <f t="shared" si="13"/>
        <v/>
      </c>
    </row>
    <row r="411" spans="1:8" x14ac:dyDescent="0.25">
      <c r="A411">
        <v>969</v>
      </c>
      <c r="B411" t="s">
        <v>656</v>
      </c>
      <c r="C411" t="str">
        <f>VLOOKUP(VALUE(A411),CURRENT,2,FALSE)</f>
        <v>Adult Previews</v>
      </c>
      <c r="D411" t="str">
        <f>IF(B411=C411,"","x")</f>
        <v/>
      </c>
      <c r="E411" t="str">
        <f>IFERROR(VLOOKUP(VLOOKUP(VALUE(A411),CURRENT,4,FALSE),NOV,2,FALSE),"")</f>
        <v/>
      </c>
      <c r="F411" t="str">
        <f>IFERROR(VLOOKUP(VLOOKUP(VALUE(A411),CURRENT,5,FALSE),NOV,2,FALSE),"")</f>
        <v/>
      </c>
      <c r="G411" t="str">
        <f t="shared" si="12"/>
        <v/>
      </c>
      <c r="H411" t="str">
        <f t="shared" si="13"/>
        <v/>
      </c>
    </row>
    <row r="412" spans="1:8" x14ac:dyDescent="0.25">
      <c r="A412">
        <v>970</v>
      </c>
      <c r="B412" t="s">
        <v>657</v>
      </c>
      <c r="C412" t="str">
        <f>VLOOKUP(VALUE(A412),CURRENT,2,FALSE)</f>
        <v>Television X Nightly</v>
      </c>
      <c r="D412" t="str">
        <f>IF(B412=C412,"","x")</f>
        <v/>
      </c>
      <c r="E412" t="str">
        <f>IFERROR(VLOOKUP(VLOOKUP(VALUE(A412),CURRENT,4,FALSE),NOV,2,FALSE),"")</f>
        <v/>
      </c>
      <c r="F412" t="str">
        <f>IFERROR(VLOOKUP(VLOOKUP(VALUE(A412),CURRENT,5,FALSE),NOV,2,FALSE),"")</f>
        <v/>
      </c>
      <c r="G412" t="str">
        <f t="shared" si="12"/>
        <v/>
      </c>
      <c r="H412" t="str">
        <f t="shared" si="13"/>
        <v/>
      </c>
    </row>
    <row r="413" spans="1:8" x14ac:dyDescent="0.25">
      <c r="A413">
        <v>971</v>
      </c>
      <c r="B413" t="s">
        <v>703</v>
      </c>
      <c r="C413" t="str">
        <f>VLOOKUP(VALUE(A413),CURRENT,2,FALSE)</f>
        <v>Babes &amp; Brazzers</v>
      </c>
      <c r="D413" t="str">
        <f>IF(B413=C413,"","x")</f>
        <v/>
      </c>
      <c r="E413" t="str">
        <f>IFERROR(VLOOKUP(VLOOKUP(VALUE(A413),CURRENT,4,FALSE),NOV,2,FALSE),"")</f>
        <v/>
      </c>
      <c r="F413" t="str">
        <f>IFERROR(VLOOKUP(VLOOKUP(VALUE(A413),CURRENT,5,FALSE),NOV,2,FALSE),"")</f>
        <v/>
      </c>
      <c r="G413" t="str">
        <f t="shared" si="12"/>
        <v/>
      </c>
      <c r="H413" t="str">
        <f t="shared" si="13"/>
        <v/>
      </c>
    </row>
    <row r="414" spans="1:8" x14ac:dyDescent="0.25">
      <c r="A414">
        <v>972</v>
      </c>
      <c r="B414" t="s">
        <v>659</v>
      </c>
      <c r="C414" t="str">
        <f>VLOOKUP(VALUE(A414),CURRENT,2,FALSE)</f>
        <v>Adult Channel Nightly</v>
      </c>
      <c r="D414" t="str">
        <f>IF(B414=C414,"","x")</f>
        <v/>
      </c>
      <c r="E414" t="str">
        <f>IFERROR(VLOOKUP(VLOOKUP(VALUE(A414),CURRENT,4,FALSE),NOV,2,FALSE),"")</f>
        <v/>
      </c>
      <c r="F414" t="str">
        <f>IFERROR(VLOOKUP(VLOOKUP(VALUE(A414),CURRENT,5,FALSE),NOV,2,FALSE),"")</f>
        <v/>
      </c>
      <c r="G414" t="str">
        <f t="shared" si="12"/>
        <v/>
      </c>
      <c r="H414" t="str">
        <f t="shared" si="13"/>
        <v/>
      </c>
    </row>
    <row r="415" spans="1:8" x14ac:dyDescent="0.25">
      <c r="A415">
        <v>973</v>
      </c>
      <c r="B415" t="s">
        <v>661</v>
      </c>
      <c r="C415" t="str">
        <f>VLOOKUP(VALUE(A415),CURRENT,2,FALSE)</f>
        <v>XXX Brits Nightly</v>
      </c>
      <c r="D415" t="str">
        <f>IF(B415=C415,"","x")</f>
        <v/>
      </c>
      <c r="E415" t="str">
        <f>IFERROR(VLOOKUP(VLOOKUP(VALUE(A415),CURRENT,4,FALSE),NOV,2,FALSE),"")</f>
        <v/>
      </c>
      <c r="F415" t="str">
        <f>IFERROR(VLOOKUP(VLOOKUP(VALUE(A415),CURRENT,5,FALSE),NOV,2,FALSE),"")</f>
        <v/>
      </c>
      <c r="G415" t="str">
        <f t="shared" si="12"/>
        <v/>
      </c>
      <c r="H415" t="str">
        <f t="shared" si="13"/>
        <v/>
      </c>
    </row>
    <row r="416" spans="1:8" x14ac:dyDescent="0.25">
      <c r="A416">
        <v>974</v>
      </c>
      <c r="B416" t="s">
        <v>662</v>
      </c>
      <c r="C416" t="str">
        <f>VLOOKUP(VALUE(A416),CURRENT,2,FALSE)</f>
        <v>xrated40+ Nightly</v>
      </c>
      <c r="D416" t="str">
        <f>IF(B416=C416,"","x")</f>
        <v/>
      </c>
      <c r="E416" t="str">
        <f>IFERROR(VLOOKUP(VLOOKUP(VALUE(A416),CURRENT,4,FALSE),NOV,2,FALSE),"")</f>
        <v/>
      </c>
      <c r="F416" t="str">
        <f>IFERROR(VLOOKUP(VLOOKUP(VALUE(A416),CURRENT,5,FALSE),NOV,2,FALSE),"")</f>
        <v/>
      </c>
      <c r="G416" t="str">
        <f t="shared" si="12"/>
        <v/>
      </c>
      <c r="H416" t="str">
        <f t="shared" si="13"/>
        <v/>
      </c>
    </row>
    <row r="417" spans="1:8" x14ac:dyDescent="0.25">
      <c r="A417">
        <v>975</v>
      </c>
      <c r="B417" t="s">
        <v>663</v>
      </c>
      <c r="C417" t="str">
        <f>VLOOKUP(VALUE(A417),CURRENT,2,FALSE)</f>
        <v>TVXPornstars Nightly</v>
      </c>
      <c r="D417" t="str">
        <f>IF(B417=C417,"","x")</f>
        <v/>
      </c>
      <c r="E417" t="str">
        <f>IFERROR(VLOOKUP(VLOOKUP(VALUE(A417),CURRENT,4,FALSE),NOV,2,FALSE),"")</f>
        <v/>
      </c>
      <c r="F417" t="str">
        <f>IFERROR(VLOOKUP(VLOOKUP(VALUE(A417),CURRENT,5,FALSE),NOV,2,FALSE),"")</f>
        <v/>
      </c>
      <c r="G417" t="str">
        <f t="shared" si="12"/>
        <v/>
      </c>
      <c r="H417" t="str">
        <f t="shared" si="13"/>
        <v/>
      </c>
    </row>
    <row r="418" spans="1:8" x14ac:dyDescent="0.25">
      <c r="A418">
        <v>976</v>
      </c>
      <c r="B418" t="s">
        <v>664</v>
      </c>
      <c r="C418" t="str">
        <f>VLOOKUP(VALUE(A418),CURRENT,2,FALSE)</f>
        <v>Television X 2 Nightly</v>
      </c>
      <c r="D418" t="str">
        <f>IF(B418=C418,"","x")</f>
        <v/>
      </c>
      <c r="E418" t="str">
        <f>IFERROR(VLOOKUP(VLOOKUP(VALUE(A418),CURRENT,4,FALSE),NOV,2,FALSE),"")</f>
        <v/>
      </c>
      <c r="F418" t="str">
        <f>IFERROR(VLOOKUP(VLOOKUP(VALUE(A418),CURRENT,5,FALSE),NOV,2,FALSE),"")</f>
        <v/>
      </c>
      <c r="G418" t="str">
        <f t="shared" si="12"/>
        <v/>
      </c>
      <c r="H418" t="str">
        <f t="shared" si="13"/>
        <v/>
      </c>
    </row>
    <row r="419" spans="1:8" x14ac:dyDescent="0.25">
      <c r="A419">
        <v>978</v>
      </c>
      <c r="B419" t="s">
        <v>278</v>
      </c>
      <c r="C419" t="str">
        <f>VLOOKUP(VALUE(A419),CURRENT,2,FALSE)</f>
        <v>Television X</v>
      </c>
      <c r="D419" t="str">
        <f>IF(B419=C419,"","x")</f>
        <v/>
      </c>
      <c r="E419" t="str">
        <f>IFERROR(VLOOKUP(VLOOKUP(VALUE(A419),CURRENT,4,FALSE),NOV,2,FALSE),"")</f>
        <v/>
      </c>
      <c r="F419" t="str">
        <f>IFERROR(VLOOKUP(VLOOKUP(VALUE(A419),CURRENT,5,FALSE),NOV,2,FALSE),"")</f>
        <v/>
      </c>
      <c r="G419" t="str">
        <f t="shared" si="12"/>
        <v/>
      </c>
      <c r="H419" t="str">
        <f t="shared" si="13"/>
        <v/>
      </c>
    </row>
    <row r="420" spans="1:8" x14ac:dyDescent="0.25">
      <c r="A420">
        <v>979</v>
      </c>
      <c r="B420" t="s">
        <v>666</v>
      </c>
      <c r="C420" t="str">
        <f>VLOOKUP(VALUE(A420),CURRENT,2,FALSE)</f>
        <v>XXX Brits</v>
      </c>
      <c r="D420" t="str">
        <f>IF(B420=C420,"","x")</f>
        <v/>
      </c>
      <c r="E420" t="str">
        <f>IFERROR(VLOOKUP(VLOOKUP(VALUE(A420),CURRENT,4,FALSE),NOV,2,FALSE),"")</f>
        <v/>
      </c>
      <c r="F420" t="str">
        <f>IFERROR(VLOOKUP(VLOOKUP(VALUE(A420),CURRENT,5,FALSE),NOV,2,FALSE),"")</f>
        <v/>
      </c>
      <c r="G420" t="str">
        <f t="shared" si="12"/>
        <v/>
      </c>
      <c r="H420" t="str">
        <f t="shared" si="13"/>
        <v/>
      </c>
    </row>
    <row r="421" spans="1:8" x14ac:dyDescent="0.25">
      <c r="A421">
        <v>980</v>
      </c>
      <c r="B421" t="s">
        <v>277</v>
      </c>
      <c r="C421" t="str">
        <f>VLOOKUP(VALUE(A421),CURRENT,2,FALSE)</f>
        <v>Adult Channel</v>
      </c>
      <c r="D421" t="str">
        <f>IF(B421=C421,"","x")</f>
        <v/>
      </c>
      <c r="E421" t="str">
        <f>IFERROR(VLOOKUP(VLOOKUP(VALUE(A421),CURRENT,4,FALSE),NOV,2,FALSE),"")</f>
        <v/>
      </c>
      <c r="F421" t="str">
        <f>IFERROR(VLOOKUP(VLOOKUP(VALUE(A421),CURRENT,5,FALSE),NOV,2,FALSE),"")</f>
        <v/>
      </c>
      <c r="G421" t="str">
        <f t="shared" si="12"/>
        <v/>
      </c>
      <c r="H421" t="str">
        <f t="shared" si="13"/>
        <v/>
      </c>
    </row>
    <row r="422" spans="1:8" x14ac:dyDescent="0.25">
      <c r="A422">
        <v>981</v>
      </c>
      <c r="B422" t="s">
        <v>667</v>
      </c>
      <c r="C422" t="str">
        <f>VLOOKUP(VALUE(A422),CURRENT,2,FALSE)</f>
        <v>Babenation</v>
      </c>
      <c r="D422" t="str">
        <f>IF(B422=C422,"","x")</f>
        <v/>
      </c>
      <c r="E422" t="str">
        <f>IFERROR(VLOOKUP(VLOOKUP(VALUE(A422),CURRENT,4,FALSE),NOV,2,FALSE),"")</f>
        <v/>
      </c>
      <c r="F422" t="str">
        <f>IFERROR(VLOOKUP(VLOOKUP(VALUE(A422),CURRENT,5,FALSE),NOV,2,FALSE),"")</f>
        <v/>
      </c>
      <c r="G422" t="str">
        <f t="shared" si="12"/>
        <v/>
      </c>
      <c r="H422" t="str">
        <f t="shared" si="13"/>
        <v/>
      </c>
    </row>
    <row r="423" spans="1:8" x14ac:dyDescent="0.25">
      <c r="A423">
        <v>985</v>
      </c>
      <c r="B423" t="s">
        <v>669</v>
      </c>
      <c r="C423" t="str">
        <f>VLOOKUP(VALUE(A423),CURRENT,2,FALSE)</f>
        <v>A Message for Parents</v>
      </c>
      <c r="D423" t="str">
        <f>IF(B423=C423,"","x")</f>
        <v/>
      </c>
      <c r="E423" t="str">
        <f>IFERROR(VLOOKUP(VLOOKUP(VALUE(A423),CURRENT,4,FALSE),NOV,2,FALSE),"")</f>
        <v/>
      </c>
      <c r="F423" t="str">
        <f>IFERROR(VLOOKUP(VLOOKUP(VALUE(A423),CURRENT,5,FALSE),NOV,2,FALSE),"")</f>
        <v/>
      </c>
      <c r="G423" t="str">
        <f t="shared" si="12"/>
        <v/>
      </c>
      <c r="H423" t="str">
        <f t="shared" si="13"/>
        <v/>
      </c>
    </row>
    <row r="424" spans="1:8" x14ac:dyDescent="0.25">
      <c r="A424">
        <v>991</v>
      </c>
      <c r="B424" t="s">
        <v>671</v>
      </c>
      <c r="C424" t="str">
        <f>VLOOKUP(VALUE(A424),CURRENT,2,FALSE)</f>
        <v>BBC Red Button 1</v>
      </c>
      <c r="D424" t="str">
        <f>IF(B424=C424,"","x")</f>
        <v/>
      </c>
      <c r="E424" t="str">
        <f>IFERROR(VLOOKUP(VLOOKUP(VALUE(A424),CURRENT,4,FALSE),NOV,2,FALSE),"")</f>
        <v/>
      </c>
      <c r="F424" t="str">
        <f>IFERROR(VLOOKUP(VLOOKUP(VALUE(A424),CURRENT,5,FALSE),NOV,2,FALSE),"")</f>
        <v/>
      </c>
      <c r="G424" t="str">
        <f t="shared" si="12"/>
        <v/>
      </c>
      <c r="H424" t="str">
        <f t="shared" si="13"/>
        <v/>
      </c>
    </row>
    <row r="425" spans="1:8" x14ac:dyDescent="0.25">
      <c r="A425">
        <v>997</v>
      </c>
      <c r="B425" t="s">
        <v>670</v>
      </c>
      <c r="C425" t="str">
        <f>VLOOKUP(VALUE(A425),CURRENT,2,FALSE)</f>
        <v>Virgin TV for Newbies</v>
      </c>
      <c r="D425" t="str">
        <f>IF(B425=C425,"","x")</f>
        <v/>
      </c>
      <c r="E425" t="str">
        <f>IFERROR(VLOOKUP(VLOOKUP(VALUE(A425),CURRENT,4,FALSE),NOV,2,FALSE),"")</f>
        <v/>
      </c>
      <c r="F425" t="str">
        <f>IFERROR(VLOOKUP(VLOOKUP(VALUE(A425),CURRENT,5,FALSE),NOV,2,FALSE),"")</f>
        <v/>
      </c>
      <c r="G425" t="str">
        <f t="shared" si="12"/>
        <v/>
      </c>
      <c r="H425" t="str">
        <f t="shared" si="13"/>
        <v/>
      </c>
    </row>
    <row r="426" spans="1:8" x14ac:dyDescent="0.25">
      <c r="A426">
        <v>998</v>
      </c>
      <c r="B426" t="s">
        <v>377</v>
      </c>
      <c r="C426" t="str">
        <f>VLOOKUP(VALUE(A426),CURRENT,2,FALSE)</f>
        <v>Virgin Media Previews</v>
      </c>
      <c r="D426" t="str">
        <f>IF(B426=C426,"","x")</f>
        <v>x</v>
      </c>
      <c r="E426" t="str">
        <f>IFERROR(VLOOKUP(VLOOKUP(VALUE(A426),CURRENT,4,FALSE),NOV,2,FALSE),"")</f>
        <v/>
      </c>
      <c r="F426" t="str">
        <f>IFERROR(VLOOKUP(VLOOKUP(VALUE(A426),CURRENT,5,FALSE),NOV,2,FALSE),"")</f>
        <v/>
      </c>
      <c r="G426" t="str">
        <f t="shared" si="12"/>
        <v/>
      </c>
      <c r="H426" t="str">
        <f t="shared" si="13"/>
        <v/>
      </c>
    </row>
    <row r="427" spans="1:8" x14ac:dyDescent="0.25">
      <c r="A427" s="4">
        <v>999</v>
      </c>
      <c r="B427" s="4" t="s">
        <v>476</v>
      </c>
      <c r="C427" t="str">
        <f>VLOOKUP(VALUE(A427),CURRENT,2,FALSE)</f>
        <v>Virgin TV Ultra HD</v>
      </c>
      <c r="D427" t="str">
        <f>IF(B427=C427,"","x")</f>
        <v>x</v>
      </c>
      <c r="E427" t="str">
        <f>IFERROR(VLOOKUP(VLOOKUP(VALUE(A427),CURRENT,4,FALSE),NOV,2,FALSE),"")</f>
        <v/>
      </c>
      <c r="F427" t="str">
        <f>IFERROR(VLOOKUP(VLOOKUP(VALUE(A427),CURRENT,5,FALSE),NOV,2,FALSE),"")</f>
        <v/>
      </c>
      <c r="G427" t="str">
        <f t="shared" si="12"/>
        <v/>
      </c>
      <c r="H427" t="str">
        <f t="shared" si="13"/>
        <v/>
      </c>
    </row>
    <row r="428" spans="1:8" x14ac:dyDescent="0.25">
      <c r="A428" s="4"/>
      <c r="B428" s="4"/>
      <c r="C428" t="e">
        <f>VLOOKUP(VALUE(A428),CURRENT,2,FALSE)</f>
        <v>#N/A</v>
      </c>
      <c r="D428" t="e">
        <f>IF(B428=C428,"","x")</f>
        <v>#N/A</v>
      </c>
      <c r="E428" t="str">
        <f>IFERROR(VLOOKUP(VLOOKUP(VALUE(A428),CURRENT,4,FALSE),NOV,2,FALSE),"")</f>
        <v/>
      </c>
      <c r="F428" t="str">
        <f>IFERROR(VLOOKUP(VLOOKUP(VALUE(A428),CURRENT,5,FALSE),NOV,2,FALSE),"")</f>
        <v/>
      </c>
      <c r="G428" t="str">
        <f t="shared" si="12"/>
        <v/>
      </c>
      <c r="H428" t="str">
        <f t="shared" si="13"/>
        <v/>
      </c>
    </row>
    <row r="429" spans="1:8" x14ac:dyDescent="0.25">
      <c r="A429" s="4"/>
      <c r="B429" s="4"/>
      <c r="C429" t="e">
        <f>VLOOKUP(VALUE(A429),CURRENT,2,FALSE)</f>
        <v>#N/A</v>
      </c>
      <c r="D429" t="e">
        <f>IF(B429=C429,"","x")</f>
        <v>#N/A</v>
      </c>
      <c r="E429" t="str">
        <f>IFERROR(VLOOKUP(VLOOKUP(VALUE(A429),CURRENT,4,FALSE),NOV,2,FALSE),"")</f>
        <v/>
      </c>
      <c r="F429" t="str">
        <f>IFERROR(VLOOKUP(VLOOKUP(VALUE(A429),CURRENT,5,FALSE),NOV,2,FALSE),"")</f>
        <v/>
      </c>
      <c r="G429" t="str">
        <f t="shared" si="12"/>
        <v/>
      </c>
      <c r="H429" t="str">
        <f t="shared" si="13"/>
        <v/>
      </c>
    </row>
  </sheetData>
  <sortState ref="A2:D429">
    <sortCondition ref="A2:A429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D403"/>
  <sheetViews>
    <sheetView workbookViewId="0">
      <selection activeCell="B10" sqref="B10"/>
    </sheetView>
  </sheetViews>
  <sheetFormatPr defaultRowHeight="15" x14ac:dyDescent="0.25"/>
  <cols>
    <col min="2" max="2" width="32.7109375" bestFit="1" customWidth="1"/>
    <col min="3" max="3" width="27.85546875" bestFit="1" customWidth="1"/>
  </cols>
  <sheetData>
    <row r="2" spans="1:4" x14ac:dyDescent="0.25">
      <c r="A2">
        <f>Sheet1!A2</f>
        <v>100</v>
      </c>
      <c r="B2" t="str">
        <f>Sheet1!B2</f>
        <v>Virgin Media Highlights</v>
      </c>
      <c r="C2" t="e">
        <f t="shared" ref="C2:C65" si="0">VLOOKUP(TEXT(A2,"###"),NOV,2,FALSE)</f>
        <v>#N/A</v>
      </c>
      <c r="D2" t="e">
        <f t="shared" ref="D2:D65" si="1">IF(B2=C2,"","x")</f>
        <v>#N/A</v>
      </c>
    </row>
    <row r="3" spans="1:4" x14ac:dyDescent="0.25">
      <c r="A3">
        <f>Sheet1!A3</f>
        <v>101</v>
      </c>
      <c r="B3" t="str">
        <f>Sheet1!B3</f>
        <v>BBC One HD</v>
      </c>
      <c r="C3" t="e">
        <f t="shared" si="0"/>
        <v>#N/A</v>
      </c>
      <c r="D3" t="e">
        <f t="shared" si="1"/>
        <v>#N/A</v>
      </c>
    </row>
    <row r="4" spans="1:4" x14ac:dyDescent="0.25">
      <c r="A4">
        <f>Sheet1!A4</f>
        <v>102</v>
      </c>
      <c r="B4" t="str">
        <f>Sheet1!B4</f>
        <v>BBC Two HD</v>
      </c>
      <c r="C4" t="e">
        <f t="shared" si="0"/>
        <v>#N/A</v>
      </c>
      <c r="D4" t="e">
        <f t="shared" si="1"/>
        <v>#N/A</v>
      </c>
    </row>
    <row r="5" spans="1:4" x14ac:dyDescent="0.25">
      <c r="A5">
        <f>Sheet1!A5</f>
        <v>103</v>
      </c>
      <c r="B5" t="str">
        <f>Sheet1!B5</f>
        <v>ITV</v>
      </c>
      <c r="C5" t="e">
        <f t="shared" si="0"/>
        <v>#N/A</v>
      </c>
      <c r="D5" t="e">
        <f t="shared" si="1"/>
        <v>#N/A</v>
      </c>
    </row>
    <row r="6" spans="1:4" x14ac:dyDescent="0.25">
      <c r="A6">
        <f>Sheet1!A6</f>
        <v>104</v>
      </c>
      <c r="B6" t="str">
        <f>Sheet1!B6</f>
        <v>Channel 4</v>
      </c>
      <c r="C6" t="e">
        <f t="shared" si="0"/>
        <v>#N/A</v>
      </c>
      <c r="D6" t="e">
        <f t="shared" si="1"/>
        <v>#N/A</v>
      </c>
    </row>
    <row r="7" spans="1:4" x14ac:dyDescent="0.25">
      <c r="A7">
        <f>Sheet1!A7</f>
        <v>105</v>
      </c>
      <c r="B7" t="str">
        <f>Sheet1!B7</f>
        <v>Channel 5</v>
      </c>
      <c r="C7" t="e">
        <f t="shared" si="0"/>
        <v>#N/A</v>
      </c>
      <c r="D7" t="e">
        <f t="shared" si="1"/>
        <v>#N/A</v>
      </c>
    </row>
    <row r="8" spans="1:4" x14ac:dyDescent="0.25">
      <c r="A8">
        <f>Sheet1!A8</f>
        <v>106</v>
      </c>
      <c r="B8" t="str">
        <f>Sheet1!B8</f>
        <v>E4</v>
      </c>
      <c r="C8" t="e">
        <f t="shared" si="0"/>
        <v>#N/A</v>
      </c>
      <c r="D8" t="e">
        <f t="shared" si="1"/>
        <v>#N/A</v>
      </c>
    </row>
    <row r="9" spans="1:4" x14ac:dyDescent="0.25">
      <c r="A9">
        <f>Sheet1!A9</f>
        <v>107</v>
      </c>
      <c r="B9" t="str">
        <f>Sheet1!B9</f>
        <v>BBC Four</v>
      </c>
      <c r="C9" t="e">
        <f t="shared" si="0"/>
        <v>#N/A</v>
      </c>
      <c r="D9" t="e">
        <f t="shared" si="1"/>
        <v>#N/A</v>
      </c>
    </row>
    <row r="10" spans="1:4" x14ac:dyDescent="0.25">
      <c r="A10">
        <f>Sheet1!A10</f>
        <v>108</v>
      </c>
      <c r="B10" t="str">
        <f>Sheet1!B10</f>
        <v>BBC One HD England</v>
      </c>
      <c r="C10" t="e">
        <f t="shared" si="0"/>
        <v>#N/A</v>
      </c>
      <c r="D10" t="e">
        <f t="shared" si="1"/>
        <v>#N/A</v>
      </c>
    </row>
    <row r="11" spans="1:4" x14ac:dyDescent="0.25">
      <c r="A11">
        <f>Sheet1!A11</f>
        <v>109</v>
      </c>
      <c r="B11" t="str">
        <f>Sheet1!B11</f>
        <v>Sky One HD</v>
      </c>
      <c r="C11" t="e">
        <f t="shared" si="0"/>
        <v>#N/A</v>
      </c>
      <c r="D11" t="e">
        <f t="shared" si="1"/>
        <v>#N/A</v>
      </c>
    </row>
    <row r="12" spans="1:4" x14ac:dyDescent="0.25">
      <c r="A12">
        <f>Sheet1!A12</f>
        <v>110</v>
      </c>
      <c r="B12" t="str">
        <f>Sheet1!B12</f>
        <v>Sky One</v>
      </c>
      <c r="C12" t="e">
        <f t="shared" si="0"/>
        <v>#N/A</v>
      </c>
      <c r="D12" t="e">
        <f t="shared" si="1"/>
        <v>#N/A</v>
      </c>
    </row>
    <row r="13" spans="1:4" x14ac:dyDescent="0.25">
      <c r="A13">
        <f>Sheet1!A13</f>
        <v>111</v>
      </c>
      <c r="B13" t="str">
        <f>Sheet1!B13</f>
        <v>Sky Witness HD</v>
      </c>
      <c r="C13" t="e">
        <f t="shared" si="0"/>
        <v>#N/A</v>
      </c>
      <c r="D13" t="e">
        <f t="shared" si="1"/>
        <v>#N/A</v>
      </c>
    </row>
    <row r="14" spans="1:4" x14ac:dyDescent="0.25">
      <c r="A14">
        <f>Sheet1!A14</f>
        <v>112</v>
      </c>
      <c r="B14" t="str">
        <f>Sheet1!B14</f>
        <v>Sky Witness</v>
      </c>
      <c r="C14" t="e">
        <f t="shared" si="0"/>
        <v>#N/A</v>
      </c>
      <c r="D14" t="e">
        <f t="shared" si="1"/>
        <v>#N/A</v>
      </c>
    </row>
    <row r="15" spans="1:4" x14ac:dyDescent="0.25">
      <c r="A15">
        <f>Sheet1!A15</f>
        <v>113</v>
      </c>
      <c r="B15" t="str">
        <f>Sheet1!B15</f>
        <v>ITV HD</v>
      </c>
      <c r="C15" t="e">
        <f t="shared" si="0"/>
        <v>#N/A</v>
      </c>
      <c r="D15" t="e">
        <f t="shared" si="1"/>
        <v>#N/A</v>
      </c>
    </row>
    <row r="16" spans="1:4" x14ac:dyDescent="0.25">
      <c r="A16">
        <f>Sheet1!A16</f>
        <v>114</v>
      </c>
      <c r="B16" t="str">
        <f>Sheet1!B16</f>
        <v>ITV +1</v>
      </c>
      <c r="C16" t="e">
        <f t="shared" si="0"/>
        <v>#N/A</v>
      </c>
      <c r="D16" t="e">
        <f t="shared" si="1"/>
        <v>#N/A</v>
      </c>
    </row>
    <row r="17" spans="1:4" x14ac:dyDescent="0.25">
      <c r="A17">
        <f>Sheet1!A17</f>
        <v>115</v>
      </c>
      <c r="B17" t="str">
        <f>Sheet1!B17</f>
        <v>ITV2</v>
      </c>
      <c r="C17" t="e">
        <f t="shared" si="0"/>
        <v>#N/A</v>
      </c>
      <c r="D17" t="e">
        <f t="shared" si="1"/>
        <v>#N/A</v>
      </c>
    </row>
    <row r="18" spans="1:4" x14ac:dyDescent="0.25">
      <c r="A18">
        <f>Sheet1!A18</f>
        <v>116</v>
      </c>
      <c r="B18" t="str">
        <f>Sheet1!B18</f>
        <v>ITV2 +1</v>
      </c>
      <c r="C18" t="e">
        <f t="shared" si="0"/>
        <v>#N/A</v>
      </c>
      <c r="D18" t="e">
        <f t="shared" si="1"/>
        <v>#N/A</v>
      </c>
    </row>
    <row r="19" spans="1:4" x14ac:dyDescent="0.25">
      <c r="A19">
        <f>Sheet1!A19</f>
        <v>117</v>
      </c>
      <c r="B19" t="str">
        <f>Sheet1!B19</f>
        <v>ITV3</v>
      </c>
      <c r="C19" t="e">
        <f t="shared" si="0"/>
        <v>#N/A</v>
      </c>
      <c r="D19" t="e">
        <f t="shared" si="1"/>
        <v>#N/A</v>
      </c>
    </row>
    <row r="20" spans="1:4" x14ac:dyDescent="0.25">
      <c r="A20">
        <f>Sheet1!A20</f>
        <v>118</v>
      </c>
      <c r="B20" t="str">
        <f>Sheet1!B20</f>
        <v>ITV4</v>
      </c>
      <c r="C20" t="e">
        <f t="shared" si="0"/>
        <v>#N/A</v>
      </c>
      <c r="D20" t="e">
        <f t="shared" si="1"/>
        <v>#N/A</v>
      </c>
    </row>
    <row r="21" spans="1:4" x14ac:dyDescent="0.25">
      <c r="A21">
        <f>Sheet1!A21</f>
        <v>119</v>
      </c>
      <c r="B21" t="str">
        <f>Sheet1!B21</f>
        <v>ITVBe</v>
      </c>
      <c r="C21" t="e">
        <f t="shared" si="0"/>
        <v>#N/A</v>
      </c>
      <c r="D21" t="e">
        <f t="shared" si="1"/>
        <v>#N/A</v>
      </c>
    </row>
    <row r="22" spans="1:4" x14ac:dyDescent="0.25">
      <c r="A22">
        <f>Sheet1!A22</f>
        <v>120</v>
      </c>
      <c r="B22" t="str">
        <f>Sheet1!B22</f>
        <v>ITVBe +1</v>
      </c>
      <c r="C22" t="e">
        <f t="shared" si="0"/>
        <v>#N/A</v>
      </c>
      <c r="D22" t="e">
        <f t="shared" si="1"/>
        <v>#N/A</v>
      </c>
    </row>
    <row r="23" spans="1:4" x14ac:dyDescent="0.25">
      <c r="A23">
        <f>Sheet1!A23</f>
        <v>121</v>
      </c>
      <c r="B23" t="str">
        <f>Sheet1!B23</f>
        <v>Sky Two</v>
      </c>
      <c r="C23" t="e">
        <f t="shared" si="0"/>
        <v>#N/A</v>
      </c>
      <c r="D23" t="e">
        <f t="shared" si="1"/>
        <v>#N/A</v>
      </c>
    </row>
    <row r="24" spans="1:4" x14ac:dyDescent="0.25">
      <c r="A24">
        <f>Sheet1!A24</f>
        <v>122</v>
      </c>
      <c r="B24" t="str">
        <f>Sheet1!B24</f>
        <v>Sky Arts</v>
      </c>
      <c r="C24" t="e">
        <f t="shared" si="0"/>
        <v>#N/A</v>
      </c>
      <c r="D24" t="e">
        <f t="shared" si="1"/>
        <v>#N/A</v>
      </c>
    </row>
    <row r="25" spans="1:4" x14ac:dyDescent="0.25">
      <c r="A25">
        <f>Sheet1!A25</f>
        <v>123</v>
      </c>
      <c r="B25" t="str">
        <f>Sheet1!B25</f>
        <v>Pick</v>
      </c>
      <c r="C25" t="e">
        <f t="shared" si="0"/>
        <v>#N/A</v>
      </c>
      <c r="D25" t="e">
        <f t="shared" si="1"/>
        <v>#N/A</v>
      </c>
    </row>
    <row r="26" spans="1:4" x14ac:dyDescent="0.25">
      <c r="A26">
        <f>Sheet1!A26</f>
        <v>124</v>
      </c>
      <c r="B26" t="str">
        <f>Sheet1!B26</f>
        <v>Gold HD</v>
      </c>
      <c r="C26" t="e">
        <f t="shared" si="0"/>
        <v>#N/A</v>
      </c>
      <c r="D26" t="e">
        <f t="shared" si="1"/>
        <v>#N/A</v>
      </c>
    </row>
    <row r="27" spans="1:4" x14ac:dyDescent="0.25">
      <c r="A27">
        <f>Sheet1!A27</f>
        <v>125</v>
      </c>
      <c r="B27" t="str">
        <f>Sheet1!B27</f>
        <v>W</v>
      </c>
      <c r="C27" t="e">
        <f t="shared" si="0"/>
        <v>#N/A</v>
      </c>
      <c r="D27" t="e">
        <f t="shared" si="1"/>
        <v>#N/A</v>
      </c>
    </row>
    <row r="28" spans="1:4" x14ac:dyDescent="0.25">
      <c r="A28">
        <f>Sheet1!A28</f>
        <v>126</v>
      </c>
      <c r="B28" t="str">
        <f>Sheet1!B28</f>
        <v>alibi</v>
      </c>
      <c r="C28" t="e">
        <f t="shared" si="0"/>
        <v>#N/A</v>
      </c>
      <c r="D28" t="e">
        <f t="shared" si="1"/>
        <v>#N/A</v>
      </c>
    </row>
    <row r="29" spans="1:4" x14ac:dyDescent="0.25">
      <c r="A29">
        <f>Sheet1!A29</f>
        <v>127</v>
      </c>
      <c r="B29" t="str">
        <f>Sheet1!B29</f>
        <v>Dave</v>
      </c>
      <c r="C29" t="e">
        <f t="shared" si="0"/>
        <v>#N/A</v>
      </c>
      <c r="D29" t="e">
        <f t="shared" si="1"/>
        <v>#N/A</v>
      </c>
    </row>
    <row r="30" spans="1:4" x14ac:dyDescent="0.25">
      <c r="A30">
        <f>Sheet1!A30</f>
        <v>128</v>
      </c>
      <c r="B30" t="str">
        <f>Sheet1!B30</f>
        <v>Really</v>
      </c>
      <c r="C30" t="e">
        <f t="shared" si="0"/>
        <v>#N/A</v>
      </c>
      <c r="D30" t="e">
        <f t="shared" si="1"/>
        <v>#N/A</v>
      </c>
    </row>
    <row r="31" spans="1:4" x14ac:dyDescent="0.25">
      <c r="A31">
        <f>Sheet1!A31</f>
        <v>129</v>
      </c>
      <c r="B31" t="str">
        <f>Sheet1!B31</f>
        <v>Yesterday</v>
      </c>
      <c r="C31" t="e">
        <f t="shared" si="0"/>
        <v>#N/A</v>
      </c>
      <c r="D31" t="e">
        <f t="shared" si="1"/>
        <v>#N/A</v>
      </c>
    </row>
    <row r="32" spans="1:4" x14ac:dyDescent="0.25">
      <c r="A32">
        <f>Sheet1!A32</f>
        <v>130</v>
      </c>
      <c r="B32" t="str">
        <f>Sheet1!B32</f>
        <v>Drama</v>
      </c>
      <c r="C32" t="e">
        <f t="shared" si="0"/>
        <v>#N/A</v>
      </c>
      <c r="D32" t="e">
        <f t="shared" si="1"/>
        <v>#N/A</v>
      </c>
    </row>
    <row r="33" spans="1:4" x14ac:dyDescent="0.25">
      <c r="A33">
        <f>Sheet1!A33</f>
        <v>131</v>
      </c>
      <c r="B33" t="str">
        <f>Sheet1!B33</f>
        <v>Dave ja vu</v>
      </c>
      <c r="C33" t="e">
        <f t="shared" si="0"/>
        <v>#N/A</v>
      </c>
      <c r="D33" t="e">
        <f t="shared" si="1"/>
        <v>#N/A</v>
      </c>
    </row>
    <row r="34" spans="1:4" x14ac:dyDescent="0.25">
      <c r="A34">
        <f>Sheet1!A34</f>
        <v>132</v>
      </c>
      <c r="B34" t="str">
        <f>Sheet1!B34</f>
        <v>Comedy Central</v>
      </c>
      <c r="C34" t="e">
        <f t="shared" si="0"/>
        <v>#N/A</v>
      </c>
      <c r="D34" t="e">
        <f t="shared" si="1"/>
        <v>#N/A</v>
      </c>
    </row>
    <row r="35" spans="1:4" x14ac:dyDescent="0.25">
      <c r="A35">
        <f>Sheet1!A35</f>
        <v>133</v>
      </c>
      <c r="B35" t="str">
        <f>Sheet1!B35</f>
        <v>Comedy Central +1</v>
      </c>
      <c r="C35" t="e">
        <f t="shared" si="0"/>
        <v>#N/A</v>
      </c>
      <c r="D35" t="e">
        <f t="shared" si="1"/>
        <v>#N/A</v>
      </c>
    </row>
    <row r="36" spans="1:4" x14ac:dyDescent="0.25">
      <c r="A36">
        <f>Sheet1!A36</f>
        <v>134</v>
      </c>
      <c r="B36" t="str">
        <f>Sheet1!B36</f>
        <v>MTV</v>
      </c>
      <c r="C36" t="e">
        <f t="shared" si="0"/>
        <v>#N/A</v>
      </c>
      <c r="D36" t="e">
        <f t="shared" si="1"/>
        <v>#N/A</v>
      </c>
    </row>
    <row r="37" spans="1:4" x14ac:dyDescent="0.25">
      <c r="A37">
        <f>Sheet1!A37</f>
        <v>135</v>
      </c>
      <c r="B37" t="str">
        <f>Sheet1!B37</f>
        <v>Syfy</v>
      </c>
      <c r="C37" t="e">
        <f t="shared" si="0"/>
        <v>#N/A</v>
      </c>
      <c r="D37" t="e">
        <f t="shared" si="1"/>
        <v>#N/A</v>
      </c>
    </row>
    <row r="38" spans="1:4" x14ac:dyDescent="0.25">
      <c r="A38">
        <f>Sheet1!A38</f>
        <v>136</v>
      </c>
      <c r="B38" t="str">
        <f>Sheet1!B38</f>
        <v>Syfy +1</v>
      </c>
      <c r="C38" t="e">
        <f t="shared" si="0"/>
        <v>#N/A</v>
      </c>
      <c r="D38" t="e">
        <f t="shared" si="1"/>
        <v>#N/A</v>
      </c>
    </row>
    <row r="39" spans="1:4" x14ac:dyDescent="0.25">
      <c r="A39">
        <f>Sheet1!A39</f>
        <v>137</v>
      </c>
      <c r="B39" t="str">
        <f>Sheet1!B39</f>
        <v>Universal TV</v>
      </c>
      <c r="C39" t="e">
        <f t="shared" si="0"/>
        <v>#N/A</v>
      </c>
      <c r="D39" t="e">
        <f t="shared" si="1"/>
        <v>#N/A</v>
      </c>
    </row>
    <row r="40" spans="1:4" x14ac:dyDescent="0.25">
      <c r="A40">
        <f>Sheet1!A40</f>
        <v>138</v>
      </c>
      <c r="B40" t="str">
        <f>Sheet1!B40</f>
        <v>Universal TV +1</v>
      </c>
      <c r="C40" t="e">
        <f t="shared" si="0"/>
        <v>#N/A</v>
      </c>
      <c r="D40" t="e">
        <f t="shared" si="1"/>
        <v>#N/A</v>
      </c>
    </row>
    <row r="41" spans="1:4" x14ac:dyDescent="0.25">
      <c r="A41">
        <f>Sheet1!A41</f>
        <v>139</v>
      </c>
      <c r="B41" t="str">
        <f>Sheet1!B41</f>
        <v>Challenge</v>
      </c>
      <c r="C41" t="e">
        <f t="shared" si="0"/>
        <v>#N/A</v>
      </c>
      <c r="D41" t="e">
        <f t="shared" si="1"/>
        <v>#N/A</v>
      </c>
    </row>
    <row r="42" spans="1:4" x14ac:dyDescent="0.25">
      <c r="A42">
        <f>Sheet1!A42</f>
        <v>140</v>
      </c>
      <c r="B42" t="str">
        <f>Sheet1!B42</f>
        <v>Sky Witness +1</v>
      </c>
      <c r="C42" t="e">
        <f t="shared" si="0"/>
        <v>#N/A</v>
      </c>
      <c r="D42" t="e">
        <f t="shared" si="1"/>
        <v>#N/A</v>
      </c>
    </row>
    <row r="43" spans="1:4" x14ac:dyDescent="0.25">
      <c r="A43">
        <f>Sheet1!A43</f>
        <v>141</v>
      </c>
      <c r="B43" t="str">
        <f>Sheet1!B43</f>
        <v>Channel 4 HD</v>
      </c>
      <c r="C43" t="e">
        <f t="shared" si="0"/>
        <v>#N/A</v>
      </c>
      <c r="D43" t="e">
        <f t="shared" si="1"/>
        <v>#N/A</v>
      </c>
    </row>
    <row r="44" spans="1:4" x14ac:dyDescent="0.25">
      <c r="A44">
        <f>Sheet1!A44</f>
        <v>142</v>
      </c>
      <c r="B44" t="str">
        <f>Sheet1!B44</f>
        <v>Channel 4 +1</v>
      </c>
      <c r="C44" t="e">
        <f t="shared" si="0"/>
        <v>#N/A</v>
      </c>
      <c r="D44" t="e">
        <f t="shared" si="1"/>
        <v>#N/A</v>
      </c>
    </row>
    <row r="45" spans="1:4" x14ac:dyDescent="0.25">
      <c r="A45">
        <f>Sheet1!A45</f>
        <v>143</v>
      </c>
      <c r="B45" t="str">
        <f>Sheet1!B45</f>
        <v>4seven</v>
      </c>
      <c r="C45" t="e">
        <f t="shared" si="0"/>
        <v>#N/A</v>
      </c>
      <c r="D45" t="e">
        <f t="shared" si="1"/>
        <v>#N/A</v>
      </c>
    </row>
    <row r="46" spans="1:4" x14ac:dyDescent="0.25">
      <c r="A46">
        <f>Sheet1!A46</f>
        <v>145</v>
      </c>
      <c r="B46" t="str">
        <f>Sheet1!B46</f>
        <v>E4 HD</v>
      </c>
      <c r="C46" t="e">
        <f t="shared" si="0"/>
        <v>#N/A</v>
      </c>
      <c r="D46" t="e">
        <f t="shared" si="1"/>
        <v>#N/A</v>
      </c>
    </row>
    <row r="47" spans="1:4" x14ac:dyDescent="0.25">
      <c r="A47">
        <f>Sheet1!A47</f>
        <v>146</v>
      </c>
      <c r="B47" t="str">
        <f>Sheet1!B47</f>
        <v>E4 +1</v>
      </c>
      <c r="C47" t="e">
        <f t="shared" si="0"/>
        <v>#N/A</v>
      </c>
      <c r="D47" t="e">
        <f t="shared" si="1"/>
        <v>#N/A</v>
      </c>
    </row>
    <row r="48" spans="1:4" x14ac:dyDescent="0.25">
      <c r="A48">
        <f>Sheet1!A48</f>
        <v>147</v>
      </c>
      <c r="B48" t="str">
        <f>Sheet1!B48</f>
        <v>More4</v>
      </c>
      <c r="C48" t="e">
        <f t="shared" si="0"/>
        <v>#N/A</v>
      </c>
      <c r="D48" t="e">
        <f t="shared" si="1"/>
        <v>#N/A</v>
      </c>
    </row>
    <row r="49" spans="1:4" x14ac:dyDescent="0.25">
      <c r="A49">
        <f>Sheet1!A49</f>
        <v>148</v>
      </c>
      <c r="B49" t="str">
        <f>Sheet1!B49</f>
        <v>CBS Reality</v>
      </c>
      <c r="C49" t="e">
        <f t="shared" si="0"/>
        <v>#N/A</v>
      </c>
      <c r="D49" t="e">
        <f t="shared" si="1"/>
        <v>#N/A</v>
      </c>
    </row>
    <row r="50" spans="1:4" x14ac:dyDescent="0.25">
      <c r="A50">
        <f>Sheet1!A50</f>
        <v>149</v>
      </c>
      <c r="B50" t="str">
        <f>Sheet1!B50</f>
        <v>Horror Channel</v>
      </c>
      <c r="C50" t="e">
        <f t="shared" si="0"/>
        <v>#N/A</v>
      </c>
      <c r="D50" t="e">
        <f t="shared" si="1"/>
        <v>#N/A</v>
      </c>
    </row>
    <row r="51" spans="1:4" x14ac:dyDescent="0.25">
      <c r="A51">
        <f>Sheet1!A51</f>
        <v>150</v>
      </c>
      <c r="B51" t="str">
        <f>Sheet1!B51</f>
        <v>Channel 5 HD</v>
      </c>
      <c r="C51" t="e">
        <f t="shared" si="0"/>
        <v>#N/A</v>
      </c>
      <c r="D51" t="e">
        <f t="shared" si="1"/>
        <v>#N/A</v>
      </c>
    </row>
    <row r="52" spans="1:4" x14ac:dyDescent="0.25">
      <c r="A52">
        <f>Sheet1!A52</f>
        <v>151</v>
      </c>
      <c r="B52" t="str">
        <f>Sheet1!B52</f>
        <v>5STAR</v>
      </c>
      <c r="C52" t="e">
        <f t="shared" si="0"/>
        <v>#N/A</v>
      </c>
      <c r="D52" t="e">
        <f t="shared" si="1"/>
        <v>#N/A</v>
      </c>
    </row>
    <row r="53" spans="1:4" x14ac:dyDescent="0.25">
      <c r="A53">
        <f>Sheet1!A53</f>
        <v>152</v>
      </c>
      <c r="B53" t="str">
        <f>Sheet1!B53</f>
        <v>5Select</v>
      </c>
      <c r="C53" t="e">
        <f t="shared" si="0"/>
        <v>#N/A</v>
      </c>
      <c r="D53" t="e">
        <f t="shared" si="1"/>
        <v>#N/A</v>
      </c>
    </row>
    <row r="54" spans="1:4" x14ac:dyDescent="0.25">
      <c r="A54">
        <f>Sheet1!A54</f>
        <v>153</v>
      </c>
      <c r="B54" t="str">
        <f>Sheet1!B54</f>
        <v>5USA</v>
      </c>
      <c r="C54" t="e">
        <f t="shared" si="0"/>
        <v>#N/A</v>
      </c>
      <c r="D54" t="e">
        <f t="shared" si="1"/>
        <v>#N/A</v>
      </c>
    </row>
    <row r="55" spans="1:4" x14ac:dyDescent="0.25">
      <c r="A55">
        <f>Sheet1!A55</f>
        <v>154</v>
      </c>
      <c r="B55" t="str">
        <f>Sheet1!B55</f>
        <v>5Spike</v>
      </c>
      <c r="C55" t="e">
        <f t="shared" si="0"/>
        <v>#N/A</v>
      </c>
      <c r="D55" t="e">
        <f t="shared" si="1"/>
        <v>#N/A</v>
      </c>
    </row>
    <row r="56" spans="1:4" x14ac:dyDescent="0.25">
      <c r="A56">
        <f>Sheet1!A56</f>
        <v>155</v>
      </c>
      <c r="B56" t="str">
        <f>Sheet1!B56</f>
        <v>Channel 5 +1</v>
      </c>
      <c r="C56" t="e">
        <f t="shared" si="0"/>
        <v>#N/A</v>
      </c>
      <c r="D56" t="e">
        <f t="shared" si="1"/>
        <v>#N/A</v>
      </c>
    </row>
    <row r="57" spans="1:4" x14ac:dyDescent="0.25">
      <c r="A57">
        <f>Sheet1!A57</f>
        <v>156</v>
      </c>
      <c r="B57" t="str">
        <f>Sheet1!B57</f>
        <v>E!</v>
      </c>
      <c r="C57" t="e">
        <f t="shared" si="0"/>
        <v>#N/A</v>
      </c>
      <c r="D57" t="e">
        <f t="shared" si="1"/>
        <v>#N/A</v>
      </c>
    </row>
    <row r="58" spans="1:4" x14ac:dyDescent="0.25">
      <c r="A58">
        <f>Sheet1!A58</f>
        <v>157</v>
      </c>
      <c r="B58" t="str">
        <f>Sheet1!B58</f>
        <v>FOX</v>
      </c>
      <c r="C58" t="e">
        <f t="shared" si="0"/>
        <v>#N/A</v>
      </c>
      <c r="D58" t="e">
        <f t="shared" si="1"/>
        <v>#N/A</v>
      </c>
    </row>
    <row r="59" spans="1:4" x14ac:dyDescent="0.25">
      <c r="A59">
        <f>Sheet1!A59</f>
        <v>158</v>
      </c>
      <c r="B59" t="str">
        <f>Sheet1!B59</f>
        <v>FOX +1</v>
      </c>
      <c r="C59" t="e">
        <f t="shared" si="0"/>
        <v>#N/A</v>
      </c>
      <c r="D59" t="e">
        <f t="shared" si="1"/>
        <v>#N/A</v>
      </c>
    </row>
    <row r="60" spans="1:4" x14ac:dyDescent="0.25">
      <c r="A60">
        <f>Sheet1!A60</f>
        <v>159</v>
      </c>
      <c r="B60" t="str">
        <f>Sheet1!B60</f>
        <v>Regional Channels</v>
      </c>
      <c r="C60" t="e">
        <f t="shared" si="0"/>
        <v>#N/A</v>
      </c>
      <c r="D60" t="e">
        <f t="shared" si="1"/>
        <v>#N/A</v>
      </c>
    </row>
    <row r="61" spans="1:4" x14ac:dyDescent="0.25">
      <c r="A61">
        <f>Sheet1!A61</f>
        <v>160</v>
      </c>
      <c r="B61" t="str">
        <f>Sheet1!B61</f>
        <v>Real Lives</v>
      </c>
      <c r="C61" t="e">
        <f t="shared" si="0"/>
        <v>#N/A</v>
      </c>
      <c r="D61" t="e">
        <f t="shared" si="1"/>
        <v>#N/A</v>
      </c>
    </row>
    <row r="62" spans="1:4" x14ac:dyDescent="0.25">
      <c r="A62">
        <f>Sheet1!A62</f>
        <v>161</v>
      </c>
      <c r="B62" t="str">
        <f>Sheet1!B62</f>
        <v>BBC Alba</v>
      </c>
      <c r="C62" t="e">
        <f t="shared" si="0"/>
        <v>#N/A</v>
      </c>
      <c r="D62" t="e">
        <f t="shared" si="1"/>
        <v>#N/A</v>
      </c>
    </row>
    <row r="63" spans="1:4" x14ac:dyDescent="0.25">
      <c r="A63">
        <f>Sheet1!A63</f>
        <v>162</v>
      </c>
      <c r="B63" t="str">
        <f>Sheet1!B63</f>
        <v>BBC Two HD Scotland</v>
      </c>
      <c r="C63" t="e">
        <f t="shared" si="0"/>
        <v>#N/A</v>
      </c>
      <c r="D63" t="e">
        <f t="shared" si="1"/>
        <v>#N/A</v>
      </c>
    </row>
    <row r="64" spans="1:4" x14ac:dyDescent="0.25">
      <c r="A64">
        <f>Sheet1!A64</f>
        <v>163</v>
      </c>
      <c r="B64" t="str">
        <f>Sheet1!B64</f>
        <v>BBC Four HD</v>
      </c>
      <c r="C64" t="e">
        <f t="shared" si="0"/>
        <v>#N/A</v>
      </c>
      <c r="D64" t="e">
        <f t="shared" si="1"/>
        <v>#N/A</v>
      </c>
    </row>
    <row r="65" spans="1:4" x14ac:dyDescent="0.25">
      <c r="A65">
        <f>Sheet1!A65</f>
        <v>164</v>
      </c>
      <c r="B65" t="str">
        <f>Sheet1!B65</f>
        <v>Universal TV HD</v>
      </c>
      <c r="C65" t="e">
        <f t="shared" si="0"/>
        <v>#N/A</v>
      </c>
      <c r="D65" t="e">
        <f t="shared" si="1"/>
        <v>#N/A</v>
      </c>
    </row>
    <row r="66" spans="1:4" x14ac:dyDescent="0.25">
      <c r="A66">
        <f>Sheet1!A66</f>
        <v>165</v>
      </c>
      <c r="B66" t="str">
        <f>Sheet1!B66</f>
        <v>Syfy HD</v>
      </c>
      <c r="C66" t="e">
        <f t="shared" ref="C66:C129" si="2">VLOOKUP(TEXT(A66,"###"),NOV,2,FALSE)</f>
        <v>#N/A</v>
      </c>
      <c r="D66" t="e">
        <f t="shared" ref="D66:D129" si="3">IF(B66=C66,"","x")</f>
        <v>#N/A</v>
      </c>
    </row>
    <row r="67" spans="1:4" x14ac:dyDescent="0.25">
      <c r="A67">
        <f>Sheet1!A67</f>
        <v>166</v>
      </c>
      <c r="B67" t="str">
        <f>Sheet1!B67</f>
        <v>S4C</v>
      </c>
      <c r="C67" t="e">
        <f t="shared" si="2"/>
        <v>#N/A</v>
      </c>
      <c r="D67" t="e">
        <f t="shared" si="3"/>
        <v>#N/A</v>
      </c>
    </row>
    <row r="68" spans="1:4" x14ac:dyDescent="0.25">
      <c r="A68">
        <f>Sheet1!A68</f>
        <v>167</v>
      </c>
      <c r="B68" t="str">
        <f>Sheet1!B68</f>
        <v>TLC</v>
      </c>
      <c r="C68" t="e">
        <f t="shared" si="2"/>
        <v>#N/A</v>
      </c>
      <c r="D68" t="e">
        <f t="shared" si="3"/>
        <v>#N/A</v>
      </c>
    </row>
    <row r="69" spans="1:4" x14ac:dyDescent="0.25">
      <c r="A69">
        <f>Sheet1!A69</f>
        <v>168</v>
      </c>
      <c r="B69" t="str">
        <f>Sheet1!B69</f>
        <v>TLC HD</v>
      </c>
      <c r="C69" t="e">
        <f t="shared" si="2"/>
        <v>#N/A</v>
      </c>
      <c r="D69" t="e">
        <f t="shared" si="3"/>
        <v>#N/A</v>
      </c>
    </row>
    <row r="70" spans="1:4" x14ac:dyDescent="0.25">
      <c r="A70">
        <f>Sheet1!A70</f>
        <v>169</v>
      </c>
      <c r="B70" t="str">
        <f>Sheet1!B70</f>
        <v>TLC +1</v>
      </c>
      <c r="C70" t="e">
        <f t="shared" si="2"/>
        <v>#N/A</v>
      </c>
      <c r="D70" t="e">
        <f t="shared" si="3"/>
        <v>#N/A</v>
      </c>
    </row>
    <row r="71" spans="1:4" x14ac:dyDescent="0.25">
      <c r="A71">
        <f>Sheet1!A71</f>
        <v>170</v>
      </c>
      <c r="B71" t="str">
        <f>Sheet1!B71</f>
        <v>Investigation Discovery</v>
      </c>
      <c r="C71" t="e">
        <f t="shared" si="2"/>
        <v>#N/A</v>
      </c>
      <c r="D71" t="e">
        <f t="shared" si="3"/>
        <v>#N/A</v>
      </c>
    </row>
    <row r="72" spans="1:4" x14ac:dyDescent="0.25">
      <c r="A72">
        <f>Sheet1!A72</f>
        <v>171</v>
      </c>
      <c r="B72" t="str">
        <f>Sheet1!B72</f>
        <v>Investigation Discovery +1</v>
      </c>
      <c r="C72" t="e">
        <f t="shared" si="2"/>
        <v>#N/A</v>
      </c>
      <c r="D72" t="e">
        <f t="shared" si="3"/>
        <v>#N/A</v>
      </c>
    </row>
    <row r="73" spans="1:4" x14ac:dyDescent="0.25">
      <c r="A73">
        <f>Sheet1!A73</f>
        <v>172</v>
      </c>
      <c r="B73" t="str">
        <f>Sheet1!B73</f>
        <v>Quest</v>
      </c>
      <c r="C73" t="e">
        <f t="shared" si="2"/>
        <v>#N/A</v>
      </c>
      <c r="D73" t="e">
        <f t="shared" si="3"/>
        <v>#N/A</v>
      </c>
    </row>
    <row r="74" spans="1:4" x14ac:dyDescent="0.25">
      <c r="A74">
        <f>Sheet1!A74</f>
        <v>173</v>
      </c>
      <c r="B74" t="str">
        <f>Sheet1!B74</f>
        <v>Quest +1</v>
      </c>
      <c r="C74" t="e">
        <f t="shared" si="2"/>
        <v>#N/A</v>
      </c>
      <c r="D74" t="e">
        <f t="shared" si="3"/>
        <v>#N/A</v>
      </c>
    </row>
    <row r="75" spans="1:4" x14ac:dyDescent="0.25">
      <c r="A75">
        <f>Sheet1!A75</f>
        <v>174</v>
      </c>
      <c r="B75" t="str">
        <f>Sheet1!B75</f>
        <v>ITV3 +1</v>
      </c>
      <c r="C75" t="e">
        <f t="shared" si="2"/>
        <v>#N/A</v>
      </c>
      <c r="D75" t="e">
        <f t="shared" si="3"/>
        <v>#N/A</v>
      </c>
    </row>
    <row r="76" spans="1:4" x14ac:dyDescent="0.25">
      <c r="A76">
        <f>Sheet1!A76</f>
        <v>175</v>
      </c>
      <c r="B76" t="str">
        <f>Sheet1!B76</f>
        <v>ITV4 +1</v>
      </c>
      <c r="C76" t="e">
        <f t="shared" si="2"/>
        <v>#N/A</v>
      </c>
      <c r="D76" t="e">
        <f t="shared" si="3"/>
        <v>#N/A</v>
      </c>
    </row>
    <row r="77" spans="1:4" x14ac:dyDescent="0.25">
      <c r="A77">
        <f>Sheet1!A77</f>
        <v>176</v>
      </c>
      <c r="B77" t="str">
        <f>Sheet1!B77</f>
        <v>ITV2 HD</v>
      </c>
      <c r="C77" t="e">
        <f t="shared" si="2"/>
        <v>#N/A</v>
      </c>
      <c r="D77" t="e">
        <f t="shared" si="3"/>
        <v>#N/A</v>
      </c>
    </row>
    <row r="78" spans="1:4" x14ac:dyDescent="0.25">
      <c r="A78">
        <f>Sheet1!A78</f>
        <v>177</v>
      </c>
      <c r="B78" t="str">
        <f>Sheet1!B78</f>
        <v>ITV3 HD</v>
      </c>
      <c r="C78" t="e">
        <f t="shared" si="2"/>
        <v>#N/A</v>
      </c>
      <c r="D78" t="e">
        <f t="shared" si="3"/>
        <v>#N/A</v>
      </c>
    </row>
    <row r="79" spans="1:4" x14ac:dyDescent="0.25">
      <c r="A79">
        <f>Sheet1!A79</f>
        <v>178</v>
      </c>
      <c r="B79" t="str">
        <f>Sheet1!B79</f>
        <v>ITV4 HD</v>
      </c>
      <c r="C79" t="e">
        <f t="shared" si="2"/>
        <v>#N/A</v>
      </c>
      <c r="D79" t="e">
        <f t="shared" si="3"/>
        <v>#N/A</v>
      </c>
    </row>
    <row r="80" spans="1:4" x14ac:dyDescent="0.25">
      <c r="A80">
        <f>Sheet1!A80</f>
        <v>179</v>
      </c>
      <c r="B80" t="str">
        <f>Sheet1!B80</f>
        <v>ITVBe HD</v>
      </c>
      <c r="C80" t="e">
        <f t="shared" si="2"/>
        <v>#N/A</v>
      </c>
      <c r="D80" t="e">
        <f t="shared" si="3"/>
        <v>#N/A</v>
      </c>
    </row>
    <row r="81" spans="1:4" x14ac:dyDescent="0.25">
      <c r="A81">
        <f>Sheet1!A81</f>
        <v>180</v>
      </c>
      <c r="B81" t="str">
        <f>Sheet1!B81</f>
        <v>Challenge +1</v>
      </c>
      <c r="C81" t="e">
        <f t="shared" si="2"/>
        <v>#N/A</v>
      </c>
      <c r="D81" t="e">
        <f t="shared" si="3"/>
        <v>#N/A</v>
      </c>
    </row>
    <row r="82" spans="1:4" x14ac:dyDescent="0.25">
      <c r="A82">
        <f>Sheet1!A82</f>
        <v>181</v>
      </c>
      <c r="B82" t="str">
        <f>Sheet1!B82</f>
        <v>Comedy Central HD</v>
      </c>
      <c r="C82" t="e">
        <f t="shared" si="2"/>
        <v>#N/A</v>
      </c>
      <c r="D82" t="e">
        <f t="shared" si="3"/>
        <v>#N/A</v>
      </c>
    </row>
    <row r="83" spans="1:4" x14ac:dyDescent="0.25">
      <c r="A83">
        <f>Sheet1!A83</f>
        <v>182</v>
      </c>
      <c r="B83" t="str">
        <f>Sheet1!B83</f>
        <v>Comedy Central Extra</v>
      </c>
      <c r="C83" t="e">
        <f t="shared" si="2"/>
        <v>#N/A</v>
      </c>
      <c r="D83" t="e">
        <f t="shared" si="3"/>
        <v>#N/A</v>
      </c>
    </row>
    <row r="84" spans="1:4" x14ac:dyDescent="0.25">
      <c r="A84">
        <f>Sheet1!A84</f>
        <v>183</v>
      </c>
      <c r="B84" t="str">
        <f>Sheet1!B84</f>
        <v>MTV HD</v>
      </c>
      <c r="C84" t="e">
        <f t="shared" si="2"/>
        <v>#N/A</v>
      </c>
      <c r="D84" t="e">
        <f t="shared" si="3"/>
        <v>#N/A</v>
      </c>
    </row>
    <row r="85" spans="1:4" x14ac:dyDescent="0.25">
      <c r="A85">
        <f>Sheet1!A85</f>
        <v>184</v>
      </c>
      <c r="B85" t="str">
        <f>Sheet1!B85</f>
        <v>BET</v>
      </c>
      <c r="C85" t="e">
        <f t="shared" si="2"/>
        <v>#N/A</v>
      </c>
      <c r="D85" t="e">
        <f t="shared" si="3"/>
        <v>#N/A</v>
      </c>
    </row>
    <row r="86" spans="1:4" x14ac:dyDescent="0.25">
      <c r="A86">
        <f>Sheet1!A86</f>
        <v>185</v>
      </c>
      <c r="B86" t="str">
        <f>Sheet1!B86</f>
        <v>5USA +1</v>
      </c>
      <c r="C86" t="e">
        <f t="shared" si="2"/>
        <v>#N/A</v>
      </c>
      <c r="D86" t="e">
        <f t="shared" si="3"/>
        <v>#N/A</v>
      </c>
    </row>
    <row r="87" spans="1:4" x14ac:dyDescent="0.25">
      <c r="A87">
        <f>Sheet1!A87</f>
        <v>186</v>
      </c>
      <c r="B87" t="str">
        <f>Sheet1!B87</f>
        <v>5STAR +1</v>
      </c>
      <c r="C87" t="e">
        <f t="shared" si="2"/>
        <v>#N/A</v>
      </c>
      <c r="D87" t="e">
        <f t="shared" si="3"/>
        <v>#N/A</v>
      </c>
    </row>
    <row r="88" spans="1:4" x14ac:dyDescent="0.25">
      <c r="A88">
        <f>Sheet1!A91</f>
        <v>190</v>
      </c>
      <c r="B88" t="str">
        <f>Sheet1!B91</f>
        <v>W +1</v>
      </c>
      <c r="C88" t="e">
        <f t="shared" si="2"/>
        <v>#N/A</v>
      </c>
      <c r="D88" t="e">
        <f t="shared" si="3"/>
        <v>#N/A</v>
      </c>
    </row>
    <row r="89" spans="1:4" x14ac:dyDescent="0.25">
      <c r="A89">
        <f>Sheet1!A92</f>
        <v>191</v>
      </c>
      <c r="B89" t="str">
        <f>Sheet1!B92</f>
        <v>Alibi +1</v>
      </c>
      <c r="C89" t="e">
        <f t="shared" si="2"/>
        <v>#N/A</v>
      </c>
      <c r="D89" t="e">
        <f t="shared" si="3"/>
        <v>#N/A</v>
      </c>
    </row>
    <row r="90" spans="1:4" x14ac:dyDescent="0.25">
      <c r="A90">
        <f>Sheet1!A93</f>
        <v>192</v>
      </c>
      <c r="B90" t="str">
        <f>Sheet1!B93</f>
        <v>CBS Justice</v>
      </c>
      <c r="C90" t="e">
        <f t="shared" si="2"/>
        <v>#N/A</v>
      </c>
      <c r="D90" t="e">
        <f t="shared" si="3"/>
        <v>#N/A</v>
      </c>
    </row>
    <row r="91" spans="1:4" x14ac:dyDescent="0.25">
      <c r="A91">
        <f>Sheet1!A94</f>
        <v>193</v>
      </c>
      <c r="B91" t="str">
        <f>Sheet1!B94</f>
        <v>Sony Crime</v>
      </c>
      <c r="C91" t="e">
        <f t="shared" si="2"/>
        <v>#N/A</v>
      </c>
      <c r="D91" t="e">
        <f t="shared" si="3"/>
        <v>#N/A</v>
      </c>
    </row>
    <row r="92" spans="1:4" x14ac:dyDescent="0.25">
      <c r="A92">
        <f>Sheet1!A95</f>
        <v>194</v>
      </c>
      <c r="B92" t="str">
        <f>Sheet1!B95</f>
        <v>Gold +1</v>
      </c>
      <c r="C92" t="e">
        <f t="shared" si="2"/>
        <v>#N/A</v>
      </c>
      <c r="D92" t="e">
        <f t="shared" si="3"/>
        <v>#N/A</v>
      </c>
    </row>
    <row r="93" spans="1:4" x14ac:dyDescent="0.25">
      <c r="A93">
        <f>Sheet1!A96</f>
        <v>195</v>
      </c>
      <c r="B93" t="str">
        <f>Sheet1!B96</f>
        <v>More4 HD</v>
      </c>
      <c r="C93" t="e">
        <f t="shared" si="2"/>
        <v>#N/A</v>
      </c>
      <c r="D93" t="e">
        <f t="shared" si="3"/>
        <v>#N/A</v>
      </c>
    </row>
    <row r="94" spans="1:4" x14ac:dyDescent="0.25">
      <c r="A94">
        <f>Sheet1!A97</f>
        <v>196</v>
      </c>
      <c r="B94" t="str">
        <f>Sheet1!B97</f>
        <v>More4 +1</v>
      </c>
      <c r="C94" t="e">
        <f t="shared" si="2"/>
        <v>#N/A</v>
      </c>
      <c r="D94" t="e">
        <f t="shared" si="3"/>
        <v>#N/A</v>
      </c>
    </row>
    <row r="95" spans="1:4" x14ac:dyDescent="0.25">
      <c r="A95">
        <f>Sheet1!A98</f>
        <v>197</v>
      </c>
      <c r="B95" t="str">
        <f>Sheet1!B98</f>
        <v>CBS Drama</v>
      </c>
      <c r="C95" t="e">
        <f t="shared" si="2"/>
        <v>#N/A</v>
      </c>
      <c r="D95" t="e">
        <f t="shared" si="3"/>
        <v>#N/A</v>
      </c>
    </row>
    <row r="96" spans="1:4" x14ac:dyDescent="0.25">
      <c r="A96">
        <f>Sheet1!A99</f>
        <v>198</v>
      </c>
      <c r="B96" t="str">
        <f>Sheet1!B99</f>
        <v>YouTube</v>
      </c>
      <c r="C96" t="e">
        <f t="shared" si="2"/>
        <v>#N/A</v>
      </c>
      <c r="D96" t="e">
        <f t="shared" si="3"/>
        <v>#N/A</v>
      </c>
    </row>
    <row r="97" spans="1:4" x14ac:dyDescent="0.25">
      <c r="A97">
        <f>Sheet1!A100</f>
        <v>199</v>
      </c>
      <c r="B97" t="str">
        <f>Sheet1!B100</f>
        <v>FOX HD</v>
      </c>
      <c r="C97" t="e">
        <f t="shared" si="2"/>
        <v>#N/A</v>
      </c>
      <c r="D97" t="e">
        <f t="shared" si="3"/>
        <v>#N/A</v>
      </c>
    </row>
    <row r="98" spans="1:4" x14ac:dyDescent="0.25">
      <c r="A98">
        <f>Sheet1!A101</f>
        <v>200</v>
      </c>
      <c r="B98" t="str">
        <f>Sheet1!B101</f>
        <v>Yesterday +1</v>
      </c>
      <c r="C98" t="e">
        <f t="shared" si="2"/>
        <v>#N/A</v>
      </c>
      <c r="D98" t="e">
        <f t="shared" si="3"/>
        <v>#N/A</v>
      </c>
    </row>
    <row r="99" spans="1:4" x14ac:dyDescent="0.25">
      <c r="A99">
        <f>Sheet1!A102</f>
        <v>201</v>
      </c>
      <c r="B99" t="str">
        <f>Sheet1!B102</f>
        <v>CBS Reality +1</v>
      </c>
      <c r="C99" t="e">
        <f t="shared" si="2"/>
        <v>#N/A</v>
      </c>
      <c r="D99" t="e">
        <f t="shared" si="3"/>
        <v>#N/A</v>
      </c>
    </row>
    <row r="100" spans="1:4" x14ac:dyDescent="0.25">
      <c r="A100">
        <f>Sheet1!A103</f>
        <v>202</v>
      </c>
      <c r="B100" t="str">
        <f>Sheet1!B103</f>
        <v>Horror Channel +1</v>
      </c>
      <c r="C100" t="e">
        <f t="shared" si="2"/>
        <v>#N/A</v>
      </c>
      <c r="D100" t="e">
        <f t="shared" si="3"/>
        <v>#N/A</v>
      </c>
    </row>
    <row r="101" spans="1:4" x14ac:dyDescent="0.25">
      <c r="A101">
        <f>Sheet1!A104</f>
        <v>203</v>
      </c>
      <c r="B101" t="str">
        <f>Sheet1!B104</f>
        <v>4seven HD</v>
      </c>
      <c r="C101" t="e">
        <f t="shared" si="2"/>
        <v>#N/A</v>
      </c>
      <c r="D101" t="e">
        <f t="shared" si="3"/>
        <v>#N/A</v>
      </c>
    </row>
    <row r="102" spans="1:4" x14ac:dyDescent="0.25">
      <c r="A102">
        <f>Sheet1!A105</f>
        <v>204</v>
      </c>
      <c r="B102" t="str">
        <f>Sheet1!B105</f>
        <v>Netflix</v>
      </c>
      <c r="C102" t="e">
        <f t="shared" si="2"/>
        <v>#N/A</v>
      </c>
      <c r="D102" t="e">
        <f t="shared" si="3"/>
        <v>#N/A</v>
      </c>
    </row>
    <row r="103" spans="1:4" x14ac:dyDescent="0.25">
      <c r="A103">
        <f>Sheet1!A106</f>
        <v>206</v>
      </c>
      <c r="B103" t="str">
        <f>Sheet1!B106</f>
        <v>Sky Arts HD</v>
      </c>
      <c r="C103" t="e">
        <f t="shared" si="2"/>
        <v>#N/A</v>
      </c>
      <c r="D103" t="e">
        <f t="shared" si="3"/>
        <v>#N/A</v>
      </c>
    </row>
    <row r="104" spans="1:4" x14ac:dyDescent="0.25">
      <c r="A104">
        <f>Sheet1!A107</f>
        <v>207</v>
      </c>
      <c r="B104" t="str">
        <f>Sheet1!B107</f>
        <v>Real Lives +1</v>
      </c>
      <c r="C104" t="e">
        <f t="shared" si="2"/>
        <v>#N/A</v>
      </c>
      <c r="D104" t="e">
        <f t="shared" si="3"/>
        <v>#N/A</v>
      </c>
    </row>
    <row r="105" spans="1:4" x14ac:dyDescent="0.25">
      <c r="A105">
        <f>Sheet1!A108</f>
        <v>208</v>
      </c>
      <c r="B105" t="str">
        <f>Sheet1!B108</f>
        <v>Lifetime</v>
      </c>
      <c r="C105" t="e">
        <f t="shared" si="2"/>
        <v>#N/A</v>
      </c>
      <c r="D105" t="e">
        <f t="shared" si="3"/>
        <v>#N/A</v>
      </c>
    </row>
    <row r="106" spans="1:4" x14ac:dyDescent="0.25">
      <c r="A106">
        <f>Sheet1!A109</f>
        <v>209</v>
      </c>
      <c r="B106" t="str">
        <f>Sheet1!B109</f>
        <v>Lifetime HD</v>
      </c>
      <c r="C106" t="e">
        <f t="shared" si="2"/>
        <v>#N/A</v>
      </c>
      <c r="D106" t="e">
        <f t="shared" si="3"/>
        <v>#N/A</v>
      </c>
    </row>
    <row r="107" spans="1:4" x14ac:dyDescent="0.25">
      <c r="A107">
        <f>Sheet1!A110</f>
        <v>210</v>
      </c>
      <c r="B107" t="str">
        <f>Sheet1!B110</f>
        <v>hayu</v>
      </c>
      <c r="C107" t="e">
        <f t="shared" si="2"/>
        <v>#N/A</v>
      </c>
      <c r="D107" t="e">
        <f t="shared" si="3"/>
        <v>#N/A</v>
      </c>
    </row>
    <row r="108" spans="1:4" x14ac:dyDescent="0.25">
      <c r="A108">
        <f>Sheet1!A111</f>
        <v>211</v>
      </c>
      <c r="B108" t="str">
        <f>Sheet1!B111</f>
        <v>W HD</v>
      </c>
      <c r="C108" t="e">
        <f t="shared" si="2"/>
        <v>#N/A</v>
      </c>
      <c r="D108" t="e">
        <f t="shared" si="3"/>
        <v>#N/A</v>
      </c>
    </row>
    <row r="109" spans="1:4" x14ac:dyDescent="0.25">
      <c r="A109">
        <f>Sheet1!A112</f>
        <v>212</v>
      </c>
      <c r="B109" t="str">
        <f>Sheet1!B112</f>
        <v>TruTV</v>
      </c>
      <c r="C109" t="e">
        <f t="shared" si="2"/>
        <v>#N/A</v>
      </c>
      <c r="D109" t="e">
        <f t="shared" si="3"/>
        <v>#N/A</v>
      </c>
    </row>
    <row r="110" spans="1:4" x14ac:dyDescent="0.25">
      <c r="A110">
        <f>Sheet1!A113</f>
        <v>213</v>
      </c>
      <c r="B110" t="str">
        <f>Sheet1!B113</f>
        <v>DMAX</v>
      </c>
      <c r="C110" t="e">
        <f t="shared" si="2"/>
        <v>#N/A</v>
      </c>
      <c r="D110" t="e">
        <f t="shared" si="3"/>
        <v>#N/A</v>
      </c>
    </row>
    <row r="111" spans="1:4" x14ac:dyDescent="0.25">
      <c r="A111">
        <f>Sheet1!A114</f>
        <v>214</v>
      </c>
      <c r="B111" t="str">
        <f>Sheet1!B114</f>
        <v>DMAX +1</v>
      </c>
      <c r="C111" t="e">
        <f t="shared" si="2"/>
        <v>#N/A</v>
      </c>
      <c r="D111" t="e">
        <f t="shared" si="3"/>
        <v>#N/A</v>
      </c>
    </row>
    <row r="112" spans="1:4" x14ac:dyDescent="0.25">
      <c r="A112">
        <f>Sheet1!A115</f>
        <v>215</v>
      </c>
      <c r="B112" t="str">
        <f>Sheet1!B115</f>
        <v>Quest Red</v>
      </c>
      <c r="C112" t="e">
        <f t="shared" si="2"/>
        <v>#N/A</v>
      </c>
      <c r="D112" t="e">
        <f t="shared" si="3"/>
        <v>#N/A</v>
      </c>
    </row>
    <row r="113" spans="1:4" x14ac:dyDescent="0.25">
      <c r="A113">
        <f>Sheet1!A116</f>
        <v>216</v>
      </c>
      <c r="B113" t="str">
        <f>Sheet1!B116</f>
        <v>Blaze</v>
      </c>
      <c r="C113" t="e">
        <f t="shared" si="2"/>
        <v>#N/A</v>
      </c>
      <c r="D113" t="e">
        <f t="shared" si="3"/>
        <v>#N/A</v>
      </c>
    </row>
    <row r="114" spans="1:4" x14ac:dyDescent="0.25">
      <c r="A114">
        <f>Sheet1!A124</f>
        <v>225</v>
      </c>
      <c r="B114" t="str">
        <f>Sheet1!B124</f>
        <v>Lifetime +1</v>
      </c>
      <c r="C114" t="e">
        <f t="shared" si="2"/>
        <v>#N/A</v>
      </c>
      <c r="D114" t="e">
        <f t="shared" si="3"/>
        <v>#N/A</v>
      </c>
    </row>
    <row r="115" spans="1:4" x14ac:dyDescent="0.25">
      <c r="A115">
        <f>Sheet1!A127</f>
        <v>245</v>
      </c>
      <c r="B115" t="str">
        <f>Sheet1!B127</f>
        <v>Eden</v>
      </c>
      <c r="C115" t="e">
        <f t="shared" si="2"/>
        <v>#N/A</v>
      </c>
      <c r="D115" t="e">
        <f t="shared" si="3"/>
        <v>#N/A</v>
      </c>
    </row>
    <row r="116" spans="1:4" x14ac:dyDescent="0.25">
      <c r="A116">
        <f>Sheet1!A128</f>
        <v>246</v>
      </c>
      <c r="B116" t="str">
        <f>Sheet1!B128</f>
        <v>Eden +1</v>
      </c>
      <c r="C116" t="e">
        <f t="shared" si="2"/>
        <v>#N/A</v>
      </c>
      <c r="D116" t="e">
        <f t="shared" si="3"/>
        <v>#N/A</v>
      </c>
    </row>
    <row r="117" spans="1:4" x14ac:dyDescent="0.25">
      <c r="A117">
        <f>Sheet1!A129</f>
        <v>247</v>
      </c>
      <c r="B117" t="str">
        <f>Sheet1!B129</f>
        <v>Eden HD</v>
      </c>
      <c r="C117" t="e">
        <f t="shared" si="2"/>
        <v>#N/A</v>
      </c>
      <c r="D117" t="e">
        <f t="shared" si="3"/>
        <v>#N/A</v>
      </c>
    </row>
    <row r="118" spans="1:4" x14ac:dyDescent="0.25">
      <c r="A118" t="e">
        <f>Sheet1!#REF!</f>
        <v>#REF!</v>
      </c>
      <c r="B118" t="e">
        <f>Sheet1!#REF!</f>
        <v>#REF!</v>
      </c>
      <c r="C118" t="e">
        <f t="shared" si="2"/>
        <v>#REF!</v>
      </c>
      <c r="D118" t="e">
        <f t="shared" si="3"/>
        <v>#REF!</v>
      </c>
    </row>
    <row r="119" spans="1:4" x14ac:dyDescent="0.25">
      <c r="A119" t="e">
        <f>Sheet1!#REF!</f>
        <v>#REF!</v>
      </c>
      <c r="B119" t="e">
        <f>Sheet1!#REF!</f>
        <v>#REF!</v>
      </c>
      <c r="C119" t="e">
        <f t="shared" si="2"/>
        <v>#REF!</v>
      </c>
      <c r="D119" t="e">
        <f t="shared" si="3"/>
        <v>#REF!</v>
      </c>
    </row>
    <row r="120" spans="1:4" x14ac:dyDescent="0.25">
      <c r="A120">
        <f>Sheet1!A130</f>
        <v>250</v>
      </c>
      <c r="B120" t="str">
        <f>Sheet1!B130</f>
        <v>Discovery Channel</v>
      </c>
      <c r="C120" t="e">
        <f t="shared" si="2"/>
        <v>#N/A</v>
      </c>
      <c r="D120" t="e">
        <f t="shared" si="3"/>
        <v>#N/A</v>
      </c>
    </row>
    <row r="121" spans="1:4" x14ac:dyDescent="0.25">
      <c r="A121">
        <f>Sheet1!A131</f>
        <v>251</v>
      </c>
      <c r="B121" t="str">
        <f>Sheet1!B131</f>
        <v>Discovery HD</v>
      </c>
      <c r="C121" t="e">
        <f t="shared" si="2"/>
        <v>#N/A</v>
      </c>
      <c r="D121" t="e">
        <f t="shared" si="3"/>
        <v>#N/A</v>
      </c>
    </row>
    <row r="122" spans="1:4" x14ac:dyDescent="0.25">
      <c r="A122">
        <f>Sheet1!A132</f>
        <v>252</v>
      </c>
      <c r="B122" t="str">
        <f>Sheet1!B132</f>
        <v>Discovery Channel +1</v>
      </c>
      <c r="C122" t="e">
        <f t="shared" si="2"/>
        <v>#N/A</v>
      </c>
      <c r="D122" t="e">
        <f t="shared" si="3"/>
        <v>#N/A</v>
      </c>
    </row>
    <row r="123" spans="1:4" x14ac:dyDescent="0.25">
      <c r="A123">
        <f>Sheet1!A133</f>
        <v>256</v>
      </c>
      <c r="B123" t="str">
        <f>Sheet1!B133</f>
        <v>Animal Planet</v>
      </c>
      <c r="C123" t="e">
        <f t="shared" si="2"/>
        <v>#N/A</v>
      </c>
      <c r="D123" t="e">
        <f t="shared" si="3"/>
        <v>#N/A</v>
      </c>
    </row>
    <row r="124" spans="1:4" x14ac:dyDescent="0.25">
      <c r="A124">
        <f>Sheet1!A134</f>
        <v>257</v>
      </c>
      <c r="B124" t="str">
        <f>Sheet1!B134</f>
        <v>Animal Planet HD</v>
      </c>
      <c r="C124" t="e">
        <f t="shared" si="2"/>
        <v>#N/A</v>
      </c>
      <c r="D124" t="e">
        <f t="shared" si="3"/>
        <v>#N/A</v>
      </c>
    </row>
    <row r="125" spans="1:4" x14ac:dyDescent="0.25">
      <c r="A125">
        <f>Sheet1!A135</f>
        <v>258</v>
      </c>
      <c r="B125" t="str">
        <f>Sheet1!B135</f>
        <v>Animal Planet +1</v>
      </c>
      <c r="C125" t="e">
        <f t="shared" si="2"/>
        <v>#N/A</v>
      </c>
      <c r="D125" t="e">
        <f t="shared" si="3"/>
        <v>#N/A</v>
      </c>
    </row>
    <row r="126" spans="1:4" x14ac:dyDescent="0.25">
      <c r="A126">
        <f>Sheet1!A136</f>
        <v>259</v>
      </c>
      <c r="B126" t="str">
        <f>Sheet1!B136</f>
        <v>Discovery Science</v>
      </c>
      <c r="C126" t="e">
        <f t="shared" si="2"/>
        <v>#N/A</v>
      </c>
      <c r="D126" t="e">
        <f t="shared" si="3"/>
        <v>#N/A</v>
      </c>
    </row>
    <row r="127" spans="1:4" x14ac:dyDescent="0.25">
      <c r="A127">
        <f>Sheet1!A137</f>
        <v>260</v>
      </c>
      <c r="B127" t="str">
        <f>Sheet1!B137</f>
        <v>Discovery Science +1</v>
      </c>
      <c r="C127" t="e">
        <f t="shared" si="2"/>
        <v>#N/A</v>
      </c>
      <c r="D127" t="e">
        <f t="shared" si="3"/>
        <v>#N/A</v>
      </c>
    </row>
    <row r="128" spans="1:4" x14ac:dyDescent="0.25">
      <c r="A128">
        <f>Sheet1!A138</f>
        <v>261</v>
      </c>
      <c r="B128" t="str">
        <f>Sheet1!B138</f>
        <v>Discovery Turbo</v>
      </c>
      <c r="C128" t="e">
        <f t="shared" si="2"/>
        <v>#N/A</v>
      </c>
      <c r="D128" t="e">
        <f t="shared" si="3"/>
        <v>#N/A</v>
      </c>
    </row>
    <row r="129" spans="1:4" x14ac:dyDescent="0.25">
      <c r="A129">
        <f>Sheet1!A139</f>
        <v>262</v>
      </c>
      <c r="B129" t="str">
        <f>Sheet1!B139</f>
        <v>Discovery History</v>
      </c>
      <c r="C129" t="e">
        <f t="shared" si="2"/>
        <v>#N/A</v>
      </c>
      <c r="D129" t="e">
        <f t="shared" si="3"/>
        <v>#N/A</v>
      </c>
    </row>
    <row r="130" spans="1:4" x14ac:dyDescent="0.25">
      <c r="A130">
        <f>Sheet1!A140</f>
        <v>263</v>
      </c>
      <c r="B130" t="str">
        <f>Sheet1!B140</f>
        <v>Discovery History +1</v>
      </c>
      <c r="C130" t="e">
        <f t="shared" ref="C130:C193" si="4">VLOOKUP(TEXT(A130,"###"),NOV,2,FALSE)</f>
        <v>#N/A</v>
      </c>
      <c r="D130" t="e">
        <f t="shared" ref="D130:D193" si="5">IF(B130=C130,"","x")</f>
        <v>#N/A</v>
      </c>
    </row>
    <row r="131" spans="1:4" x14ac:dyDescent="0.25">
      <c r="A131">
        <f>Sheet1!A141</f>
        <v>264</v>
      </c>
      <c r="B131" t="str">
        <f>Sheet1!B141</f>
        <v>Nat Geo Wild</v>
      </c>
      <c r="C131" t="e">
        <f t="shared" si="4"/>
        <v>#N/A</v>
      </c>
      <c r="D131" t="e">
        <f t="shared" si="5"/>
        <v>#N/A</v>
      </c>
    </row>
    <row r="132" spans="1:4" x14ac:dyDescent="0.25">
      <c r="A132">
        <f>Sheet1!A142</f>
        <v>265</v>
      </c>
      <c r="B132" t="str">
        <f>Sheet1!B142</f>
        <v>Nat Geo Wild HD</v>
      </c>
      <c r="C132" t="e">
        <f t="shared" si="4"/>
        <v>#N/A</v>
      </c>
      <c r="D132" t="e">
        <f t="shared" si="5"/>
        <v>#N/A</v>
      </c>
    </row>
    <row r="133" spans="1:4" x14ac:dyDescent="0.25">
      <c r="A133">
        <f>Sheet1!A143</f>
        <v>266</v>
      </c>
      <c r="B133" t="str">
        <f>Sheet1!B143</f>
        <v>National Geographic Channel</v>
      </c>
      <c r="C133" t="e">
        <f t="shared" si="4"/>
        <v>#N/A</v>
      </c>
      <c r="D133" t="e">
        <f t="shared" si="5"/>
        <v>#N/A</v>
      </c>
    </row>
    <row r="134" spans="1:4" x14ac:dyDescent="0.25">
      <c r="A134">
        <f>Sheet1!A144</f>
        <v>267</v>
      </c>
      <c r="B134" t="str">
        <f>Sheet1!B144</f>
        <v>National Geographic Channel +1</v>
      </c>
      <c r="C134" t="e">
        <f t="shared" si="4"/>
        <v>#N/A</v>
      </c>
      <c r="D134" t="e">
        <f t="shared" si="5"/>
        <v>#N/A</v>
      </c>
    </row>
    <row r="135" spans="1:4" x14ac:dyDescent="0.25">
      <c r="A135">
        <f>Sheet1!A145</f>
        <v>268</v>
      </c>
      <c r="B135" t="str">
        <f>Sheet1!B145</f>
        <v>National Geographic Channel HD</v>
      </c>
      <c r="C135" t="e">
        <f t="shared" si="4"/>
        <v>#N/A</v>
      </c>
      <c r="D135" t="e">
        <f t="shared" si="5"/>
        <v>#N/A</v>
      </c>
    </row>
    <row r="136" spans="1:4" x14ac:dyDescent="0.25">
      <c r="A136">
        <f>Sheet1!A146</f>
        <v>269</v>
      </c>
      <c r="B136" t="str">
        <f>Sheet1!B146</f>
        <v>Together</v>
      </c>
      <c r="C136" t="e">
        <f t="shared" si="4"/>
        <v>#N/A</v>
      </c>
      <c r="D136" t="e">
        <f t="shared" si="5"/>
        <v>#N/A</v>
      </c>
    </row>
    <row r="137" spans="1:4" x14ac:dyDescent="0.25">
      <c r="A137">
        <f>Sheet1!A147</f>
        <v>270</v>
      </c>
      <c r="B137" t="str">
        <f>Sheet1!B147</f>
        <v>History</v>
      </c>
      <c r="C137" t="e">
        <f t="shared" si="4"/>
        <v>#N/A</v>
      </c>
      <c r="D137" t="e">
        <f t="shared" si="5"/>
        <v>#N/A</v>
      </c>
    </row>
    <row r="138" spans="1:4" x14ac:dyDescent="0.25">
      <c r="A138">
        <f>Sheet1!A123</f>
        <v>224</v>
      </c>
      <c r="B138" t="str">
        <f>Sheet1!B123</f>
        <v>Crime + Investigation +1</v>
      </c>
      <c r="C138" t="e">
        <f t="shared" si="4"/>
        <v>#N/A</v>
      </c>
      <c r="D138" t="e">
        <f t="shared" si="5"/>
        <v>#N/A</v>
      </c>
    </row>
    <row r="139" spans="1:4" x14ac:dyDescent="0.25">
      <c r="A139">
        <f>Sheet1!A150</f>
        <v>273</v>
      </c>
      <c r="B139" t="str">
        <f>Sheet1!B150</f>
        <v>H2</v>
      </c>
      <c r="C139" t="e">
        <f t="shared" si="4"/>
        <v>#N/A</v>
      </c>
      <c r="D139" t="e">
        <f t="shared" si="5"/>
        <v>#N/A</v>
      </c>
    </row>
    <row r="140" spans="1:4" x14ac:dyDescent="0.25">
      <c r="A140">
        <f>Sheet1!A151</f>
        <v>274</v>
      </c>
      <c r="B140" t="str">
        <f>Sheet1!B151</f>
        <v>H2 HD</v>
      </c>
      <c r="C140" t="e">
        <f t="shared" si="4"/>
        <v>#N/A</v>
      </c>
      <c r="D140" t="e">
        <f t="shared" si="5"/>
        <v>#N/A</v>
      </c>
    </row>
    <row r="141" spans="1:4" x14ac:dyDescent="0.25">
      <c r="A141">
        <f>Sheet1!A153</f>
        <v>276</v>
      </c>
      <c r="B141" t="str">
        <f>Sheet1!B153</f>
        <v>PBS America</v>
      </c>
      <c r="C141" t="e">
        <f t="shared" si="4"/>
        <v>#N/A</v>
      </c>
      <c r="D141" t="e">
        <f t="shared" si="5"/>
        <v>#N/A</v>
      </c>
    </row>
    <row r="142" spans="1:4" x14ac:dyDescent="0.25">
      <c r="A142">
        <f>Sheet1!A154</f>
        <v>277</v>
      </c>
      <c r="B142" t="str">
        <f>Sheet1!B154</f>
        <v>Forces TV</v>
      </c>
      <c r="C142" t="e">
        <f t="shared" si="4"/>
        <v>#N/A</v>
      </c>
      <c r="D142" t="e">
        <f t="shared" si="5"/>
        <v>#N/A</v>
      </c>
    </row>
    <row r="143" spans="1:4" x14ac:dyDescent="0.25">
      <c r="A143">
        <f>Sheet1!A155</f>
        <v>278</v>
      </c>
      <c r="B143" t="str">
        <f>Sheet1!B155</f>
        <v>Good Food</v>
      </c>
      <c r="C143" t="e">
        <f t="shared" si="4"/>
        <v>#N/A</v>
      </c>
      <c r="D143" t="e">
        <f t="shared" si="5"/>
        <v>#N/A</v>
      </c>
    </row>
    <row r="144" spans="1:4" x14ac:dyDescent="0.25">
      <c r="A144">
        <f>Sheet1!A156</f>
        <v>279</v>
      </c>
      <c r="B144" t="str">
        <f>Sheet1!B156</f>
        <v>Good Food HD</v>
      </c>
      <c r="C144" t="e">
        <f t="shared" si="4"/>
        <v>#N/A</v>
      </c>
      <c r="D144" t="e">
        <f t="shared" si="5"/>
        <v>#N/A</v>
      </c>
    </row>
    <row r="145" spans="1:4" x14ac:dyDescent="0.25">
      <c r="A145">
        <f>Sheet1!A157</f>
        <v>280</v>
      </c>
      <c r="B145" t="str">
        <f>Sheet1!B157</f>
        <v>Good Food +1</v>
      </c>
      <c r="C145" t="e">
        <f t="shared" si="4"/>
        <v>#N/A</v>
      </c>
      <c r="D145" t="e">
        <f t="shared" si="5"/>
        <v>#N/A</v>
      </c>
    </row>
    <row r="146" spans="1:4" x14ac:dyDescent="0.25">
      <c r="A146">
        <f>Sheet1!A158</f>
        <v>281</v>
      </c>
      <c r="B146" t="str">
        <f>Sheet1!B158</f>
        <v>Home</v>
      </c>
      <c r="C146" t="e">
        <f t="shared" si="4"/>
        <v>#N/A</v>
      </c>
      <c r="D146" t="e">
        <f t="shared" si="5"/>
        <v>#N/A</v>
      </c>
    </row>
    <row r="147" spans="1:4" x14ac:dyDescent="0.25">
      <c r="A147">
        <f>Sheet1!A159</f>
        <v>282</v>
      </c>
      <c r="B147" t="str">
        <f>Sheet1!B159</f>
        <v>Home +1</v>
      </c>
      <c r="C147" t="e">
        <f t="shared" si="4"/>
        <v>#N/A</v>
      </c>
      <c r="D147" t="e">
        <f t="shared" si="5"/>
        <v>#N/A</v>
      </c>
    </row>
    <row r="148" spans="1:4" x14ac:dyDescent="0.25">
      <c r="A148">
        <f>Sheet1!A160</f>
        <v>284</v>
      </c>
      <c r="B148" t="str">
        <f>Sheet1!B160</f>
        <v>Discovery Home &amp; Health</v>
      </c>
      <c r="C148" t="e">
        <f t="shared" si="4"/>
        <v>#N/A</v>
      </c>
      <c r="D148" t="e">
        <f t="shared" si="5"/>
        <v>#N/A</v>
      </c>
    </row>
    <row r="149" spans="1:4" x14ac:dyDescent="0.25">
      <c r="A149">
        <f>Sheet1!A161</f>
        <v>285</v>
      </c>
      <c r="B149" t="str">
        <f>Sheet1!B161</f>
        <v>Discovery Home &amp; Health +1</v>
      </c>
      <c r="C149" t="e">
        <f t="shared" si="4"/>
        <v>#N/A</v>
      </c>
      <c r="D149" t="e">
        <f t="shared" si="5"/>
        <v>#N/A</v>
      </c>
    </row>
    <row r="150" spans="1:4" x14ac:dyDescent="0.25">
      <c r="A150">
        <f>Sheet1!A162</f>
        <v>286</v>
      </c>
      <c r="B150" t="str">
        <f>Sheet1!B162</f>
        <v>Discovery Shed</v>
      </c>
      <c r="C150" t="e">
        <f t="shared" si="4"/>
        <v>#N/A</v>
      </c>
      <c r="D150" t="e">
        <f t="shared" si="5"/>
        <v>#N/A</v>
      </c>
    </row>
    <row r="151" spans="1:4" x14ac:dyDescent="0.25">
      <c r="A151">
        <f>Sheet1!A163</f>
        <v>287</v>
      </c>
      <c r="B151" t="str">
        <f>Sheet1!B163</f>
        <v>GOD Channel</v>
      </c>
      <c r="C151" t="e">
        <f t="shared" si="4"/>
        <v>#N/A</v>
      </c>
      <c r="D151" t="e">
        <f t="shared" si="5"/>
        <v>#N/A</v>
      </c>
    </row>
    <row r="152" spans="1:4" x14ac:dyDescent="0.25">
      <c r="A152" t="e">
        <f>Sheet1!#REF!</f>
        <v>#REF!</v>
      </c>
      <c r="B152" t="e">
        <f>Sheet1!#REF!</f>
        <v>#REF!</v>
      </c>
      <c r="C152" t="e">
        <f t="shared" si="4"/>
        <v>#REF!</v>
      </c>
      <c r="D152" t="e">
        <f t="shared" si="5"/>
        <v>#REF!</v>
      </c>
    </row>
    <row r="153" spans="1:4" x14ac:dyDescent="0.25">
      <c r="A153">
        <f>Sheet1!A164</f>
        <v>291</v>
      </c>
      <c r="B153" t="str">
        <f>Sheet1!B164</f>
        <v>Food Network</v>
      </c>
      <c r="C153" t="e">
        <f t="shared" si="4"/>
        <v>#N/A</v>
      </c>
      <c r="D153" t="e">
        <f t="shared" si="5"/>
        <v>#N/A</v>
      </c>
    </row>
    <row r="154" spans="1:4" x14ac:dyDescent="0.25">
      <c r="A154">
        <f>Sheet1!A165</f>
        <v>292</v>
      </c>
      <c r="B154" t="str">
        <f>Sheet1!B165</f>
        <v>Travel Channel</v>
      </c>
      <c r="C154" t="e">
        <f t="shared" si="4"/>
        <v>#N/A</v>
      </c>
      <c r="D154" t="e">
        <f t="shared" si="5"/>
        <v>#N/A</v>
      </c>
    </row>
    <row r="155" spans="1:4" x14ac:dyDescent="0.25">
      <c r="A155">
        <f>Sheet1!A171</f>
        <v>300</v>
      </c>
      <c r="B155" t="str">
        <f>Sheet1!B171</f>
        <v>New Music on Demand</v>
      </c>
      <c r="C155" t="e">
        <f t="shared" si="4"/>
        <v>#N/A</v>
      </c>
      <c r="D155" t="e">
        <f t="shared" si="5"/>
        <v>#N/A</v>
      </c>
    </row>
    <row r="156" spans="1:4" x14ac:dyDescent="0.25">
      <c r="A156">
        <f>Sheet1!A172</f>
        <v>310</v>
      </c>
      <c r="B156" t="str">
        <f>Sheet1!B172</f>
        <v>MTV Music</v>
      </c>
      <c r="C156" t="e">
        <f t="shared" si="4"/>
        <v>#N/A</v>
      </c>
      <c r="D156" t="e">
        <f t="shared" si="5"/>
        <v>#N/A</v>
      </c>
    </row>
    <row r="157" spans="1:4" x14ac:dyDescent="0.25">
      <c r="A157">
        <f>Sheet1!A173</f>
        <v>311</v>
      </c>
      <c r="B157" t="str">
        <f>Sheet1!B173</f>
        <v>MTV Live HD</v>
      </c>
      <c r="C157" t="e">
        <f t="shared" si="4"/>
        <v>#N/A</v>
      </c>
      <c r="D157" t="e">
        <f t="shared" si="5"/>
        <v>#N/A</v>
      </c>
    </row>
    <row r="158" spans="1:4" x14ac:dyDescent="0.25">
      <c r="A158">
        <f>Sheet1!A174</f>
        <v>312</v>
      </c>
      <c r="B158" t="str">
        <f>Sheet1!B174</f>
        <v>MTV Hits</v>
      </c>
      <c r="C158" t="e">
        <f t="shared" si="4"/>
        <v>#N/A</v>
      </c>
      <c r="D158" t="e">
        <f t="shared" si="5"/>
        <v>#N/A</v>
      </c>
    </row>
    <row r="159" spans="1:4" x14ac:dyDescent="0.25">
      <c r="A159">
        <f>Sheet1!A175</f>
        <v>313</v>
      </c>
      <c r="B159" t="str">
        <f>Sheet1!B175</f>
        <v>MTV Base</v>
      </c>
      <c r="C159" t="e">
        <f t="shared" si="4"/>
        <v>#N/A</v>
      </c>
      <c r="D159" t="e">
        <f t="shared" si="5"/>
        <v>#N/A</v>
      </c>
    </row>
    <row r="160" spans="1:4" x14ac:dyDescent="0.25">
      <c r="A160">
        <f>Sheet1!A176</f>
        <v>314</v>
      </c>
      <c r="B160" t="str">
        <f>Sheet1!B176</f>
        <v>Club MTV</v>
      </c>
      <c r="C160" t="e">
        <f t="shared" si="4"/>
        <v>#N/A</v>
      </c>
      <c r="D160" t="e">
        <f t="shared" si="5"/>
        <v>#N/A</v>
      </c>
    </row>
    <row r="161" spans="1:4" x14ac:dyDescent="0.25">
      <c r="A161">
        <f>Sheet1!A177</f>
        <v>315</v>
      </c>
      <c r="B161" t="str">
        <f>Sheet1!B177</f>
        <v>MTV Rocks</v>
      </c>
      <c r="C161" t="e">
        <f t="shared" si="4"/>
        <v>#N/A</v>
      </c>
      <c r="D161" t="e">
        <f t="shared" si="5"/>
        <v>#N/A</v>
      </c>
    </row>
    <row r="162" spans="1:4" x14ac:dyDescent="0.25">
      <c r="A162">
        <f>Sheet1!A178</f>
        <v>316</v>
      </c>
      <c r="B162" t="str">
        <f>Sheet1!B178</f>
        <v>VH1</v>
      </c>
      <c r="C162" t="e">
        <f t="shared" si="4"/>
        <v>#N/A</v>
      </c>
      <c r="D162" t="e">
        <f t="shared" si="5"/>
        <v>#N/A</v>
      </c>
    </row>
    <row r="163" spans="1:4" x14ac:dyDescent="0.25">
      <c r="A163">
        <f>Sheet1!A179</f>
        <v>318</v>
      </c>
      <c r="B163" t="str">
        <f>Sheet1!B179</f>
        <v>MTV OMG</v>
      </c>
      <c r="C163" t="e">
        <f t="shared" si="4"/>
        <v>#N/A</v>
      </c>
      <c r="D163" t="e">
        <f t="shared" si="5"/>
        <v>#N/A</v>
      </c>
    </row>
    <row r="164" spans="1:4" x14ac:dyDescent="0.25">
      <c r="A164">
        <f>Sheet1!A180</f>
        <v>330</v>
      </c>
      <c r="B164" t="str">
        <f>Sheet1!B180</f>
        <v>Box Upfront</v>
      </c>
      <c r="C164" t="e">
        <f t="shared" si="4"/>
        <v>#N/A</v>
      </c>
      <c r="D164" t="e">
        <f t="shared" si="5"/>
        <v>#N/A</v>
      </c>
    </row>
    <row r="165" spans="1:4" x14ac:dyDescent="0.25">
      <c r="A165">
        <f>Sheet1!A181</f>
        <v>335</v>
      </c>
      <c r="B165" t="str">
        <f>Sheet1!B181</f>
        <v>The Box</v>
      </c>
      <c r="C165" t="e">
        <f t="shared" si="4"/>
        <v>#N/A</v>
      </c>
      <c r="D165" t="e">
        <f t="shared" si="5"/>
        <v>#N/A</v>
      </c>
    </row>
    <row r="166" spans="1:4" x14ac:dyDescent="0.25">
      <c r="A166">
        <f>Sheet1!A182</f>
        <v>336</v>
      </c>
      <c r="B166" t="str">
        <f>Sheet1!B182</f>
        <v>Box Hits</v>
      </c>
      <c r="C166" t="e">
        <f t="shared" si="4"/>
        <v>#N/A</v>
      </c>
      <c r="D166" t="e">
        <f t="shared" si="5"/>
        <v>#N/A</v>
      </c>
    </row>
    <row r="167" spans="1:4" x14ac:dyDescent="0.25">
      <c r="A167">
        <f>Sheet1!A183</f>
        <v>337</v>
      </c>
      <c r="B167" t="str">
        <f>Sheet1!B183</f>
        <v>4Music</v>
      </c>
      <c r="C167" t="e">
        <f t="shared" si="4"/>
        <v>#N/A</v>
      </c>
      <c r="D167" t="e">
        <f t="shared" si="5"/>
        <v>#N/A</v>
      </c>
    </row>
    <row r="168" spans="1:4" x14ac:dyDescent="0.25">
      <c r="A168">
        <f>Sheet1!A184</f>
        <v>338</v>
      </c>
      <c r="B168" t="str">
        <f>Sheet1!B184</f>
        <v>Kiss</v>
      </c>
      <c r="C168" t="e">
        <f t="shared" si="4"/>
        <v>#N/A</v>
      </c>
      <c r="D168" t="e">
        <f t="shared" si="5"/>
        <v>#N/A</v>
      </c>
    </row>
    <row r="169" spans="1:4" x14ac:dyDescent="0.25">
      <c r="A169">
        <f>Sheet1!A185</f>
        <v>340</v>
      </c>
      <c r="B169" t="str">
        <f>Sheet1!B185</f>
        <v>Magic</v>
      </c>
      <c r="C169" t="e">
        <f t="shared" si="4"/>
        <v>#N/A</v>
      </c>
      <c r="D169" t="e">
        <f t="shared" si="5"/>
        <v>#N/A</v>
      </c>
    </row>
    <row r="170" spans="1:4" x14ac:dyDescent="0.25">
      <c r="A170">
        <f>Sheet1!A186</f>
        <v>342</v>
      </c>
      <c r="B170" t="str">
        <f>Sheet1!B186</f>
        <v>Kerrang!</v>
      </c>
      <c r="C170" t="e">
        <f t="shared" si="4"/>
        <v>#N/A</v>
      </c>
      <c r="D170" t="e">
        <f t="shared" si="5"/>
        <v>#N/A</v>
      </c>
    </row>
    <row r="171" spans="1:4" x14ac:dyDescent="0.25">
      <c r="A171">
        <f>Sheet1!A187</f>
        <v>344</v>
      </c>
      <c r="B171" t="str">
        <f>Sheet1!B187</f>
        <v>Vevo</v>
      </c>
      <c r="C171" t="e">
        <f t="shared" si="4"/>
        <v>#N/A</v>
      </c>
      <c r="D171" t="e">
        <f t="shared" si="5"/>
        <v>#N/A</v>
      </c>
    </row>
    <row r="172" spans="1:4" x14ac:dyDescent="0.25">
      <c r="A172">
        <f>Sheet1!A188</f>
        <v>345</v>
      </c>
      <c r="B172" t="str">
        <f>Sheet1!B188</f>
        <v>Clubland</v>
      </c>
      <c r="C172" t="e">
        <f t="shared" si="4"/>
        <v>#N/A</v>
      </c>
      <c r="D172" t="e">
        <f t="shared" si="5"/>
        <v>#N/A</v>
      </c>
    </row>
    <row r="173" spans="1:4" x14ac:dyDescent="0.25">
      <c r="A173">
        <f>Sheet1!A190</f>
        <v>400</v>
      </c>
      <c r="B173" t="str">
        <f>Sheet1!B190</f>
        <v>Virgin Movies &amp; Store</v>
      </c>
      <c r="C173" t="e">
        <f t="shared" si="4"/>
        <v>#N/A</v>
      </c>
      <c r="D173" t="e">
        <f t="shared" si="5"/>
        <v>#N/A</v>
      </c>
    </row>
    <row r="174" spans="1:4" x14ac:dyDescent="0.25">
      <c r="A174">
        <f>Sheet1!A191</f>
        <v>401</v>
      </c>
      <c r="B174" t="str">
        <f>Sheet1!B191</f>
        <v>Sky Cinema Premiere HD</v>
      </c>
      <c r="C174" t="e">
        <f t="shared" si="4"/>
        <v>#N/A</v>
      </c>
      <c r="D174" t="e">
        <f t="shared" si="5"/>
        <v>#N/A</v>
      </c>
    </row>
    <row r="175" spans="1:4" x14ac:dyDescent="0.25">
      <c r="A175">
        <f>Sheet1!A192</f>
        <v>402</v>
      </c>
      <c r="B175" t="str">
        <f>Sheet1!B192</f>
        <v>Sky Cinema Premiere +1</v>
      </c>
      <c r="C175" t="e">
        <f t="shared" si="4"/>
        <v>#N/A</v>
      </c>
      <c r="D175" t="e">
        <f t="shared" si="5"/>
        <v>#N/A</v>
      </c>
    </row>
    <row r="176" spans="1:4" x14ac:dyDescent="0.25">
      <c r="A176">
        <f>Sheet1!A193</f>
        <v>403</v>
      </c>
      <c r="B176" t="str">
        <f>Sheet1!B193</f>
        <v>Sky Cinema Hits HD</v>
      </c>
      <c r="C176" t="e">
        <f t="shared" si="4"/>
        <v>#N/A</v>
      </c>
      <c r="D176" t="e">
        <f t="shared" si="5"/>
        <v>#N/A</v>
      </c>
    </row>
    <row r="177" spans="1:4" x14ac:dyDescent="0.25">
      <c r="A177">
        <f>Sheet1!A194</f>
        <v>404</v>
      </c>
      <c r="B177" t="str">
        <f>Sheet1!B194</f>
        <v>Sky Cinema Greats HD</v>
      </c>
      <c r="C177" t="e">
        <f t="shared" si="4"/>
        <v>#N/A</v>
      </c>
      <c r="D177" t="e">
        <f t="shared" si="5"/>
        <v>#N/A</v>
      </c>
    </row>
    <row r="178" spans="1:4" x14ac:dyDescent="0.25">
      <c r="A178">
        <f>Sheet1!A195</f>
        <v>405</v>
      </c>
      <c r="B178" t="str">
        <f>Sheet1!B195</f>
        <v>Sky Cinema Disney HD</v>
      </c>
      <c r="C178" t="e">
        <f t="shared" si="4"/>
        <v>#N/A</v>
      </c>
      <c r="D178" t="e">
        <f t="shared" si="5"/>
        <v>#N/A</v>
      </c>
    </row>
    <row r="179" spans="1:4" x14ac:dyDescent="0.25">
      <c r="A179">
        <f>Sheet1!A196</f>
        <v>406</v>
      </c>
      <c r="B179" t="str">
        <f>Sheet1!B196</f>
        <v>Sky Cinema Family HD</v>
      </c>
      <c r="C179" t="e">
        <f t="shared" si="4"/>
        <v>#N/A</v>
      </c>
      <c r="D179" t="e">
        <f t="shared" si="5"/>
        <v>#N/A</v>
      </c>
    </row>
    <row r="180" spans="1:4" x14ac:dyDescent="0.25">
      <c r="A180">
        <f>Sheet1!A197</f>
        <v>407</v>
      </c>
      <c r="B180" t="str">
        <f>Sheet1!B197</f>
        <v>Sky Cinema Action HD</v>
      </c>
      <c r="C180" t="e">
        <f t="shared" si="4"/>
        <v>#N/A</v>
      </c>
      <c r="D180" t="e">
        <f t="shared" si="5"/>
        <v>#N/A</v>
      </c>
    </row>
    <row r="181" spans="1:4" x14ac:dyDescent="0.25">
      <c r="A181">
        <f>Sheet1!A198</f>
        <v>408</v>
      </c>
      <c r="B181" t="str">
        <f>Sheet1!B198</f>
        <v>Sky Cinema Comedy HD</v>
      </c>
      <c r="C181" t="e">
        <f t="shared" si="4"/>
        <v>#N/A</v>
      </c>
      <c r="D181" t="e">
        <f t="shared" si="5"/>
        <v>#N/A</v>
      </c>
    </row>
    <row r="182" spans="1:4" x14ac:dyDescent="0.25">
      <c r="A182">
        <f>Sheet1!A199</f>
        <v>409</v>
      </c>
      <c r="B182" t="str">
        <f>Sheet1!B199</f>
        <v>Sky Cinema Thriller HD</v>
      </c>
      <c r="C182" t="e">
        <f t="shared" si="4"/>
        <v>#N/A</v>
      </c>
      <c r="D182" t="e">
        <f t="shared" si="5"/>
        <v>#N/A</v>
      </c>
    </row>
    <row r="183" spans="1:4" x14ac:dyDescent="0.25">
      <c r="A183">
        <f>Sheet1!A200</f>
        <v>410</v>
      </c>
      <c r="B183" t="str">
        <f>Sheet1!B200</f>
        <v>Sky Cinema Drama HD</v>
      </c>
      <c r="C183" t="e">
        <f t="shared" si="4"/>
        <v>#N/A</v>
      </c>
      <c r="D183" t="e">
        <f t="shared" si="5"/>
        <v>#N/A</v>
      </c>
    </row>
    <row r="184" spans="1:4" x14ac:dyDescent="0.25">
      <c r="A184">
        <f>Sheet1!A201</f>
        <v>411</v>
      </c>
      <c r="B184" t="str">
        <f>Sheet1!B201</f>
        <v>Sky Cinema Sci Fi &amp; Horror HD</v>
      </c>
      <c r="C184" t="e">
        <f t="shared" si="4"/>
        <v>#N/A</v>
      </c>
      <c r="D184" t="e">
        <f t="shared" si="5"/>
        <v>#N/A</v>
      </c>
    </row>
    <row r="185" spans="1:4" x14ac:dyDescent="0.25">
      <c r="A185">
        <f>Sheet1!A202</f>
        <v>412</v>
      </c>
      <c r="B185" t="str">
        <f>Sheet1!B202</f>
        <v>Sky Cinema Select HD</v>
      </c>
      <c r="C185" t="e">
        <f t="shared" si="4"/>
        <v>#N/A</v>
      </c>
      <c r="D185" t="e">
        <f t="shared" si="5"/>
        <v>#N/A</v>
      </c>
    </row>
    <row r="186" spans="1:4" x14ac:dyDescent="0.25">
      <c r="A186">
        <f>Sheet1!A203</f>
        <v>415</v>
      </c>
      <c r="B186" t="str">
        <f>Sheet1!B203</f>
        <v>TCM</v>
      </c>
      <c r="C186" t="e">
        <f t="shared" si="4"/>
        <v>#N/A</v>
      </c>
      <c r="D186" t="e">
        <f t="shared" si="5"/>
        <v>#N/A</v>
      </c>
    </row>
    <row r="187" spans="1:4" x14ac:dyDescent="0.25">
      <c r="A187">
        <f>Sheet1!A204</f>
        <v>416</v>
      </c>
      <c r="B187" t="str">
        <f>Sheet1!B204</f>
        <v>TCM HD</v>
      </c>
      <c r="C187" t="e">
        <f t="shared" si="4"/>
        <v>#N/A</v>
      </c>
      <c r="D187" t="e">
        <f t="shared" si="5"/>
        <v>#N/A</v>
      </c>
    </row>
    <row r="188" spans="1:4" x14ac:dyDescent="0.25">
      <c r="A188">
        <f>Sheet1!A205</f>
        <v>417</v>
      </c>
      <c r="B188" t="str">
        <f>Sheet1!B205</f>
        <v>TCM +1</v>
      </c>
      <c r="C188" t="e">
        <f t="shared" si="4"/>
        <v>#N/A</v>
      </c>
      <c r="D188" t="e">
        <f t="shared" si="5"/>
        <v>#N/A</v>
      </c>
    </row>
    <row r="189" spans="1:4" x14ac:dyDescent="0.25">
      <c r="A189">
        <f>Sheet1!A206</f>
        <v>419</v>
      </c>
      <c r="B189" t="str">
        <f>Sheet1!B206</f>
        <v>Movies 24</v>
      </c>
      <c r="C189" t="e">
        <f t="shared" si="4"/>
        <v>#N/A</v>
      </c>
      <c r="D189" t="e">
        <f t="shared" si="5"/>
        <v>#N/A</v>
      </c>
    </row>
    <row r="190" spans="1:4" x14ac:dyDescent="0.25">
      <c r="A190">
        <f>Sheet1!A207</f>
        <v>420</v>
      </c>
      <c r="B190" t="str">
        <f>Sheet1!B207</f>
        <v>Movies 24 + 1</v>
      </c>
      <c r="C190" t="e">
        <f t="shared" si="4"/>
        <v>#N/A</v>
      </c>
      <c r="D190" t="e">
        <f t="shared" si="5"/>
        <v>#N/A</v>
      </c>
    </row>
    <row r="191" spans="1:4" x14ac:dyDescent="0.25">
      <c r="A191">
        <f>Sheet1!A208</f>
        <v>424</v>
      </c>
      <c r="B191" t="str">
        <f>Sheet1!B208</f>
        <v>True Movies</v>
      </c>
      <c r="C191" t="e">
        <f t="shared" si="4"/>
        <v>#N/A</v>
      </c>
      <c r="D191" t="e">
        <f t="shared" si="5"/>
        <v>#N/A</v>
      </c>
    </row>
    <row r="192" spans="1:4" x14ac:dyDescent="0.25">
      <c r="A192">
        <f>Sheet1!A209</f>
        <v>425</v>
      </c>
      <c r="B192" t="str">
        <f>Sheet1!B209</f>
        <v>Sony Movie Channel</v>
      </c>
      <c r="C192" t="e">
        <f t="shared" si="4"/>
        <v>#N/A</v>
      </c>
      <c r="D192" t="e">
        <f t="shared" si="5"/>
        <v>#N/A</v>
      </c>
    </row>
    <row r="193" spans="1:4" x14ac:dyDescent="0.25">
      <c r="A193">
        <f>Sheet1!A210</f>
        <v>426</v>
      </c>
      <c r="B193" t="str">
        <f>Sheet1!B210</f>
        <v>Movies4Men</v>
      </c>
      <c r="C193" t="e">
        <f t="shared" si="4"/>
        <v>#N/A</v>
      </c>
      <c r="D193" t="e">
        <f t="shared" si="5"/>
        <v>#N/A</v>
      </c>
    </row>
    <row r="194" spans="1:4" x14ac:dyDescent="0.25">
      <c r="A194">
        <f>Sheet1!A211</f>
        <v>428</v>
      </c>
      <c r="B194" t="str">
        <f>Sheet1!B211</f>
        <v>Film4</v>
      </c>
      <c r="C194" t="e">
        <f t="shared" ref="C194:C257" si="6">VLOOKUP(TEXT(A194,"###"),NOV,2,FALSE)</f>
        <v>#N/A</v>
      </c>
      <c r="D194" t="e">
        <f t="shared" ref="D194:D257" si="7">IF(B194=C194,"","x")</f>
        <v>#N/A</v>
      </c>
    </row>
    <row r="195" spans="1:4" x14ac:dyDescent="0.25">
      <c r="A195">
        <f>Sheet1!A212</f>
        <v>429</v>
      </c>
      <c r="B195" t="str">
        <f>Sheet1!B212</f>
        <v>Film4 HD</v>
      </c>
      <c r="C195" t="e">
        <f t="shared" si="6"/>
        <v>#N/A</v>
      </c>
      <c r="D195" t="e">
        <f t="shared" si="7"/>
        <v>#N/A</v>
      </c>
    </row>
    <row r="196" spans="1:4" x14ac:dyDescent="0.25">
      <c r="A196">
        <f>Sheet1!A213</f>
        <v>430</v>
      </c>
      <c r="B196" t="str">
        <f>Sheet1!B213</f>
        <v>Film4 +1</v>
      </c>
      <c r="C196" t="e">
        <f t="shared" si="6"/>
        <v>#N/A</v>
      </c>
      <c r="D196" t="e">
        <f t="shared" si="7"/>
        <v>#N/A</v>
      </c>
    </row>
    <row r="197" spans="1:4" x14ac:dyDescent="0.25">
      <c r="A197">
        <f>Sheet1!A214</f>
        <v>431</v>
      </c>
      <c r="B197" t="str">
        <f>Sheet1!B214</f>
        <v>Sky Cinema Premiere</v>
      </c>
      <c r="C197" t="e">
        <f t="shared" si="6"/>
        <v>#N/A</v>
      </c>
      <c r="D197" t="e">
        <f t="shared" si="7"/>
        <v>#N/A</v>
      </c>
    </row>
    <row r="198" spans="1:4" x14ac:dyDescent="0.25">
      <c r="A198">
        <f>Sheet1!A215</f>
        <v>433</v>
      </c>
      <c r="B198" t="str">
        <f>Sheet1!B215</f>
        <v>Sky Cinema Hits</v>
      </c>
      <c r="C198" t="e">
        <f t="shared" si="6"/>
        <v>#N/A</v>
      </c>
      <c r="D198" t="e">
        <f t="shared" si="7"/>
        <v>#N/A</v>
      </c>
    </row>
    <row r="199" spans="1:4" x14ac:dyDescent="0.25">
      <c r="A199">
        <f>Sheet1!A216</f>
        <v>434</v>
      </c>
      <c r="B199" t="str">
        <f>Sheet1!B216</f>
        <v>Sky Cinema Greats</v>
      </c>
      <c r="C199" t="e">
        <f t="shared" si="6"/>
        <v>#N/A</v>
      </c>
      <c r="D199" t="e">
        <f t="shared" si="7"/>
        <v>#N/A</v>
      </c>
    </row>
    <row r="200" spans="1:4" x14ac:dyDescent="0.25">
      <c r="A200">
        <f>Sheet1!A217</f>
        <v>435</v>
      </c>
      <c r="B200" t="str">
        <f>Sheet1!B217</f>
        <v>Sky Cinema Disney</v>
      </c>
      <c r="C200" t="e">
        <f t="shared" si="6"/>
        <v>#N/A</v>
      </c>
      <c r="D200" t="e">
        <f t="shared" si="7"/>
        <v>#N/A</v>
      </c>
    </row>
    <row r="201" spans="1:4" x14ac:dyDescent="0.25">
      <c r="A201">
        <f>Sheet1!A218</f>
        <v>436</v>
      </c>
      <c r="B201" t="str">
        <f>Sheet1!B218</f>
        <v>Sky Cinema Family</v>
      </c>
      <c r="C201" t="e">
        <f t="shared" si="6"/>
        <v>#N/A</v>
      </c>
      <c r="D201" t="e">
        <f t="shared" si="7"/>
        <v>#N/A</v>
      </c>
    </row>
    <row r="202" spans="1:4" x14ac:dyDescent="0.25">
      <c r="A202">
        <f>Sheet1!A219</f>
        <v>437</v>
      </c>
      <c r="B202" t="str">
        <f>Sheet1!B219</f>
        <v>Sky Cinema Action</v>
      </c>
      <c r="C202" t="e">
        <f t="shared" si="6"/>
        <v>#N/A</v>
      </c>
      <c r="D202" t="e">
        <f t="shared" si="7"/>
        <v>#N/A</v>
      </c>
    </row>
    <row r="203" spans="1:4" x14ac:dyDescent="0.25">
      <c r="A203">
        <f>Sheet1!A220</f>
        <v>438</v>
      </c>
      <c r="B203" t="str">
        <f>Sheet1!B220</f>
        <v>Sky Cinema Comedy</v>
      </c>
      <c r="C203" t="e">
        <f t="shared" si="6"/>
        <v>#N/A</v>
      </c>
      <c r="D203" t="e">
        <f t="shared" si="7"/>
        <v>#N/A</v>
      </c>
    </row>
    <row r="204" spans="1:4" x14ac:dyDescent="0.25">
      <c r="A204">
        <f>Sheet1!A221</f>
        <v>439</v>
      </c>
      <c r="B204" t="str">
        <f>Sheet1!B221</f>
        <v>Sky Cinema Thriller</v>
      </c>
      <c r="C204" t="e">
        <f t="shared" si="6"/>
        <v>#N/A</v>
      </c>
      <c r="D204" t="e">
        <f t="shared" si="7"/>
        <v>#N/A</v>
      </c>
    </row>
    <row r="205" spans="1:4" x14ac:dyDescent="0.25">
      <c r="A205">
        <f>Sheet1!A222</f>
        <v>440</v>
      </c>
      <c r="B205" t="str">
        <f>Sheet1!B222</f>
        <v>Sky Cinema Drama</v>
      </c>
      <c r="C205" t="e">
        <f t="shared" si="6"/>
        <v>#N/A</v>
      </c>
      <c r="D205" t="e">
        <f t="shared" si="7"/>
        <v>#N/A</v>
      </c>
    </row>
    <row r="206" spans="1:4" x14ac:dyDescent="0.25">
      <c r="A206">
        <f>Sheet1!A223</f>
        <v>441</v>
      </c>
      <c r="B206" t="str">
        <f>Sheet1!B223</f>
        <v>Sky Cinema Sci Fi &amp; Horror</v>
      </c>
      <c r="C206" t="e">
        <f t="shared" si="6"/>
        <v>#N/A</v>
      </c>
      <c r="D206" t="e">
        <f t="shared" si="7"/>
        <v>#N/A</v>
      </c>
    </row>
    <row r="207" spans="1:4" x14ac:dyDescent="0.25">
      <c r="A207">
        <f>Sheet1!A224</f>
        <v>442</v>
      </c>
      <c r="B207" t="str">
        <f>Sheet1!B224</f>
        <v>Sky Cinema Select</v>
      </c>
      <c r="C207" t="e">
        <f t="shared" si="6"/>
        <v>#N/A</v>
      </c>
      <c r="D207" t="e">
        <f t="shared" si="7"/>
        <v>#N/A</v>
      </c>
    </row>
    <row r="208" spans="1:4" x14ac:dyDescent="0.25">
      <c r="A208">
        <f>Sheet1!A225</f>
        <v>445</v>
      </c>
      <c r="B208" t="str">
        <f>Sheet1!B225</f>
        <v>Talking Pictures TV</v>
      </c>
      <c r="C208" t="e">
        <f t="shared" si="6"/>
        <v>#N/A</v>
      </c>
      <c r="D208" t="e">
        <f t="shared" si="7"/>
        <v>#N/A</v>
      </c>
    </row>
    <row r="209" spans="1:4" x14ac:dyDescent="0.25">
      <c r="A209">
        <f>Sheet1!A226</f>
        <v>501</v>
      </c>
      <c r="B209" t="str">
        <f>Sheet1!B226</f>
        <v>Sky Sports Main Event HD</v>
      </c>
      <c r="C209" t="e">
        <f t="shared" si="6"/>
        <v>#N/A</v>
      </c>
      <c r="D209" t="e">
        <f t="shared" si="7"/>
        <v>#N/A</v>
      </c>
    </row>
    <row r="210" spans="1:4" x14ac:dyDescent="0.25">
      <c r="A210">
        <f>Sheet1!A227</f>
        <v>502</v>
      </c>
      <c r="B210" t="str">
        <f>Sheet1!B227</f>
        <v>Sky Sports Premier League HD</v>
      </c>
      <c r="C210" t="e">
        <f t="shared" si="6"/>
        <v>#N/A</v>
      </c>
      <c r="D210" t="e">
        <f t="shared" si="7"/>
        <v>#N/A</v>
      </c>
    </row>
    <row r="211" spans="1:4" x14ac:dyDescent="0.25">
      <c r="A211">
        <f>Sheet1!A228</f>
        <v>503</v>
      </c>
      <c r="B211" t="str">
        <f>Sheet1!B228</f>
        <v>Sky Sports Football HD</v>
      </c>
      <c r="C211" t="e">
        <f t="shared" si="6"/>
        <v>#N/A</v>
      </c>
      <c r="D211" t="e">
        <f t="shared" si="7"/>
        <v>#N/A</v>
      </c>
    </row>
    <row r="212" spans="1:4" x14ac:dyDescent="0.25">
      <c r="A212">
        <f>Sheet1!A229</f>
        <v>504</v>
      </c>
      <c r="B212" t="str">
        <f>Sheet1!B229</f>
        <v>Sky Sports Cricket HD</v>
      </c>
      <c r="C212" t="e">
        <f t="shared" si="6"/>
        <v>#N/A</v>
      </c>
      <c r="D212" t="e">
        <f t="shared" si="7"/>
        <v>#N/A</v>
      </c>
    </row>
    <row r="213" spans="1:4" x14ac:dyDescent="0.25">
      <c r="A213">
        <f>Sheet1!A230</f>
        <v>505</v>
      </c>
      <c r="B213" t="str">
        <f>Sheet1!B230</f>
        <v>Sky Sports Golf HD</v>
      </c>
      <c r="C213" t="e">
        <f t="shared" si="6"/>
        <v>#N/A</v>
      </c>
      <c r="D213" t="e">
        <f t="shared" si="7"/>
        <v>#N/A</v>
      </c>
    </row>
    <row r="214" spans="1:4" x14ac:dyDescent="0.25">
      <c r="A214">
        <f>Sheet1!A231</f>
        <v>506</v>
      </c>
      <c r="B214" t="str">
        <f>Sheet1!B231</f>
        <v>Sky Sports F1 HD</v>
      </c>
      <c r="C214" t="e">
        <f t="shared" si="6"/>
        <v>#N/A</v>
      </c>
      <c r="D214" t="e">
        <f t="shared" si="7"/>
        <v>#N/A</v>
      </c>
    </row>
    <row r="215" spans="1:4" x14ac:dyDescent="0.25">
      <c r="A215">
        <f>Sheet1!A232</f>
        <v>507</v>
      </c>
      <c r="B215" t="str">
        <f>Sheet1!B232</f>
        <v>Sky Sports Action HD</v>
      </c>
      <c r="C215" t="e">
        <f t="shared" si="6"/>
        <v>#N/A</v>
      </c>
      <c r="D215" t="e">
        <f t="shared" si="7"/>
        <v>#N/A</v>
      </c>
    </row>
    <row r="216" spans="1:4" x14ac:dyDescent="0.25">
      <c r="A216">
        <f>Sheet1!A233</f>
        <v>508</v>
      </c>
      <c r="B216" t="str">
        <f>Sheet1!B233</f>
        <v>Sky Sports Arena HD</v>
      </c>
      <c r="C216" t="e">
        <f t="shared" si="6"/>
        <v>#N/A</v>
      </c>
      <c r="D216" t="e">
        <f t="shared" si="7"/>
        <v>#N/A</v>
      </c>
    </row>
    <row r="217" spans="1:4" x14ac:dyDescent="0.25">
      <c r="A217">
        <f>Sheet1!A234</f>
        <v>509</v>
      </c>
      <c r="B217" t="str">
        <f>Sheet1!B234</f>
        <v>Sky Sports News HD</v>
      </c>
      <c r="C217" t="e">
        <f t="shared" si="6"/>
        <v>#N/A</v>
      </c>
      <c r="D217" t="e">
        <f t="shared" si="7"/>
        <v>#N/A</v>
      </c>
    </row>
    <row r="218" spans="1:4" x14ac:dyDescent="0.25">
      <c r="A218">
        <f>Sheet1!A235</f>
        <v>510</v>
      </c>
      <c r="B218" t="str">
        <f>Sheet1!B235</f>
        <v>Sky Sports Mix HD</v>
      </c>
      <c r="C218" t="e">
        <f t="shared" si="6"/>
        <v>#N/A</v>
      </c>
      <c r="D218" t="e">
        <f t="shared" si="7"/>
        <v>#N/A</v>
      </c>
    </row>
    <row r="219" spans="1:4" x14ac:dyDescent="0.25">
      <c r="A219">
        <f>Sheet1!A236</f>
        <v>511</v>
      </c>
      <c r="B219" t="str">
        <f>Sheet1!B236</f>
        <v>Sky Sports Main Event</v>
      </c>
      <c r="C219" t="e">
        <f t="shared" si="6"/>
        <v>#N/A</v>
      </c>
      <c r="D219" t="e">
        <f t="shared" si="7"/>
        <v>#N/A</v>
      </c>
    </row>
    <row r="220" spans="1:4" x14ac:dyDescent="0.25">
      <c r="A220">
        <f>Sheet1!A237</f>
        <v>512</v>
      </c>
      <c r="B220" t="str">
        <f>Sheet1!B237</f>
        <v>Sky Sports Premier League</v>
      </c>
      <c r="C220" t="e">
        <f t="shared" si="6"/>
        <v>#N/A</v>
      </c>
      <c r="D220" t="e">
        <f t="shared" si="7"/>
        <v>#N/A</v>
      </c>
    </row>
    <row r="221" spans="1:4" x14ac:dyDescent="0.25">
      <c r="A221">
        <f>Sheet1!A238</f>
        <v>513</v>
      </c>
      <c r="B221" t="str">
        <f>Sheet1!B238</f>
        <v>Sky Sports Football</v>
      </c>
      <c r="C221" t="e">
        <f t="shared" si="6"/>
        <v>#N/A</v>
      </c>
      <c r="D221" t="e">
        <f t="shared" si="7"/>
        <v>#N/A</v>
      </c>
    </row>
    <row r="222" spans="1:4" x14ac:dyDescent="0.25">
      <c r="A222">
        <f>Sheet1!A239</f>
        <v>514</v>
      </c>
      <c r="B222" t="str">
        <f>Sheet1!B239</f>
        <v>Sky Sports Cricket</v>
      </c>
      <c r="C222" t="e">
        <f t="shared" si="6"/>
        <v>#N/A</v>
      </c>
      <c r="D222" t="e">
        <f t="shared" si="7"/>
        <v>#N/A</v>
      </c>
    </row>
    <row r="223" spans="1:4" x14ac:dyDescent="0.25">
      <c r="A223">
        <f>Sheet1!A240</f>
        <v>515</v>
      </c>
      <c r="B223" t="str">
        <f>Sheet1!B240</f>
        <v>Sky Sports Golf</v>
      </c>
      <c r="C223" t="e">
        <f t="shared" si="6"/>
        <v>#N/A</v>
      </c>
      <c r="D223" t="e">
        <f t="shared" si="7"/>
        <v>#N/A</v>
      </c>
    </row>
    <row r="224" spans="1:4" x14ac:dyDescent="0.25">
      <c r="A224">
        <f>Sheet1!A241</f>
        <v>516</v>
      </c>
      <c r="B224" t="str">
        <f>Sheet1!B241</f>
        <v>Sky Sports F1</v>
      </c>
      <c r="C224" t="e">
        <f t="shared" si="6"/>
        <v>#N/A</v>
      </c>
      <c r="D224" t="e">
        <f t="shared" si="7"/>
        <v>#N/A</v>
      </c>
    </row>
    <row r="225" spans="1:4" x14ac:dyDescent="0.25">
      <c r="A225">
        <f>Sheet1!A242</f>
        <v>517</v>
      </c>
      <c r="B225" t="str">
        <f>Sheet1!B242</f>
        <v>Sky Sports Action</v>
      </c>
      <c r="C225" t="e">
        <f t="shared" si="6"/>
        <v>#N/A</v>
      </c>
      <c r="D225" t="e">
        <f t="shared" si="7"/>
        <v>#N/A</v>
      </c>
    </row>
    <row r="226" spans="1:4" x14ac:dyDescent="0.25">
      <c r="A226">
        <f>Sheet1!A243</f>
        <v>518</v>
      </c>
      <c r="B226" t="str">
        <f>Sheet1!B243</f>
        <v>Sky Sports Arena</v>
      </c>
      <c r="C226" t="e">
        <f t="shared" si="6"/>
        <v>#N/A</v>
      </c>
      <c r="D226" t="e">
        <f t="shared" si="7"/>
        <v>#N/A</v>
      </c>
    </row>
    <row r="227" spans="1:4" x14ac:dyDescent="0.25">
      <c r="A227">
        <f>Sheet1!A244</f>
        <v>519</v>
      </c>
      <c r="B227" t="str">
        <f>Sheet1!B244</f>
        <v>Sky Sports News</v>
      </c>
      <c r="C227" t="e">
        <f t="shared" si="6"/>
        <v>#N/A</v>
      </c>
      <c r="D227" t="e">
        <f t="shared" si="7"/>
        <v>#N/A</v>
      </c>
    </row>
    <row r="228" spans="1:4" x14ac:dyDescent="0.25">
      <c r="A228">
        <f>Sheet1!A245</f>
        <v>520</v>
      </c>
      <c r="B228" t="str">
        <f>Sheet1!B245</f>
        <v>Sky Sports Mix</v>
      </c>
      <c r="C228" t="e">
        <f t="shared" si="6"/>
        <v>#N/A</v>
      </c>
      <c r="D228" t="e">
        <f t="shared" si="7"/>
        <v>#N/A</v>
      </c>
    </row>
    <row r="229" spans="1:4" x14ac:dyDescent="0.25">
      <c r="A229">
        <f>Sheet1!A246</f>
        <v>521</v>
      </c>
      <c r="B229" t="str">
        <f>Sheet1!B246</f>
        <v>Eurosport 1 HD</v>
      </c>
      <c r="C229" t="e">
        <f t="shared" si="6"/>
        <v>#N/A</v>
      </c>
      <c r="D229" t="e">
        <f t="shared" si="7"/>
        <v>#N/A</v>
      </c>
    </row>
    <row r="230" spans="1:4" x14ac:dyDescent="0.25">
      <c r="A230">
        <f>Sheet1!A247</f>
        <v>522</v>
      </c>
      <c r="B230" t="str">
        <f>Sheet1!B247</f>
        <v>Eurosport 2 HD</v>
      </c>
      <c r="C230" t="e">
        <f t="shared" si="6"/>
        <v>#N/A</v>
      </c>
      <c r="D230" t="e">
        <f t="shared" si="7"/>
        <v>#N/A</v>
      </c>
    </row>
    <row r="231" spans="1:4" x14ac:dyDescent="0.25">
      <c r="A231">
        <f>Sheet1!A248</f>
        <v>523</v>
      </c>
      <c r="B231" t="str">
        <f>Sheet1!B248</f>
        <v>Eurosport 1</v>
      </c>
      <c r="C231" t="e">
        <f t="shared" si="6"/>
        <v>#N/A</v>
      </c>
      <c r="D231" t="e">
        <f t="shared" si="7"/>
        <v>#N/A</v>
      </c>
    </row>
    <row r="232" spans="1:4" x14ac:dyDescent="0.25">
      <c r="A232">
        <f>Sheet1!A249</f>
        <v>524</v>
      </c>
      <c r="B232" t="str">
        <f>Sheet1!B249</f>
        <v>Eurosport 2</v>
      </c>
      <c r="C232" t="e">
        <f t="shared" si="6"/>
        <v>#N/A</v>
      </c>
      <c r="D232" t="e">
        <f t="shared" si="7"/>
        <v>#N/A</v>
      </c>
    </row>
    <row r="233" spans="1:4" x14ac:dyDescent="0.25">
      <c r="A233">
        <f>Sheet1!A250</f>
        <v>526</v>
      </c>
      <c r="B233" t="str">
        <f>Sheet1!B250</f>
        <v>MUTV</v>
      </c>
      <c r="C233" t="e">
        <f t="shared" si="6"/>
        <v>#N/A</v>
      </c>
      <c r="D233" t="e">
        <f t="shared" si="7"/>
        <v>#N/A</v>
      </c>
    </row>
    <row r="234" spans="1:4" x14ac:dyDescent="0.25">
      <c r="A234">
        <f>Sheet1!A251</f>
        <v>527</v>
      </c>
      <c r="B234" t="str">
        <f>Sheet1!B251</f>
        <v>BT Sport 1 HD</v>
      </c>
      <c r="C234" t="e">
        <f t="shared" si="6"/>
        <v>#N/A</v>
      </c>
      <c r="D234" t="e">
        <f t="shared" si="7"/>
        <v>#N/A</v>
      </c>
    </row>
    <row r="235" spans="1:4" x14ac:dyDescent="0.25">
      <c r="A235">
        <f>Sheet1!A252</f>
        <v>528</v>
      </c>
      <c r="B235" t="str">
        <f>Sheet1!B252</f>
        <v>BT Sport 2 HD</v>
      </c>
      <c r="C235" t="e">
        <f t="shared" si="6"/>
        <v>#N/A</v>
      </c>
      <c r="D235" t="e">
        <f t="shared" si="7"/>
        <v>#N/A</v>
      </c>
    </row>
    <row r="236" spans="1:4" x14ac:dyDescent="0.25">
      <c r="A236">
        <f>Sheet1!A253</f>
        <v>529</v>
      </c>
      <c r="B236" t="str">
        <f>Sheet1!B253</f>
        <v>BT Sport 3 HD</v>
      </c>
      <c r="C236" t="e">
        <f t="shared" si="6"/>
        <v>#N/A</v>
      </c>
      <c r="D236" t="e">
        <f t="shared" si="7"/>
        <v>#N/A</v>
      </c>
    </row>
    <row r="237" spans="1:4" x14ac:dyDescent="0.25">
      <c r="A237">
        <f>Sheet1!A254</f>
        <v>530</v>
      </c>
      <c r="B237" t="str">
        <f>Sheet1!B254</f>
        <v>BT Sport ESPN HD</v>
      </c>
      <c r="C237" t="e">
        <f t="shared" si="6"/>
        <v>#N/A</v>
      </c>
      <c r="D237" t="e">
        <f t="shared" si="7"/>
        <v>#N/A</v>
      </c>
    </row>
    <row r="238" spans="1:4" x14ac:dyDescent="0.25">
      <c r="A238">
        <f>Sheet1!A255</f>
        <v>531</v>
      </c>
      <c r="B238" t="str">
        <f>Sheet1!B255</f>
        <v>BT Sport 4K UHD</v>
      </c>
      <c r="C238" t="e">
        <f t="shared" si="6"/>
        <v>#N/A</v>
      </c>
      <c r="D238" t="e">
        <f t="shared" si="7"/>
        <v>#N/A</v>
      </c>
    </row>
    <row r="239" spans="1:4" x14ac:dyDescent="0.25">
      <c r="A239" t="e">
        <f>Sheet1!#REF!</f>
        <v>#REF!</v>
      </c>
      <c r="B239" t="e">
        <f>Sheet1!#REF!</f>
        <v>#REF!</v>
      </c>
      <c r="C239" t="e">
        <f t="shared" si="6"/>
        <v>#REF!</v>
      </c>
      <c r="D239" t="e">
        <f t="shared" si="7"/>
        <v>#REF!</v>
      </c>
    </row>
    <row r="240" spans="1:4" x14ac:dyDescent="0.25">
      <c r="A240" t="e">
        <f>Sheet1!#REF!</f>
        <v>#REF!</v>
      </c>
      <c r="B240" t="e">
        <f>Sheet1!#REF!</f>
        <v>#REF!</v>
      </c>
      <c r="C240" t="e">
        <f t="shared" si="6"/>
        <v>#REF!</v>
      </c>
      <c r="D240" t="e">
        <f t="shared" si="7"/>
        <v>#REF!</v>
      </c>
    </row>
    <row r="241" spans="1:4" x14ac:dyDescent="0.25">
      <c r="A241" t="e">
        <f>Sheet1!#REF!</f>
        <v>#REF!</v>
      </c>
      <c r="B241" t="e">
        <f>Sheet1!#REF!</f>
        <v>#REF!</v>
      </c>
      <c r="C241" t="e">
        <f t="shared" si="6"/>
        <v>#REF!</v>
      </c>
      <c r="D241" t="e">
        <f t="shared" si="7"/>
        <v>#REF!</v>
      </c>
    </row>
    <row r="242" spans="1:4" x14ac:dyDescent="0.25">
      <c r="A242">
        <f>Sheet1!A256</f>
        <v>535</v>
      </c>
      <c r="B242" t="str">
        <f>Sheet1!B256</f>
        <v>At The Races</v>
      </c>
      <c r="C242" t="e">
        <f t="shared" si="6"/>
        <v>#N/A</v>
      </c>
      <c r="D242" t="e">
        <f t="shared" si="7"/>
        <v>#N/A</v>
      </c>
    </row>
    <row r="243" spans="1:4" x14ac:dyDescent="0.25">
      <c r="A243">
        <f>Sheet1!A257</f>
        <v>536</v>
      </c>
      <c r="B243" t="str">
        <f>Sheet1!B257</f>
        <v>Racing TV HD</v>
      </c>
      <c r="C243" t="e">
        <f t="shared" si="6"/>
        <v>#N/A</v>
      </c>
      <c r="D243" t="e">
        <f t="shared" si="7"/>
        <v>#N/A</v>
      </c>
    </row>
    <row r="244" spans="1:4" x14ac:dyDescent="0.25">
      <c r="A244">
        <f>Sheet1!A258</f>
        <v>544</v>
      </c>
      <c r="B244" t="str">
        <f>Sheet1!B258</f>
        <v>LFCTV</v>
      </c>
      <c r="C244" t="e">
        <f t="shared" si="6"/>
        <v>#N/A</v>
      </c>
      <c r="D244" t="e">
        <f t="shared" si="7"/>
        <v>#N/A</v>
      </c>
    </row>
    <row r="245" spans="1:4" x14ac:dyDescent="0.25">
      <c r="A245">
        <f>Sheet1!A259</f>
        <v>546</v>
      </c>
      <c r="B245" t="str">
        <f>Sheet1!B259</f>
        <v>BoxNation</v>
      </c>
      <c r="C245" t="e">
        <f t="shared" si="6"/>
        <v>#N/A</v>
      </c>
      <c r="D245" t="e">
        <f t="shared" si="7"/>
        <v>#N/A</v>
      </c>
    </row>
    <row r="246" spans="1:4" x14ac:dyDescent="0.25">
      <c r="A246">
        <f>Sheet1!A260</f>
        <v>551</v>
      </c>
      <c r="B246" t="str">
        <f>Sheet1!B260</f>
        <v>Premier Sports 1 HD</v>
      </c>
      <c r="C246" t="e">
        <f t="shared" si="6"/>
        <v>#N/A</v>
      </c>
      <c r="D246" t="e">
        <f t="shared" si="7"/>
        <v>#N/A</v>
      </c>
    </row>
    <row r="247" spans="1:4" x14ac:dyDescent="0.25">
      <c r="A247">
        <f>Sheet1!A263</f>
        <v>601</v>
      </c>
      <c r="B247" t="str">
        <f>Sheet1!B263</f>
        <v>BBC News</v>
      </c>
      <c r="C247" t="e">
        <f t="shared" si="6"/>
        <v>#N/A</v>
      </c>
      <c r="D247" t="e">
        <f t="shared" si="7"/>
        <v>#N/A</v>
      </c>
    </row>
    <row r="248" spans="1:4" x14ac:dyDescent="0.25">
      <c r="A248">
        <f>Sheet1!A264</f>
        <v>602</v>
      </c>
      <c r="B248" t="str">
        <f>Sheet1!B264</f>
        <v>Sky News</v>
      </c>
      <c r="C248" t="e">
        <f t="shared" si="6"/>
        <v>#N/A</v>
      </c>
      <c r="D248" t="e">
        <f t="shared" si="7"/>
        <v>#N/A</v>
      </c>
    </row>
    <row r="249" spans="1:4" x14ac:dyDescent="0.25">
      <c r="A249">
        <f>Sheet1!A265</f>
        <v>603</v>
      </c>
      <c r="B249" t="str">
        <f>Sheet1!B265</f>
        <v>Sky News HD</v>
      </c>
      <c r="C249" t="e">
        <f t="shared" si="6"/>
        <v>#N/A</v>
      </c>
      <c r="D249" t="e">
        <f t="shared" si="7"/>
        <v>#N/A</v>
      </c>
    </row>
    <row r="250" spans="1:4" x14ac:dyDescent="0.25">
      <c r="A250">
        <f>Sheet1!A266</f>
        <v>604</v>
      </c>
      <c r="B250" t="str">
        <f>Sheet1!B266</f>
        <v>BBC News HD</v>
      </c>
      <c r="C250" t="e">
        <f t="shared" si="6"/>
        <v>#N/A</v>
      </c>
      <c r="D250" t="e">
        <f t="shared" si="7"/>
        <v>#N/A</v>
      </c>
    </row>
    <row r="251" spans="1:4" x14ac:dyDescent="0.25">
      <c r="A251">
        <f>Sheet1!A267</f>
        <v>605</v>
      </c>
      <c r="B251" t="str">
        <f>Sheet1!B267</f>
        <v>BBC Parliament</v>
      </c>
      <c r="C251" t="e">
        <f t="shared" si="6"/>
        <v>#N/A</v>
      </c>
      <c r="D251" t="e">
        <f t="shared" si="7"/>
        <v>#N/A</v>
      </c>
    </row>
    <row r="252" spans="1:4" x14ac:dyDescent="0.25">
      <c r="A252">
        <f>Sheet1!A268</f>
        <v>607</v>
      </c>
      <c r="B252" t="str">
        <f>Sheet1!B268</f>
        <v>CNN International</v>
      </c>
      <c r="C252" t="e">
        <f t="shared" si="6"/>
        <v>#N/A</v>
      </c>
      <c r="D252" t="e">
        <f t="shared" si="7"/>
        <v>#N/A</v>
      </c>
    </row>
    <row r="253" spans="1:4" x14ac:dyDescent="0.25">
      <c r="A253">
        <f>Sheet1!A269</f>
        <v>609</v>
      </c>
      <c r="B253" t="str">
        <f>Sheet1!B269</f>
        <v>Bloomberg Television HD</v>
      </c>
      <c r="C253" t="e">
        <f t="shared" si="6"/>
        <v>#N/A</v>
      </c>
      <c r="D253" t="e">
        <f t="shared" si="7"/>
        <v>#N/A</v>
      </c>
    </row>
    <row r="254" spans="1:4" x14ac:dyDescent="0.25">
      <c r="A254">
        <f>Sheet1!A270</f>
        <v>613</v>
      </c>
      <c r="B254" t="str">
        <f>Sheet1!B270</f>
        <v>CNBC Europe</v>
      </c>
      <c r="C254" t="e">
        <f t="shared" si="6"/>
        <v>#N/A</v>
      </c>
      <c r="D254" t="e">
        <f t="shared" si="7"/>
        <v>#N/A</v>
      </c>
    </row>
    <row r="255" spans="1:4" x14ac:dyDescent="0.25">
      <c r="A255">
        <f>Sheet1!A271</f>
        <v>620</v>
      </c>
      <c r="B255" t="str">
        <f>Sheet1!B271</f>
        <v>Euronews</v>
      </c>
      <c r="C255" t="e">
        <f t="shared" si="6"/>
        <v>#N/A</v>
      </c>
      <c r="D255" t="e">
        <f t="shared" si="7"/>
        <v>#N/A</v>
      </c>
    </row>
    <row r="256" spans="1:4" x14ac:dyDescent="0.25">
      <c r="A256">
        <f>Sheet1!A272</f>
        <v>621</v>
      </c>
      <c r="B256" t="str">
        <f>Sheet1!B272</f>
        <v>NDTV 24x7</v>
      </c>
      <c r="C256" t="e">
        <f t="shared" si="6"/>
        <v>#N/A</v>
      </c>
      <c r="D256" t="e">
        <f t="shared" si="7"/>
        <v>#N/A</v>
      </c>
    </row>
    <row r="257" spans="1:4" x14ac:dyDescent="0.25">
      <c r="A257">
        <f>Sheet1!A273</f>
        <v>622</v>
      </c>
      <c r="B257" t="str">
        <f>Sheet1!B273</f>
        <v>Al Jazeera English</v>
      </c>
      <c r="C257" t="e">
        <f t="shared" si="6"/>
        <v>#N/A</v>
      </c>
      <c r="D257" t="e">
        <f t="shared" si="7"/>
        <v>#N/A</v>
      </c>
    </row>
    <row r="258" spans="1:4" x14ac:dyDescent="0.25">
      <c r="A258">
        <f>Sheet1!A274</f>
        <v>624</v>
      </c>
      <c r="B258" t="str">
        <f>Sheet1!B274</f>
        <v>France 24 English HD</v>
      </c>
      <c r="C258" t="e">
        <f t="shared" ref="C258:C321" si="8">VLOOKUP(TEXT(A258,"###"),NOV,2,FALSE)</f>
        <v>#N/A</v>
      </c>
      <c r="D258" t="e">
        <f t="shared" ref="D258:D321" si="9">IF(B258=C258,"","x")</f>
        <v>#N/A</v>
      </c>
    </row>
    <row r="259" spans="1:4" x14ac:dyDescent="0.25">
      <c r="A259">
        <f>Sheet1!A275</f>
        <v>625</v>
      </c>
      <c r="B259" t="str">
        <f>Sheet1!B275</f>
        <v>NHK World HD</v>
      </c>
      <c r="C259" t="e">
        <f t="shared" si="8"/>
        <v>#N/A</v>
      </c>
      <c r="D259" t="e">
        <f t="shared" si="9"/>
        <v>#N/A</v>
      </c>
    </row>
    <row r="260" spans="1:4" x14ac:dyDescent="0.25">
      <c r="A260">
        <f>Sheet1!A276</f>
        <v>700</v>
      </c>
      <c r="B260" t="str">
        <f>Sheet1!B276</f>
        <v>Kids TV on Demand</v>
      </c>
      <c r="C260" t="e">
        <f t="shared" si="8"/>
        <v>#N/A</v>
      </c>
      <c r="D260" t="e">
        <f t="shared" si="9"/>
        <v>#N/A</v>
      </c>
    </row>
    <row r="261" spans="1:4" x14ac:dyDescent="0.25">
      <c r="A261">
        <f>Sheet1!A277</f>
        <v>701</v>
      </c>
      <c r="B261" t="str">
        <f>Sheet1!B277</f>
        <v>CBBC</v>
      </c>
      <c r="C261" t="e">
        <f t="shared" si="8"/>
        <v>#N/A</v>
      </c>
      <c r="D261" t="e">
        <f t="shared" si="9"/>
        <v>#N/A</v>
      </c>
    </row>
    <row r="262" spans="1:4" x14ac:dyDescent="0.25">
      <c r="A262">
        <f>Sheet1!A278</f>
        <v>702</v>
      </c>
      <c r="B262" t="str">
        <f>Sheet1!B278</f>
        <v>CBeebies</v>
      </c>
      <c r="C262" t="e">
        <f t="shared" si="8"/>
        <v>#N/A</v>
      </c>
      <c r="D262" t="e">
        <f t="shared" si="9"/>
        <v>#N/A</v>
      </c>
    </row>
    <row r="263" spans="1:4" x14ac:dyDescent="0.25">
      <c r="A263">
        <f>Sheet1!A279</f>
        <v>703</v>
      </c>
      <c r="B263" t="str">
        <f>Sheet1!B279</f>
        <v>BabyTV</v>
      </c>
      <c r="C263" t="e">
        <f t="shared" si="8"/>
        <v>#N/A</v>
      </c>
      <c r="D263" t="e">
        <f t="shared" si="9"/>
        <v>#N/A</v>
      </c>
    </row>
    <row r="264" spans="1:4" x14ac:dyDescent="0.25">
      <c r="A264">
        <f>Sheet1!A280</f>
        <v>704</v>
      </c>
      <c r="B264" t="str">
        <f>Sheet1!B280</f>
        <v>Cartoon Network</v>
      </c>
      <c r="C264" t="e">
        <f t="shared" si="8"/>
        <v>#N/A</v>
      </c>
      <c r="D264" t="e">
        <f t="shared" si="9"/>
        <v>#N/A</v>
      </c>
    </row>
    <row r="265" spans="1:4" x14ac:dyDescent="0.25">
      <c r="A265">
        <f>Sheet1!A281</f>
        <v>705</v>
      </c>
      <c r="B265" t="str">
        <f>Sheet1!B281</f>
        <v>Cartoon Network +1</v>
      </c>
      <c r="C265" t="e">
        <f t="shared" si="8"/>
        <v>#N/A</v>
      </c>
      <c r="D265" t="e">
        <f t="shared" si="9"/>
        <v>#N/A</v>
      </c>
    </row>
    <row r="266" spans="1:4" x14ac:dyDescent="0.25">
      <c r="A266">
        <f>Sheet1!A282</f>
        <v>706</v>
      </c>
      <c r="B266" t="str">
        <f>Sheet1!B282</f>
        <v>Cartoonito</v>
      </c>
      <c r="C266" t="e">
        <f t="shared" si="8"/>
        <v>#N/A</v>
      </c>
      <c r="D266" t="e">
        <f t="shared" si="9"/>
        <v>#N/A</v>
      </c>
    </row>
    <row r="267" spans="1:4" x14ac:dyDescent="0.25">
      <c r="A267">
        <f>Sheet1!A283</f>
        <v>707</v>
      </c>
      <c r="B267" t="str">
        <f>Sheet1!B283</f>
        <v>Disney XD</v>
      </c>
      <c r="C267" t="e">
        <f t="shared" si="8"/>
        <v>#N/A</v>
      </c>
      <c r="D267" t="e">
        <f t="shared" si="9"/>
        <v>#N/A</v>
      </c>
    </row>
    <row r="268" spans="1:4" x14ac:dyDescent="0.25">
      <c r="A268">
        <f>Sheet1!A284</f>
        <v>710</v>
      </c>
      <c r="B268" t="str">
        <f>Sheet1!B284</f>
        <v>CBBC HD</v>
      </c>
      <c r="C268" t="e">
        <f t="shared" si="8"/>
        <v>#N/A</v>
      </c>
      <c r="D268" t="e">
        <f t="shared" si="9"/>
        <v>#N/A</v>
      </c>
    </row>
    <row r="269" spans="1:4" x14ac:dyDescent="0.25">
      <c r="A269">
        <f>Sheet1!A285</f>
        <v>711</v>
      </c>
      <c r="B269" t="str">
        <f>Sheet1!B285</f>
        <v>CBeebies HD</v>
      </c>
      <c r="C269" t="e">
        <f t="shared" si="8"/>
        <v>#N/A</v>
      </c>
      <c r="D269" t="e">
        <f t="shared" si="9"/>
        <v>#N/A</v>
      </c>
    </row>
    <row r="270" spans="1:4" x14ac:dyDescent="0.25">
      <c r="A270">
        <f>Sheet1!A286</f>
        <v>712</v>
      </c>
      <c r="B270" t="str">
        <f>Sheet1!B286</f>
        <v>Nickelodeon</v>
      </c>
      <c r="C270" t="e">
        <f t="shared" si="8"/>
        <v>#N/A</v>
      </c>
      <c r="D270" t="e">
        <f t="shared" si="9"/>
        <v>#N/A</v>
      </c>
    </row>
    <row r="271" spans="1:4" x14ac:dyDescent="0.25">
      <c r="A271">
        <f>Sheet1!A287</f>
        <v>713</v>
      </c>
      <c r="B271" t="str">
        <f>Sheet1!B287</f>
        <v>Nickelodeon +1</v>
      </c>
      <c r="C271" t="e">
        <f t="shared" si="8"/>
        <v>#N/A</v>
      </c>
      <c r="D271" t="e">
        <f t="shared" si="9"/>
        <v>#N/A</v>
      </c>
    </row>
    <row r="272" spans="1:4" x14ac:dyDescent="0.25">
      <c r="A272">
        <f>Sheet1!A288</f>
        <v>714</v>
      </c>
      <c r="B272" t="str">
        <f>Sheet1!B288</f>
        <v>Nickelodeon HD</v>
      </c>
      <c r="C272" t="e">
        <f t="shared" si="8"/>
        <v>#N/A</v>
      </c>
      <c r="D272" t="e">
        <f t="shared" si="9"/>
        <v>#N/A</v>
      </c>
    </row>
    <row r="273" spans="1:4" x14ac:dyDescent="0.25">
      <c r="A273">
        <f>Sheet1!A289</f>
        <v>715</v>
      </c>
      <c r="B273" t="str">
        <f>Sheet1!B289</f>
        <v>Nick Jr.</v>
      </c>
      <c r="C273" t="e">
        <f t="shared" si="8"/>
        <v>#N/A</v>
      </c>
      <c r="D273" t="e">
        <f t="shared" si="9"/>
        <v>#N/A</v>
      </c>
    </row>
    <row r="274" spans="1:4" x14ac:dyDescent="0.25">
      <c r="A274">
        <f>Sheet1!A290</f>
        <v>716</v>
      </c>
      <c r="B274" t="str">
        <f>Sheet1!B290</f>
        <v>Nick Jr. Too</v>
      </c>
      <c r="C274" t="e">
        <f t="shared" si="8"/>
        <v>#N/A</v>
      </c>
      <c r="D274" t="e">
        <f t="shared" si="9"/>
        <v>#N/A</v>
      </c>
    </row>
    <row r="275" spans="1:4" x14ac:dyDescent="0.25">
      <c r="A275">
        <f>Sheet1!A291</f>
        <v>717</v>
      </c>
      <c r="B275" t="str">
        <f>Sheet1!B291</f>
        <v>Nicktoons</v>
      </c>
      <c r="C275" t="e">
        <f t="shared" si="8"/>
        <v>#N/A</v>
      </c>
      <c r="D275" t="e">
        <f t="shared" si="9"/>
        <v>#N/A</v>
      </c>
    </row>
    <row r="276" spans="1:4" x14ac:dyDescent="0.25">
      <c r="A276">
        <f>Sheet1!A292</f>
        <v>724</v>
      </c>
      <c r="B276" t="str">
        <f>Sheet1!B292</f>
        <v>Disney Channel</v>
      </c>
      <c r="C276" t="e">
        <f t="shared" si="8"/>
        <v>#N/A</v>
      </c>
      <c r="D276" t="e">
        <f t="shared" si="9"/>
        <v>#N/A</v>
      </c>
    </row>
    <row r="277" spans="1:4" x14ac:dyDescent="0.25">
      <c r="A277">
        <f>Sheet1!A293</f>
        <v>725</v>
      </c>
      <c r="B277" t="str">
        <f>Sheet1!B293</f>
        <v>Disney Channel +1</v>
      </c>
      <c r="C277" t="e">
        <f t="shared" si="8"/>
        <v>#N/A</v>
      </c>
      <c r="D277" t="e">
        <f t="shared" si="9"/>
        <v>#N/A</v>
      </c>
    </row>
    <row r="278" spans="1:4" x14ac:dyDescent="0.25">
      <c r="A278">
        <f>Sheet1!A294</f>
        <v>727</v>
      </c>
      <c r="B278" t="str">
        <f>Sheet1!B294</f>
        <v>Disney Junior</v>
      </c>
      <c r="C278" t="e">
        <f t="shared" si="8"/>
        <v>#N/A</v>
      </c>
      <c r="D278" t="e">
        <f t="shared" si="9"/>
        <v>#N/A</v>
      </c>
    </row>
    <row r="279" spans="1:4" x14ac:dyDescent="0.25">
      <c r="A279">
        <f>Sheet1!A295</f>
        <v>730</v>
      </c>
      <c r="B279" t="str">
        <f>Sheet1!B295</f>
        <v>Boomerang</v>
      </c>
      <c r="C279" t="e">
        <f t="shared" si="8"/>
        <v>#N/A</v>
      </c>
      <c r="D279" t="e">
        <f t="shared" si="9"/>
        <v>#N/A</v>
      </c>
    </row>
    <row r="280" spans="1:4" x14ac:dyDescent="0.25">
      <c r="A280">
        <f>Sheet1!A296</f>
        <v>731</v>
      </c>
      <c r="B280" t="str">
        <f>Sheet1!B296</f>
        <v>Boomerang +1</v>
      </c>
      <c r="C280" t="e">
        <f t="shared" si="8"/>
        <v>#N/A</v>
      </c>
      <c r="D280" t="e">
        <f t="shared" si="9"/>
        <v>#N/A</v>
      </c>
    </row>
    <row r="281" spans="1:4" x14ac:dyDescent="0.25">
      <c r="A281">
        <f>Sheet1!A297</f>
        <v>732</v>
      </c>
      <c r="B281" t="str">
        <f>Sheet1!B297</f>
        <v>Cartoon Network HD</v>
      </c>
      <c r="C281" t="e">
        <f t="shared" si="8"/>
        <v>#N/A</v>
      </c>
      <c r="D281" t="e">
        <f t="shared" si="9"/>
        <v>#N/A</v>
      </c>
    </row>
    <row r="282" spans="1:4" x14ac:dyDescent="0.25">
      <c r="A282">
        <f>Sheet1!A298</f>
        <v>734</v>
      </c>
      <c r="B282" t="str">
        <f>Sheet1!B298</f>
        <v>CITV</v>
      </c>
      <c r="C282" t="e">
        <f t="shared" si="8"/>
        <v>#N/A</v>
      </c>
      <c r="D282" t="e">
        <f t="shared" si="9"/>
        <v>#N/A</v>
      </c>
    </row>
    <row r="283" spans="1:4" x14ac:dyDescent="0.25">
      <c r="A283">
        <f>Sheet1!A299</f>
        <v>736</v>
      </c>
      <c r="B283" t="str">
        <f>Sheet1!B299</f>
        <v>POP</v>
      </c>
      <c r="C283" t="e">
        <f t="shared" si="8"/>
        <v>#N/A</v>
      </c>
      <c r="D283" t="e">
        <f t="shared" si="9"/>
        <v>#N/A</v>
      </c>
    </row>
    <row r="284" spans="1:4" x14ac:dyDescent="0.25">
      <c r="A284">
        <f>Sheet1!A300</f>
        <v>737</v>
      </c>
      <c r="B284" t="str">
        <f>Sheet1!B300</f>
        <v>Tiny Pop</v>
      </c>
      <c r="C284" t="e">
        <f t="shared" si="8"/>
        <v>#N/A</v>
      </c>
      <c r="D284" t="e">
        <f t="shared" si="9"/>
        <v>#N/A</v>
      </c>
    </row>
    <row r="285" spans="1:4" x14ac:dyDescent="0.25">
      <c r="A285">
        <f>Sheet1!A302</f>
        <v>740</v>
      </c>
      <c r="B285" t="str">
        <f>Sheet1!B302</f>
        <v>QVC</v>
      </c>
      <c r="C285" t="e">
        <f t="shared" si="8"/>
        <v>#N/A</v>
      </c>
      <c r="D285" t="e">
        <f t="shared" si="9"/>
        <v>#N/A</v>
      </c>
    </row>
    <row r="286" spans="1:4" x14ac:dyDescent="0.25">
      <c r="A286">
        <f>Sheet1!A303</f>
        <v>741</v>
      </c>
      <c r="B286" t="str">
        <f>Sheet1!B303</f>
        <v>QVC Beauty</v>
      </c>
      <c r="C286" t="e">
        <f t="shared" si="8"/>
        <v>#N/A</v>
      </c>
      <c r="D286" t="e">
        <f t="shared" si="9"/>
        <v>#N/A</v>
      </c>
    </row>
    <row r="287" spans="1:4" x14ac:dyDescent="0.25">
      <c r="A287">
        <f>Sheet1!A304</f>
        <v>742</v>
      </c>
      <c r="B287" t="str">
        <f>Sheet1!B304</f>
        <v>QVC Style</v>
      </c>
      <c r="C287" t="e">
        <f t="shared" si="8"/>
        <v>#N/A</v>
      </c>
      <c r="D287" t="e">
        <f t="shared" si="9"/>
        <v>#N/A</v>
      </c>
    </row>
    <row r="288" spans="1:4" x14ac:dyDescent="0.25">
      <c r="A288">
        <f>Sheet1!A305</f>
        <v>747</v>
      </c>
      <c r="B288" t="str">
        <f>Sheet1!B305</f>
        <v>Ideal World</v>
      </c>
      <c r="C288" t="e">
        <f t="shared" si="8"/>
        <v>#N/A</v>
      </c>
      <c r="D288" t="e">
        <f t="shared" si="9"/>
        <v>#N/A</v>
      </c>
    </row>
    <row r="289" spans="1:4" x14ac:dyDescent="0.25">
      <c r="A289">
        <f>Sheet1!A306</f>
        <v>748</v>
      </c>
      <c r="B289" t="str">
        <f>Sheet1!B306</f>
        <v>Create and Craft</v>
      </c>
      <c r="C289" t="e">
        <f t="shared" si="8"/>
        <v>#N/A</v>
      </c>
      <c r="D289" t="e">
        <f t="shared" si="9"/>
        <v>#N/A</v>
      </c>
    </row>
    <row r="290" spans="1:4" x14ac:dyDescent="0.25">
      <c r="A290">
        <f>Sheet1!A307</f>
        <v>755</v>
      </c>
      <c r="B290" t="str">
        <f>Sheet1!B307</f>
        <v>Gems TV</v>
      </c>
      <c r="C290" t="e">
        <f t="shared" si="8"/>
        <v>#N/A</v>
      </c>
      <c r="D290" t="e">
        <f t="shared" si="9"/>
        <v>#N/A</v>
      </c>
    </row>
    <row r="291" spans="1:4" x14ac:dyDescent="0.25">
      <c r="A291">
        <f>Sheet1!A308</f>
        <v>756</v>
      </c>
      <c r="B291" t="str">
        <f>Sheet1!B308</f>
        <v>Jewellery Maker</v>
      </c>
      <c r="C291" t="e">
        <f t="shared" si="8"/>
        <v>#N/A</v>
      </c>
      <c r="D291" t="e">
        <f t="shared" si="9"/>
        <v>#N/A</v>
      </c>
    </row>
    <row r="292" spans="1:4" x14ac:dyDescent="0.25">
      <c r="A292">
        <f>Sheet1!A309</f>
        <v>757</v>
      </c>
      <c r="B292" t="str">
        <f>Sheet1!B309</f>
        <v>TJC</v>
      </c>
      <c r="C292" t="e">
        <f t="shared" si="8"/>
        <v>#N/A</v>
      </c>
      <c r="D292" t="e">
        <f t="shared" si="9"/>
        <v>#N/A</v>
      </c>
    </row>
    <row r="293" spans="1:4" x14ac:dyDescent="0.25">
      <c r="A293">
        <f>Sheet1!A310</f>
        <v>801</v>
      </c>
      <c r="B293" t="str">
        <f>Sheet1!B310</f>
        <v>Star Gold HD</v>
      </c>
      <c r="C293" t="e">
        <f t="shared" si="8"/>
        <v>#N/A</v>
      </c>
      <c r="D293" t="e">
        <f t="shared" si="9"/>
        <v>#N/A</v>
      </c>
    </row>
    <row r="294" spans="1:4" x14ac:dyDescent="0.25">
      <c r="A294">
        <f>Sheet1!A311</f>
        <v>803</v>
      </c>
      <c r="B294" t="str">
        <f>Sheet1!B311</f>
        <v>Star Plus HD</v>
      </c>
      <c r="C294" t="e">
        <f t="shared" si="8"/>
        <v>#N/A</v>
      </c>
      <c r="D294" t="e">
        <f t="shared" si="9"/>
        <v>#N/A</v>
      </c>
    </row>
    <row r="295" spans="1:4" x14ac:dyDescent="0.25">
      <c r="A295">
        <f>Sheet1!A312</f>
        <v>804</v>
      </c>
      <c r="B295" t="str">
        <f>Sheet1!B312</f>
        <v>Star Bharat</v>
      </c>
      <c r="C295" t="e">
        <f t="shared" si="8"/>
        <v>#N/A</v>
      </c>
      <c r="D295" t="e">
        <f t="shared" si="9"/>
        <v>#N/A</v>
      </c>
    </row>
    <row r="296" spans="1:4" x14ac:dyDescent="0.25">
      <c r="A296">
        <f>Sheet1!A313</f>
        <v>805</v>
      </c>
      <c r="B296" t="str">
        <f>Sheet1!B313</f>
        <v>Sony Entertainment Television Asia HD</v>
      </c>
      <c r="C296" t="e">
        <f t="shared" si="8"/>
        <v>#N/A</v>
      </c>
      <c r="D296" t="e">
        <f t="shared" si="9"/>
        <v>#N/A</v>
      </c>
    </row>
    <row r="297" spans="1:4" x14ac:dyDescent="0.25">
      <c r="A297">
        <f>Sheet1!A314</f>
        <v>806</v>
      </c>
      <c r="B297" t="str">
        <f>Sheet1!B314</f>
        <v>SONY Max HD</v>
      </c>
      <c r="C297" t="e">
        <f t="shared" si="8"/>
        <v>#N/A</v>
      </c>
      <c r="D297" t="e">
        <f t="shared" si="9"/>
        <v>#N/A</v>
      </c>
    </row>
    <row r="298" spans="1:4" x14ac:dyDescent="0.25">
      <c r="A298">
        <f>Sheet1!A315</f>
        <v>807</v>
      </c>
      <c r="B298" t="str">
        <f>Sheet1!B315</f>
        <v>SONY SAB</v>
      </c>
      <c r="C298" t="e">
        <f t="shared" si="8"/>
        <v>#N/A</v>
      </c>
      <c r="D298" t="e">
        <f t="shared" si="9"/>
        <v>#N/A</v>
      </c>
    </row>
    <row r="299" spans="1:4" x14ac:dyDescent="0.25">
      <c r="A299">
        <f>Sheet1!A316</f>
        <v>809</v>
      </c>
      <c r="B299" t="str">
        <f>Sheet1!B316</f>
        <v>Zee TV HD</v>
      </c>
      <c r="C299" t="e">
        <f t="shared" si="8"/>
        <v>#N/A</v>
      </c>
      <c r="D299" t="e">
        <f t="shared" si="9"/>
        <v>#N/A</v>
      </c>
    </row>
    <row r="300" spans="1:4" x14ac:dyDescent="0.25">
      <c r="A300">
        <f>Sheet1!A317</f>
        <v>810</v>
      </c>
      <c r="B300" t="str">
        <f>Sheet1!B317</f>
        <v>Zee Cinema HD</v>
      </c>
      <c r="C300" t="e">
        <f t="shared" si="8"/>
        <v>#N/A</v>
      </c>
      <c r="D300" t="e">
        <f t="shared" si="9"/>
        <v>#N/A</v>
      </c>
    </row>
    <row r="301" spans="1:4" x14ac:dyDescent="0.25">
      <c r="A301">
        <f>Sheet1!A318</f>
        <v>811</v>
      </c>
      <c r="B301" t="str">
        <f>Sheet1!B318</f>
        <v>&amp;TV</v>
      </c>
      <c r="C301" t="e">
        <f t="shared" si="8"/>
        <v>#N/A</v>
      </c>
      <c r="D301" t="e">
        <f t="shared" si="9"/>
        <v>#N/A</v>
      </c>
    </row>
    <row r="302" spans="1:4" x14ac:dyDescent="0.25">
      <c r="A302">
        <f>Sheet1!A319</f>
        <v>812</v>
      </c>
      <c r="B302" t="str">
        <f>Sheet1!B319</f>
        <v>Living Foodz HD</v>
      </c>
      <c r="C302" t="e">
        <f t="shared" si="8"/>
        <v>#N/A</v>
      </c>
      <c r="D302" t="e">
        <f t="shared" si="9"/>
        <v>#N/A</v>
      </c>
    </row>
    <row r="303" spans="1:4" x14ac:dyDescent="0.25">
      <c r="A303">
        <f>Sheet1!A320</f>
        <v>813</v>
      </c>
      <c r="B303" t="str">
        <f>Sheet1!B320</f>
        <v>Zing</v>
      </c>
      <c r="C303" t="e">
        <f t="shared" si="8"/>
        <v>#N/A</v>
      </c>
      <c r="D303" t="e">
        <f t="shared" si="9"/>
        <v>#N/A</v>
      </c>
    </row>
    <row r="304" spans="1:4" x14ac:dyDescent="0.25">
      <c r="A304">
        <f>Sheet1!A321</f>
        <v>815</v>
      </c>
      <c r="B304" t="str">
        <f>Sheet1!B321</f>
        <v>B4U Movies</v>
      </c>
      <c r="C304" t="e">
        <f t="shared" si="8"/>
        <v>#N/A</v>
      </c>
      <c r="D304" t="e">
        <f t="shared" si="9"/>
        <v>#N/A</v>
      </c>
    </row>
    <row r="305" spans="1:4" x14ac:dyDescent="0.25">
      <c r="A305">
        <f>Sheet1!A322</f>
        <v>816</v>
      </c>
      <c r="B305" t="str">
        <f>Sheet1!B322</f>
        <v>B4U Music</v>
      </c>
      <c r="C305" t="e">
        <f t="shared" si="8"/>
        <v>#N/A</v>
      </c>
      <c r="D305" t="e">
        <f t="shared" si="9"/>
        <v>#N/A</v>
      </c>
    </row>
    <row r="306" spans="1:4" x14ac:dyDescent="0.25">
      <c r="A306">
        <f>Sheet1!A323</f>
        <v>825</v>
      </c>
      <c r="B306" t="str">
        <f>Sheet1!B323</f>
        <v>TV5MONDE Europe</v>
      </c>
      <c r="C306" t="e">
        <f t="shared" si="8"/>
        <v>#N/A</v>
      </c>
      <c r="D306" t="e">
        <f t="shared" si="9"/>
        <v>#N/A</v>
      </c>
    </row>
    <row r="307" spans="1:4" x14ac:dyDescent="0.25">
      <c r="A307">
        <f>Sheet1!A324</f>
        <v>826</v>
      </c>
      <c r="B307" t="str">
        <f>Sheet1!B324</f>
        <v>Colors</v>
      </c>
      <c r="C307" t="e">
        <f t="shared" si="8"/>
        <v>#N/A</v>
      </c>
      <c r="D307" t="e">
        <f t="shared" si="9"/>
        <v>#N/A</v>
      </c>
    </row>
    <row r="308" spans="1:4" x14ac:dyDescent="0.25">
      <c r="A308">
        <f>Sheet1!A325</f>
        <v>827</v>
      </c>
      <c r="B308" t="str">
        <f>Sheet1!B325</f>
        <v>Rishtey</v>
      </c>
      <c r="C308" t="e">
        <f t="shared" si="8"/>
        <v>#N/A</v>
      </c>
      <c r="D308" t="e">
        <f t="shared" si="9"/>
        <v>#N/A</v>
      </c>
    </row>
    <row r="309" spans="1:4" x14ac:dyDescent="0.25">
      <c r="A309">
        <f>Sheet1!A326</f>
        <v>828</v>
      </c>
      <c r="B309" t="str">
        <f>Sheet1!B326</f>
        <v>Rishtey Cineplex</v>
      </c>
      <c r="C309" t="e">
        <f t="shared" si="8"/>
        <v>#N/A</v>
      </c>
      <c r="D309" t="e">
        <f t="shared" si="9"/>
        <v>#N/A</v>
      </c>
    </row>
    <row r="310" spans="1:4" x14ac:dyDescent="0.25">
      <c r="A310">
        <f>Sheet1!A327</f>
        <v>829</v>
      </c>
      <c r="B310" t="str">
        <f>Sheet1!B327</f>
        <v>NDTV Good Times</v>
      </c>
      <c r="C310" t="e">
        <f t="shared" si="8"/>
        <v>#N/A</v>
      </c>
      <c r="D310" t="e">
        <f t="shared" si="9"/>
        <v>#N/A</v>
      </c>
    </row>
    <row r="311" spans="1:4" x14ac:dyDescent="0.25">
      <c r="A311">
        <f>Sheet1!A328</f>
        <v>831</v>
      </c>
      <c r="B311" t="str">
        <f>Sheet1!B328</f>
        <v>Al Jazeera Arabic</v>
      </c>
      <c r="C311" t="e">
        <f t="shared" si="8"/>
        <v>#N/A</v>
      </c>
      <c r="D311" t="e">
        <f t="shared" si="9"/>
        <v>#N/A</v>
      </c>
    </row>
    <row r="312" spans="1:4" x14ac:dyDescent="0.25">
      <c r="A312">
        <f>Sheet1!A329</f>
        <v>832</v>
      </c>
      <c r="B312" t="str">
        <f>Sheet1!B329</f>
        <v>France 24 French HD</v>
      </c>
      <c r="C312" t="e">
        <f t="shared" si="8"/>
        <v>#N/A</v>
      </c>
      <c r="D312" t="e">
        <f t="shared" si="9"/>
        <v>#N/A</v>
      </c>
    </row>
    <row r="313" spans="1:4" x14ac:dyDescent="0.25">
      <c r="A313">
        <f>Sheet1!A330</f>
        <v>833</v>
      </c>
      <c r="B313" t="str">
        <f>Sheet1!B330</f>
        <v>Hum Europe</v>
      </c>
      <c r="C313" t="e">
        <f t="shared" si="8"/>
        <v>#N/A</v>
      </c>
      <c r="D313" t="e">
        <f t="shared" si="9"/>
        <v>#N/A</v>
      </c>
    </row>
    <row r="314" spans="1:4" x14ac:dyDescent="0.25">
      <c r="A314">
        <f>Sheet1!A331</f>
        <v>834</v>
      </c>
      <c r="B314" t="str">
        <f>Sheet1!B331</f>
        <v>Worldbox</v>
      </c>
      <c r="C314" t="e">
        <f t="shared" si="8"/>
        <v>#N/A</v>
      </c>
      <c r="D314" t="e">
        <f t="shared" si="9"/>
        <v>#N/A</v>
      </c>
    </row>
    <row r="315" spans="1:4" x14ac:dyDescent="0.25">
      <c r="A315">
        <f>Sheet1!A332</f>
        <v>836</v>
      </c>
      <c r="B315" t="str">
        <f>Sheet1!B332</f>
        <v>NDTV India</v>
      </c>
      <c r="C315" t="e">
        <f t="shared" si="8"/>
        <v>#N/A</v>
      </c>
      <c r="D315" t="e">
        <f t="shared" si="9"/>
        <v>#N/A</v>
      </c>
    </row>
    <row r="316" spans="1:4" x14ac:dyDescent="0.25">
      <c r="A316">
        <f>Sheet1!A333</f>
        <v>837</v>
      </c>
      <c r="B316" t="str">
        <f>Sheet1!B333</f>
        <v>NDTV Spice</v>
      </c>
      <c r="C316" t="e">
        <f t="shared" si="8"/>
        <v>#N/A</v>
      </c>
      <c r="D316" t="e">
        <f t="shared" si="9"/>
        <v>#N/A</v>
      </c>
    </row>
    <row r="317" spans="1:4" x14ac:dyDescent="0.25">
      <c r="A317">
        <f>Sheet1!A334</f>
        <v>838</v>
      </c>
      <c r="B317" t="str">
        <f>Sheet1!B334</f>
        <v>Islam Channel</v>
      </c>
      <c r="C317" t="e">
        <f t="shared" si="8"/>
        <v>#N/A</v>
      </c>
      <c r="D317" t="e">
        <f t="shared" si="9"/>
        <v>#N/A</v>
      </c>
    </row>
    <row r="318" spans="1:4" x14ac:dyDescent="0.25">
      <c r="A318">
        <f>Sheet1!A335</f>
        <v>839</v>
      </c>
      <c r="B318" t="str">
        <f>Sheet1!B335</f>
        <v>Islam Channel Urdu</v>
      </c>
      <c r="C318" t="e">
        <f t="shared" si="8"/>
        <v>#N/A</v>
      </c>
      <c r="D318" t="e">
        <f t="shared" si="9"/>
        <v>#N/A</v>
      </c>
    </row>
    <row r="319" spans="1:4" x14ac:dyDescent="0.25">
      <c r="A319">
        <f>Sheet1!A336</f>
        <v>840</v>
      </c>
      <c r="B319" t="str">
        <f>Sheet1!B336</f>
        <v>Brit Asia TV</v>
      </c>
      <c r="C319" t="e">
        <f t="shared" si="8"/>
        <v>#N/A</v>
      </c>
      <c r="D319" t="e">
        <f t="shared" si="9"/>
        <v>#N/A</v>
      </c>
    </row>
    <row r="320" spans="1:4" x14ac:dyDescent="0.25">
      <c r="A320">
        <f>Sheet1!A337</f>
        <v>841</v>
      </c>
      <c r="B320" t="str">
        <f>Sheet1!B337</f>
        <v>MTV Beats</v>
      </c>
      <c r="C320" t="e">
        <f t="shared" si="8"/>
        <v>#N/A</v>
      </c>
      <c r="D320" t="e">
        <f t="shared" si="9"/>
        <v>#N/A</v>
      </c>
    </row>
    <row r="321" spans="1:4" x14ac:dyDescent="0.25">
      <c r="A321">
        <f>Sheet1!A338</f>
        <v>842</v>
      </c>
      <c r="B321" t="str">
        <f>Sheet1!B338</f>
        <v>ABN TV</v>
      </c>
      <c r="C321" t="e">
        <f t="shared" si="8"/>
        <v>#N/A</v>
      </c>
      <c r="D321" t="e">
        <f t="shared" si="9"/>
        <v>#N/A</v>
      </c>
    </row>
    <row r="322" spans="1:4" x14ac:dyDescent="0.25">
      <c r="A322">
        <f>Sheet1!A339</f>
        <v>851</v>
      </c>
      <c r="B322" t="str">
        <f>Sheet1!B339</f>
        <v>BBC One AD</v>
      </c>
      <c r="C322" t="e">
        <f t="shared" ref="C322:C385" si="10">VLOOKUP(TEXT(A322,"###"),NOV,2,FALSE)</f>
        <v>#N/A</v>
      </c>
      <c r="D322" t="e">
        <f t="shared" ref="D322:D385" si="11">IF(B322=C322,"","x")</f>
        <v>#N/A</v>
      </c>
    </row>
    <row r="323" spans="1:4" x14ac:dyDescent="0.25">
      <c r="A323">
        <f>Sheet1!A340</f>
        <v>852</v>
      </c>
      <c r="B323" t="str">
        <f>Sheet1!B340</f>
        <v>BBC Two AD</v>
      </c>
      <c r="C323" t="e">
        <f t="shared" si="10"/>
        <v>#N/A</v>
      </c>
      <c r="D323" t="e">
        <f t="shared" si="11"/>
        <v>#N/A</v>
      </c>
    </row>
    <row r="324" spans="1:4" x14ac:dyDescent="0.25">
      <c r="A324">
        <f>Sheet1!A341</f>
        <v>853</v>
      </c>
      <c r="B324" t="str">
        <f>Sheet1!B341</f>
        <v>ITV AD</v>
      </c>
      <c r="C324" t="e">
        <f t="shared" si="10"/>
        <v>#N/A</v>
      </c>
      <c r="D324" t="e">
        <f t="shared" si="11"/>
        <v>#N/A</v>
      </c>
    </row>
    <row r="325" spans="1:4" x14ac:dyDescent="0.25">
      <c r="A325">
        <f>Sheet1!A342</f>
        <v>854</v>
      </c>
      <c r="B325" t="str">
        <f>Sheet1!B342</f>
        <v>Channel 4 AD</v>
      </c>
      <c r="C325" t="e">
        <f t="shared" si="10"/>
        <v>#N/A</v>
      </c>
      <c r="D325" t="e">
        <f t="shared" si="11"/>
        <v>#N/A</v>
      </c>
    </row>
    <row r="326" spans="1:4" x14ac:dyDescent="0.25">
      <c r="A326">
        <f>Sheet1!A343</f>
        <v>855</v>
      </c>
      <c r="B326" t="str">
        <f>Sheet1!B343</f>
        <v>Channel 5 AD</v>
      </c>
      <c r="C326" t="e">
        <f t="shared" si="10"/>
        <v>#N/A</v>
      </c>
      <c r="D326" t="e">
        <f t="shared" si="11"/>
        <v>#N/A</v>
      </c>
    </row>
    <row r="327" spans="1:4" x14ac:dyDescent="0.25">
      <c r="A327">
        <f>Sheet1!A344</f>
        <v>856</v>
      </c>
      <c r="B327" t="str">
        <f>Sheet1!B344</f>
        <v>S4C AD</v>
      </c>
      <c r="C327" t="e">
        <f t="shared" si="10"/>
        <v>#N/A</v>
      </c>
      <c r="D327" t="e">
        <f t="shared" si="11"/>
        <v>#N/A</v>
      </c>
    </row>
    <row r="328" spans="1:4" x14ac:dyDescent="0.25">
      <c r="A328">
        <f>Sheet1!A346</f>
        <v>861</v>
      </c>
      <c r="B328" t="str">
        <f>Sheet1!B346</f>
        <v>BBC One London</v>
      </c>
      <c r="C328" t="e">
        <f t="shared" si="10"/>
        <v>#N/A</v>
      </c>
      <c r="D328" t="e">
        <f t="shared" si="11"/>
        <v>#N/A</v>
      </c>
    </row>
    <row r="329" spans="1:4" x14ac:dyDescent="0.25">
      <c r="A329">
        <f>Sheet1!A347</f>
        <v>862</v>
      </c>
      <c r="B329" t="str">
        <f>Sheet1!B347</f>
        <v>BBC One Scotland</v>
      </c>
      <c r="C329" t="e">
        <f t="shared" si="10"/>
        <v>#N/A</v>
      </c>
      <c r="D329" t="e">
        <f t="shared" si="11"/>
        <v>#N/A</v>
      </c>
    </row>
    <row r="330" spans="1:4" x14ac:dyDescent="0.25">
      <c r="A330">
        <f>Sheet1!A348</f>
        <v>863</v>
      </c>
      <c r="B330" t="str">
        <f>Sheet1!B348</f>
        <v>BBC One Northern Ireland</v>
      </c>
      <c r="C330" t="e">
        <f t="shared" si="10"/>
        <v>#N/A</v>
      </c>
      <c r="D330" t="e">
        <f t="shared" si="11"/>
        <v>#N/A</v>
      </c>
    </row>
    <row r="331" spans="1:4" x14ac:dyDescent="0.25">
      <c r="A331">
        <f>Sheet1!A349</f>
        <v>864</v>
      </c>
      <c r="B331" t="str">
        <f>Sheet1!B349</f>
        <v>BBC One Wales</v>
      </c>
      <c r="C331" t="e">
        <f t="shared" si="10"/>
        <v>#N/A</v>
      </c>
      <c r="D331" t="e">
        <f t="shared" si="11"/>
        <v>#N/A</v>
      </c>
    </row>
    <row r="332" spans="1:4" x14ac:dyDescent="0.25">
      <c r="A332">
        <f>Sheet1!A350</f>
        <v>865</v>
      </c>
      <c r="B332" t="str">
        <f>Sheet1!B350</f>
        <v>BBC Two England</v>
      </c>
      <c r="C332" t="e">
        <f t="shared" si="10"/>
        <v>#N/A</v>
      </c>
      <c r="D332" t="e">
        <f t="shared" si="11"/>
        <v>#N/A</v>
      </c>
    </row>
    <row r="333" spans="1:4" x14ac:dyDescent="0.25">
      <c r="A333">
        <f>Sheet1!A353</f>
        <v>875</v>
      </c>
      <c r="B333" t="str">
        <f>Sheet1!B353</f>
        <v>RTÉ One</v>
      </c>
      <c r="C333" t="e">
        <f t="shared" si="10"/>
        <v>#N/A</v>
      </c>
      <c r="D333" t="e">
        <f t="shared" si="11"/>
        <v>#N/A</v>
      </c>
    </row>
    <row r="334" spans="1:4" x14ac:dyDescent="0.25">
      <c r="A334">
        <f>Sheet1!A354</f>
        <v>876</v>
      </c>
      <c r="B334" t="str">
        <f>Sheet1!B354</f>
        <v>RTÉ 2</v>
      </c>
      <c r="C334" t="e">
        <f t="shared" si="10"/>
        <v>#N/A</v>
      </c>
      <c r="D334" t="e">
        <f t="shared" si="11"/>
        <v>#N/A</v>
      </c>
    </row>
    <row r="335" spans="1:4" x14ac:dyDescent="0.25">
      <c r="A335">
        <f>Sheet1!A355</f>
        <v>877</v>
      </c>
      <c r="B335" t="str">
        <f>Sheet1!B355</f>
        <v>TG4</v>
      </c>
      <c r="C335" t="e">
        <f t="shared" si="10"/>
        <v>#N/A</v>
      </c>
      <c r="D335" t="e">
        <f t="shared" si="11"/>
        <v>#N/A</v>
      </c>
    </row>
    <row r="336" spans="1:4" x14ac:dyDescent="0.25">
      <c r="A336">
        <f>Sheet1!A356</f>
        <v>901</v>
      </c>
      <c r="B336" t="str">
        <f>Sheet1!B356</f>
        <v>BBC Radio 1</v>
      </c>
      <c r="C336" t="e">
        <f t="shared" si="10"/>
        <v>#N/A</v>
      </c>
      <c r="D336" t="e">
        <f t="shared" si="11"/>
        <v>#N/A</v>
      </c>
    </row>
    <row r="337" spans="1:4" x14ac:dyDescent="0.25">
      <c r="A337">
        <f>Sheet1!A357</f>
        <v>902</v>
      </c>
      <c r="B337" t="str">
        <f>Sheet1!B357</f>
        <v>BBC Radio 2</v>
      </c>
      <c r="C337" t="e">
        <f t="shared" si="10"/>
        <v>#N/A</v>
      </c>
      <c r="D337" t="e">
        <f t="shared" si="11"/>
        <v>#N/A</v>
      </c>
    </row>
    <row r="338" spans="1:4" x14ac:dyDescent="0.25">
      <c r="A338">
        <f>Sheet1!A358</f>
        <v>903</v>
      </c>
      <c r="B338" t="str">
        <f>Sheet1!B358</f>
        <v>BBC Radio 3</v>
      </c>
      <c r="C338" t="e">
        <f t="shared" si="10"/>
        <v>#N/A</v>
      </c>
      <c r="D338" t="e">
        <f t="shared" si="11"/>
        <v>#N/A</v>
      </c>
    </row>
    <row r="339" spans="1:4" x14ac:dyDescent="0.25">
      <c r="A339">
        <f>Sheet1!A359</f>
        <v>904</v>
      </c>
      <c r="B339" t="str">
        <f>Sheet1!B359</f>
        <v>BBC Radio 4</v>
      </c>
      <c r="C339" t="e">
        <f t="shared" si="10"/>
        <v>#N/A</v>
      </c>
      <c r="D339" t="e">
        <f t="shared" si="11"/>
        <v>#N/A</v>
      </c>
    </row>
    <row r="340" spans="1:4" x14ac:dyDescent="0.25">
      <c r="A340">
        <f>Sheet1!A360</f>
        <v>905</v>
      </c>
      <c r="B340" t="str">
        <f>Sheet1!B360</f>
        <v>BBC Radio 5 Live</v>
      </c>
      <c r="C340" t="e">
        <f t="shared" si="10"/>
        <v>#N/A</v>
      </c>
      <c r="D340" t="e">
        <f t="shared" si="11"/>
        <v>#N/A</v>
      </c>
    </row>
    <row r="341" spans="1:4" x14ac:dyDescent="0.25">
      <c r="A341">
        <f>Sheet1!A361</f>
        <v>906</v>
      </c>
      <c r="B341" t="str">
        <f>Sheet1!B361</f>
        <v>BBC World Service</v>
      </c>
      <c r="C341" t="e">
        <f t="shared" si="10"/>
        <v>#N/A</v>
      </c>
      <c r="D341" t="e">
        <f t="shared" si="11"/>
        <v>#N/A</v>
      </c>
    </row>
    <row r="342" spans="1:4" x14ac:dyDescent="0.25">
      <c r="A342">
        <f>Sheet1!A362</f>
        <v>907</v>
      </c>
      <c r="B342" t="str">
        <f>Sheet1!B362</f>
        <v>BBC Radio 1Xtra</v>
      </c>
      <c r="C342" t="e">
        <f t="shared" si="10"/>
        <v>#N/A</v>
      </c>
      <c r="D342" t="e">
        <f t="shared" si="11"/>
        <v>#N/A</v>
      </c>
    </row>
    <row r="343" spans="1:4" x14ac:dyDescent="0.25">
      <c r="A343">
        <f>Sheet1!A363</f>
        <v>908</v>
      </c>
      <c r="B343" t="str">
        <f>Sheet1!B363</f>
        <v>BBC Radio 5 Live Sports Extra</v>
      </c>
      <c r="C343" t="e">
        <f t="shared" si="10"/>
        <v>#N/A</v>
      </c>
      <c r="D343" t="e">
        <f t="shared" si="11"/>
        <v>#N/A</v>
      </c>
    </row>
    <row r="344" spans="1:4" x14ac:dyDescent="0.25">
      <c r="A344">
        <f>Sheet1!A364</f>
        <v>909</v>
      </c>
      <c r="B344" t="str">
        <f>Sheet1!B364</f>
        <v>BBC Radio 6 Music</v>
      </c>
      <c r="C344" t="e">
        <f t="shared" si="10"/>
        <v>#N/A</v>
      </c>
      <c r="D344" t="e">
        <f t="shared" si="11"/>
        <v>#N/A</v>
      </c>
    </row>
    <row r="345" spans="1:4" x14ac:dyDescent="0.25">
      <c r="A345">
        <f>Sheet1!A365</f>
        <v>910</v>
      </c>
      <c r="B345" t="str">
        <f>Sheet1!B365</f>
        <v>BBC Radio 4 Extra</v>
      </c>
      <c r="C345" t="e">
        <f t="shared" si="10"/>
        <v>#N/A</v>
      </c>
      <c r="D345" t="e">
        <f t="shared" si="11"/>
        <v>#N/A</v>
      </c>
    </row>
    <row r="346" spans="1:4" x14ac:dyDescent="0.25">
      <c r="A346">
        <f>Sheet1!A366</f>
        <v>911</v>
      </c>
      <c r="B346" t="str">
        <f>Sheet1!B366</f>
        <v>BBC Radio 4 LW</v>
      </c>
      <c r="C346" t="e">
        <f t="shared" si="10"/>
        <v>#N/A</v>
      </c>
      <c r="D346" t="e">
        <f t="shared" si="11"/>
        <v>#N/A</v>
      </c>
    </row>
    <row r="347" spans="1:4" x14ac:dyDescent="0.25">
      <c r="A347">
        <f>Sheet1!A367</f>
        <v>912</v>
      </c>
      <c r="B347" t="str">
        <f>Sheet1!B367</f>
        <v>BBC Asian Network</v>
      </c>
      <c r="C347" t="e">
        <f t="shared" si="10"/>
        <v>#N/A</v>
      </c>
      <c r="D347" t="e">
        <f t="shared" si="11"/>
        <v>#N/A</v>
      </c>
    </row>
    <row r="348" spans="1:4" x14ac:dyDescent="0.25">
      <c r="A348">
        <f>Sheet1!A368</f>
        <v>915</v>
      </c>
      <c r="B348" t="str">
        <f>Sheet1!B368</f>
        <v>Absolute Radio</v>
      </c>
      <c r="C348" t="e">
        <f t="shared" si="10"/>
        <v>#N/A</v>
      </c>
      <c r="D348" t="e">
        <f t="shared" si="11"/>
        <v>#N/A</v>
      </c>
    </row>
    <row r="349" spans="1:4" x14ac:dyDescent="0.25">
      <c r="A349">
        <f>Sheet1!A369</f>
        <v>916</v>
      </c>
      <c r="B349" t="str">
        <f>Sheet1!B369</f>
        <v>Smooth Radio</v>
      </c>
      <c r="C349" t="e">
        <f t="shared" si="10"/>
        <v>#N/A</v>
      </c>
      <c r="D349" t="e">
        <f t="shared" si="11"/>
        <v>#N/A</v>
      </c>
    </row>
    <row r="350" spans="1:4" x14ac:dyDescent="0.25">
      <c r="A350">
        <f>Sheet1!A370</f>
        <v>917</v>
      </c>
      <c r="B350" t="str">
        <f>Sheet1!B370</f>
        <v>RTÉ Radio 1</v>
      </c>
      <c r="C350" t="e">
        <f t="shared" si="10"/>
        <v>#N/A</v>
      </c>
      <c r="D350" t="e">
        <f t="shared" si="11"/>
        <v>#N/A</v>
      </c>
    </row>
    <row r="351" spans="1:4" x14ac:dyDescent="0.25">
      <c r="A351">
        <f>Sheet1!A371</f>
        <v>918</v>
      </c>
      <c r="B351" t="str">
        <f>Sheet1!B371</f>
        <v>Heart London</v>
      </c>
      <c r="C351" t="e">
        <f t="shared" si="10"/>
        <v>#N/A</v>
      </c>
      <c r="D351" t="e">
        <f t="shared" si="11"/>
        <v>#N/A</v>
      </c>
    </row>
    <row r="352" spans="1:4" x14ac:dyDescent="0.25">
      <c r="A352">
        <f>Sheet1!A372</f>
        <v>919</v>
      </c>
      <c r="B352" t="str">
        <f>Sheet1!B372</f>
        <v>LBC</v>
      </c>
      <c r="C352" t="e">
        <f t="shared" si="10"/>
        <v>#N/A</v>
      </c>
      <c r="D352" t="e">
        <f t="shared" si="11"/>
        <v>#N/A</v>
      </c>
    </row>
    <row r="353" spans="1:4" x14ac:dyDescent="0.25">
      <c r="A353">
        <f>Sheet1!A373</f>
        <v>920</v>
      </c>
      <c r="B353" t="str">
        <f>Sheet1!B373</f>
        <v>WRN Broadcast</v>
      </c>
      <c r="C353" t="e">
        <f t="shared" si="10"/>
        <v>#N/A</v>
      </c>
      <c r="D353" t="e">
        <f t="shared" si="11"/>
        <v>#N/A</v>
      </c>
    </row>
    <row r="354" spans="1:4" x14ac:dyDescent="0.25">
      <c r="A354">
        <f>Sheet1!A374</f>
        <v>921</v>
      </c>
      <c r="B354" t="str">
        <f>Sheet1!B374</f>
        <v>Heart 80s</v>
      </c>
      <c r="C354" t="e">
        <f t="shared" si="10"/>
        <v>#N/A</v>
      </c>
      <c r="D354" t="e">
        <f t="shared" si="11"/>
        <v>#N/A</v>
      </c>
    </row>
    <row r="355" spans="1:4" x14ac:dyDescent="0.25">
      <c r="A355">
        <f>Sheet1!A375</f>
        <v>922</v>
      </c>
      <c r="B355" t="str">
        <f>Sheet1!B375</f>
        <v>Classic FM</v>
      </c>
      <c r="C355" t="e">
        <f t="shared" si="10"/>
        <v>#N/A</v>
      </c>
      <c r="D355" t="e">
        <f t="shared" si="11"/>
        <v>#N/A</v>
      </c>
    </row>
    <row r="356" spans="1:4" x14ac:dyDescent="0.25">
      <c r="A356">
        <f>Sheet1!A376</f>
        <v>923</v>
      </c>
      <c r="B356" t="str">
        <f>Sheet1!B376</f>
        <v>Gold</v>
      </c>
      <c r="C356" t="e">
        <f t="shared" si="10"/>
        <v>#N/A</v>
      </c>
      <c r="D356" t="e">
        <f t="shared" si="11"/>
        <v>#N/A</v>
      </c>
    </row>
    <row r="357" spans="1:4" x14ac:dyDescent="0.25">
      <c r="A357">
        <f>Sheet1!A377</f>
        <v>924</v>
      </c>
      <c r="B357" t="str">
        <f>Sheet1!B377</f>
        <v>Planet Rock</v>
      </c>
      <c r="C357" t="e">
        <f t="shared" si="10"/>
        <v>#N/A</v>
      </c>
      <c r="D357" t="e">
        <f t="shared" si="11"/>
        <v>#N/A</v>
      </c>
    </row>
    <row r="358" spans="1:4" x14ac:dyDescent="0.25">
      <c r="A358">
        <f>Sheet1!A378</f>
        <v>927</v>
      </c>
      <c r="B358" t="str">
        <f>Sheet1!B378</f>
        <v>Talksport</v>
      </c>
      <c r="C358" t="e">
        <f t="shared" si="10"/>
        <v>#N/A</v>
      </c>
      <c r="D358" t="e">
        <f t="shared" si="11"/>
        <v>#N/A</v>
      </c>
    </row>
    <row r="359" spans="1:4" x14ac:dyDescent="0.25">
      <c r="A359">
        <f>Sheet1!A379</f>
        <v>928</v>
      </c>
      <c r="B359" t="str">
        <f>Sheet1!B379</f>
        <v>Magic</v>
      </c>
      <c r="C359" t="e">
        <f t="shared" si="10"/>
        <v>#N/A</v>
      </c>
      <c r="D359" t="e">
        <f t="shared" si="11"/>
        <v>#N/A</v>
      </c>
    </row>
    <row r="360" spans="1:4" x14ac:dyDescent="0.25">
      <c r="A360">
        <f>Sheet1!A380</f>
        <v>930</v>
      </c>
      <c r="B360" t="str">
        <f>Sheet1!B380</f>
        <v>BBC Radio Scotland</v>
      </c>
      <c r="C360" t="e">
        <f t="shared" si="10"/>
        <v>#N/A</v>
      </c>
      <c r="D360" t="e">
        <f t="shared" si="11"/>
        <v>#N/A</v>
      </c>
    </row>
    <row r="361" spans="1:4" x14ac:dyDescent="0.25">
      <c r="A361">
        <f>Sheet1!A381</f>
        <v>931</v>
      </c>
      <c r="B361" t="str">
        <f>Sheet1!B381</f>
        <v>BBC Radio Wales</v>
      </c>
      <c r="C361" t="e">
        <f t="shared" si="10"/>
        <v>#N/A</v>
      </c>
      <c r="D361" t="e">
        <f t="shared" si="11"/>
        <v>#N/A</v>
      </c>
    </row>
    <row r="362" spans="1:4" x14ac:dyDescent="0.25">
      <c r="A362">
        <f>Sheet1!A382</f>
        <v>932</v>
      </c>
      <c r="B362" t="str">
        <f>Sheet1!B382</f>
        <v>BBC Radio Ulster</v>
      </c>
      <c r="C362" t="e">
        <f t="shared" si="10"/>
        <v>#N/A</v>
      </c>
      <c r="D362" t="e">
        <f t="shared" si="11"/>
        <v>#N/A</v>
      </c>
    </row>
    <row r="363" spans="1:4" x14ac:dyDescent="0.25">
      <c r="A363">
        <f>Sheet1!A384</f>
        <v>934</v>
      </c>
      <c r="B363" t="str">
        <f>Sheet1!B384</f>
        <v>BBC Radio nan Gàidheal</v>
      </c>
      <c r="C363" t="e">
        <f t="shared" si="10"/>
        <v>#N/A</v>
      </c>
      <c r="D363" t="e">
        <f t="shared" si="11"/>
        <v>#N/A</v>
      </c>
    </row>
    <row r="364" spans="1:4" x14ac:dyDescent="0.25">
      <c r="A364">
        <f>Sheet1!A385</f>
        <v>936</v>
      </c>
      <c r="B364" t="str">
        <f>Sheet1!B385</f>
        <v>BBC Radio Cymru</v>
      </c>
      <c r="C364" t="e">
        <f t="shared" si="10"/>
        <v>#N/A</v>
      </c>
      <c r="D364" t="e">
        <f t="shared" si="11"/>
        <v>#N/A</v>
      </c>
    </row>
    <row r="365" spans="1:4" x14ac:dyDescent="0.25">
      <c r="A365">
        <f>Sheet1!A386</f>
        <v>937</v>
      </c>
      <c r="B365" t="str">
        <f>Sheet1!B386</f>
        <v>BBC London</v>
      </c>
      <c r="C365" t="e">
        <f t="shared" si="10"/>
        <v>#N/A</v>
      </c>
      <c r="D365" t="e">
        <f t="shared" si="11"/>
        <v>#N/A</v>
      </c>
    </row>
    <row r="366" spans="1:4" x14ac:dyDescent="0.25">
      <c r="A366">
        <f>Sheet1!A387</f>
        <v>951</v>
      </c>
      <c r="B366" t="str">
        <f>Sheet1!B387</f>
        <v>Absolute 80s</v>
      </c>
      <c r="C366" t="e">
        <f t="shared" si="10"/>
        <v>#N/A</v>
      </c>
      <c r="D366" t="e">
        <f t="shared" si="11"/>
        <v>#N/A</v>
      </c>
    </row>
    <row r="367" spans="1:4" x14ac:dyDescent="0.25">
      <c r="A367">
        <f>Sheet1!A388</f>
        <v>952</v>
      </c>
      <c r="B367" t="str">
        <f>Sheet1!B388</f>
        <v>Absolute Classic Rock</v>
      </c>
      <c r="C367" t="e">
        <f t="shared" si="10"/>
        <v>#N/A</v>
      </c>
      <c r="D367" t="e">
        <f t="shared" si="11"/>
        <v>#N/A</v>
      </c>
    </row>
    <row r="368" spans="1:4" x14ac:dyDescent="0.25">
      <c r="A368">
        <f>Sheet1!A389</f>
        <v>958</v>
      </c>
      <c r="B368" t="str">
        <f>Sheet1!B389</f>
        <v>Capital London</v>
      </c>
      <c r="C368" t="e">
        <f t="shared" si="10"/>
        <v>#N/A</v>
      </c>
      <c r="D368" t="e">
        <f t="shared" si="11"/>
        <v>#N/A</v>
      </c>
    </row>
    <row r="369" spans="1:4" x14ac:dyDescent="0.25">
      <c r="A369">
        <f>Sheet1!A390</f>
        <v>959</v>
      </c>
      <c r="B369" t="str">
        <f>Sheet1!B390</f>
        <v>Capital XTRA</v>
      </c>
      <c r="C369" t="e">
        <f t="shared" si="10"/>
        <v>#N/A</v>
      </c>
      <c r="D369" t="e">
        <f t="shared" si="11"/>
        <v>#N/A</v>
      </c>
    </row>
    <row r="370" spans="1:4" x14ac:dyDescent="0.25">
      <c r="A370">
        <f>Sheet1!A391</f>
        <v>960</v>
      </c>
      <c r="B370" t="str">
        <f>Sheet1!B391</f>
        <v>Radio X</v>
      </c>
      <c r="C370" t="e">
        <f t="shared" si="10"/>
        <v>#N/A</v>
      </c>
      <c r="D370" t="e">
        <f t="shared" si="11"/>
        <v>#N/A</v>
      </c>
    </row>
    <row r="371" spans="1:4" x14ac:dyDescent="0.25">
      <c r="A371">
        <f>Sheet1!A392</f>
        <v>963</v>
      </c>
      <c r="B371" t="str">
        <f>Sheet1!B392</f>
        <v>Kiss</v>
      </c>
      <c r="C371" t="e">
        <f t="shared" si="10"/>
        <v>#N/A</v>
      </c>
      <c r="D371" t="e">
        <f t="shared" si="11"/>
        <v>#N/A</v>
      </c>
    </row>
    <row r="372" spans="1:4" x14ac:dyDescent="0.25">
      <c r="A372">
        <f>Sheet1!A393</f>
        <v>968</v>
      </c>
      <c r="B372" t="str">
        <f>Sheet1!B393</f>
        <v>A Message for Parents</v>
      </c>
      <c r="C372" t="e">
        <f t="shared" si="10"/>
        <v>#N/A</v>
      </c>
      <c r="D372" t="e">
        <f t="shared" si="11"/>
        <v>#N/A</v>
      </c>
    </row>
    <row r="373" spans="1:4" x14ac:dyDescent="0.25">
      <c r="A373">
        <f>Sheet1!A394</f>
        <v>969</v>
      </c>
      <c r="B373" t="str">
        <f>Sheet1!B394</f>
        <v>Adult Previews</v>
      </c>
      <c r="C373" t="e">
        <f t="shared" si="10"/>
        <v>#N/A</v>
      </c>
      <c r="D373" t="e">
        <f t="shared" si="11"/>
        <v>#N/A</v>
      </c>
    </row>
    <row r="374" spans="1:4" x14ac:dyDescent="0.25">
      <c r="A374">
        <f>Sheet1!A395</f>
        <v>970</v>
      </c>
      <c r="B374" t="str">
        <f>Sheet1!B395</f>
        <v>Television X Nightly</v>
      </c>
      <c r="C374" t="e">
        <f t="shared" si="10"/>
        <v>#N/A</v>
      </c>
      <c r="D374" t="e">
        <f t="shared" si="11"/>
        <v>#N/A</v>
      </c>
    </row>
    <row r="375" spans="1:4" x14ac:dyDescent="0.25">
      <c r="A375">
        <f>Sheet1!A397</f>
        <v>972</v>
      </c>
      <c r="B375" t="str">
        <f>Sheet1!B397</f>
        <v>Adult Channel Nightly</v>
      </c>
      <c r="C375" t="e">
        <f t="shared" si="10"/>
        <v>#N/A</v>
      </c>
      <c r="D375" t="e">
        <f t="shared" si="11"/>
        <v>#N/A</v>
      </c>
    </row>
    <row r="376" spans="1:4" x14ac:dyDescent="0.25">
      <c r="A376">
        <f>Sheet1!A398</f>
        <v>973</v>
      </c>
      <c r="B376" t="str">
        <f>Sheet1!B398</f>
        <v>XXX Brits Nightly</v>
      </c>
      <c r="C376" t="e">
        <f t="shared" si="10"/>
        <v>#N/A</v>
      </c>
      <c r="D376" t="e">
        <f t="shared" si="11"/>
        <v>#N/A</v>
      </c>
    </row>
    <row r="377" spans="1:4" x14ac:dyDescent="0.25">
      <c r="A377">
        <f>Sheet1!A399</f>
        <v>974</v>
      </c>
      <c r="B377" t="str">
        <f>Sheet1!B399</f>
        <v>xrated40+ Nightly</v>
      </c>
      <c r="C377" t="e">
        <f t="shared" si="10"/>
        <v>#N/A</v>
      </c>
      <c r="D377" t="e">
        <f t="shared" si="11"/>
        <v>#N/A</v>
      </c>
    </row>
    <row r="378" spans="1:4" x14ac:dyDescent="0.25">
      <c r="A378">
        <f>Sheet1!A400</f>
        <v>975</v>
      </c>
      <c r="B378" t="str">
        <f>Sheet1!B400</f>
        <v>TVXPornstars Nightly</v>
      </c>
      <c r="C378" t="e">
        <f t="shared" si="10"/>
        <v>#N/A</v>
      </c>
      <c r="D378" t="e">
        <f t="shared" si="11"/>
        <v>#N/A</v>
      </c>
    </row>
    <row r="379" spans="1:4" x14ac:dyDescent="0.25">
      <c r="A379">
        <f>Sheet1!A401</f>
        <v>976</v>
      </c>
      <c r="B379" t="str">
        <f>Sheet1!B401</f>
        <v>Television X 2 Nightly</v>
      </c>
      <c r="C379" t="e">
        <f t="shared" si="10"/>
        <v>#N/A</v>
      </c>
      <c r="D379" t="e">
        <f t="shared" si="11"/>
        <v>#N/A</v>
      </c>
    </row>
    <row r="380" spans="1:4" x14ac:dyDescent="0.25">
      <c r="A380">
        <f>Sheet1!A402</f>
        <v>978</v>
      </c>
      <c r="B380" t="str">
        <f>Sheet1!B402</f>
        <v>Television X</v>
      </c>
      <c r="C380" t="e">
        <f t="shared" si="10"/>
        <v>#N/A</v>
      </c>
      <c r="D380" t="e">
        <f t="shared" si="11"/>
        <v>#N/A</v>
      </c>
    </row>
    <row r="381" spans="1:4" x14ac:dyDescent="0.25">
      <c r="A381">
        <f>Sheet1!A404</f>
        <v>980</v>
      </c>
      <c r="B381" t="str">
        <f>Sheet1!B404</f>
        <v>Adult Channel</v>
      </c>
      <c r="C381" t="e">
        <f t="shared" si="10"/>
        <v>#N/A</v>
      </c>
      <c r="D381" t="e">
        <f t="shared" si="11"/>
        <v>#N/A</v>
      </c>
    </row>
    <row r="382" spans="1:4" x14ac:dyDescent="0.25">
      <c r="A382">
        <f>Sheet1!A405</f>
        <v>981</v>
      </c>
      <c r="B382" t="str">
        <f>Sheet1!B405</f>
        <v>Babenation</v>
      </c>
      <c r="C382" t="e">
        <f t="shared" si="10"/>
        <v>#N/A</v>
      </c>
      <c r="D382" t="e">
        <f t="shared" si="11"/>
        <v>#N/A</v>
      </c>
    </row>
    <row r="383" spans="1:4" x14ac:dyDescent="0.25">
      <c r="A383">
        <f>Sheet1!A407</f>
        <v>990</v>
      </c>
      <c r="B383" t="str">
        <f>Sheet1!B407</f>
        <v>BBC Red Button</v>
      </c>
      <c r="C383" t="e">
        <f t="shared" si="10"/>
        <v>#N/A</v>
      </c>
      <c r="D383" t="e">
        <f t="shared" si="11"/>
        <v>#N/A</v>
      </c>
    </row>
    <row r="384" spans="1:4" x14ac:dyDescent="0.25">
      <c r="A384">
        <f>Sheet1!A408</f>
        <v>991</v>
      </c>
      <c r="B384" t="str">
        <f>Sheet1!B408</f>
        <v>BBC Red Button 1</v>
      </c>
      <c r="C384" t="e">
        <f t="shared" si="10"/>
        <v>#N/A</v>
      </c>
      <c r="D384" t="e">
        <f t="shared" si="11"/>
        <v>#N/A</v>
      </c>
    </row>
    <row r="385" spans="1:4" x14ac:dyDescent="0.25">
      <c r="A385">
        <f>Sheet1!A409</f>
        <v>992</v>
      </c>
      <c r="B385" t="str">
        <f>Sheet1!B409</f>
        <v>BBC Red Button</v>
      </c>
      <c r="C385" t="e">
        <f t="shared" si="10"/>
        <v>#N/A</v>
      </c>
      <c r="D385" t="e">
        <f t="shared" si="11"/>
        <v>#N/A</v>
      </c>
    </row>
    <row r="386" spans="1:4" x14ac:dyDescent="0.25">
      <c r="A386">
        <f>Sheet1!A410</f>
        <v>993</v>
      </c>
      <c r="B386" t="str">
        <f>Sheet1!B410</f>
        <v>BBC Red Button</v>
      </c>
      <c r="C386" t="e">
        <f t="shared" ref="C386:C401" si="12">VLOOKUP(TEXT(A386,"###"),NOV,2,FALSE)</f>
        <v>#N/A</v>
      </c>
      <c r="D386" t="e">
        <f t="shared" ref="D386:D401" si="13">IF(B386=C386,"","x")</f>
        <v>#N/A</v>
      </c>
    </row>
    <row r="387" spans="1:4" x14ac:dyDescent="0.25">
      <c r="A387">
        <f>Sheet1!A411</f>
        <v>994</v>
      </c>
      <c r="B387" t="str">
        <f>Sheet1!B411</f>
        <v>BBC Red Button</v>
      </c>
      <c r="C387" t="e">
        <f t="shared" si="12"/>
        <v>#N/A</v>
      </c>
      <c r="D387" t="e">
        <f t="shared" si="13"/>
        <v>#N/A</v>
      </c>
    </row>
    <row r="388" spans="1:4" x14ac:dyDescent="0.25">
      <c r="A388">
        <f>Sheet1!A412</f>
        <v>995</v>
      </c>
      <c r="B388" t="str">
        <f>Sheet1!B412</f>
        <v>BBC Red Button</v>
      </c>
      <c r="C388" t="e">
        <f t="shared" si="12"/>
        <v>#N/A</v>
      </c>
      <c r="D388" t="e">
        <f t="shared" si="13"/>
        <v>#N/A</v>
      </c>
    </row>
    <row r="389" spans="1:4" x14ac:dyDescent="0.25">
      <c r="A389">
        <f>Sheet1!A413</f>
        <v>996</v>
      </c>
      <c r="B389" t="str">
        <f>Sheet1!B413</f>
        <v>BBC Red Button</v>
      </c>
      <c r="C389" t="e">
        <f t="shared" si="12"/>
        <v>#N/A</v>
      </c>
      <c r="D389" t="e">
        <f t="shared" si="13"/>
        <v>#N/A</v>
      </c>
    </row>
    <row r="390" spans="1:4" x14ac:dyDescent="0.25">
      <c r="A390">
        <f>Sheet1!A415</f>
        <v>998</v>
      </c>
      <c r="B390" t="str">
        <f>Sheet1!B415</f>
        <v>Virgin Media Previews</v>
      </c>
      <c r="C390" t="e">
        <f t="shared" si="12"/>
        <v>#N/A</v>
      </c>
      <c r="D390" t="e">
        <f t="shared" si="13"/>
        <v>#N/A</v>
      </c>
    </row>
    <row r="391" spans="1:4" x14ac:dyDescent="0.25">
      <c r="A391">
        <f>Sheet1!A416</f>
        <v>999</v>
      </c>
      <c r="B391" t="str">
        <f>Sheet1!B416</f>
        <v>Virgin TV Ultra HD</v>
      </c>
      <c r="C391" t="e">
        <f t="shared" si="12"/>
        <v>#N/A</v>
      </c>
      <c r="D391" t="e">
        <f t="shared" si="13"/>
        <v>#N/A</v>
      </c>
    </row>
    <row r="392" spans="1:4" x14ac:dyDescent="0.25">
      <c r="A392">
        <f>Sheet1!A417</f>
        <v>0</v>
      </c>
      <c r="B392">
        <f>Sheet1!B417</f>
        <v>0</v>
      </c>
      <c r="C392" t="e">
        <f t="shared" si="12"/>
        <v>#N/A</v>
      </c>
      <c r="D392" t="e">
        <f t="shared" si="13"/>
        <v>#N/A</v>
      </c>
    </row>
    <row r="393" spans="1:4" x14ac:dyDescent="0.25">
      <c r="A393">
        <f>Sheet1!A418</f>
        <v>0</v>
      </c>
      <c r="B393">
        <f>Sheet1!B418</f>
        <v>0</v>
      </c>
      <c r="C393" t="e">
        <f t="shared" si="12"/>
        <v>#N/A</v>
      </c>
      <c r="D393" t="e">
        <f t="shared" si="13"/>
        <v>#N/A</v>
      </c>
    </row>
    <row r="394" spans="1:4" x14ac:dyDescent="0.25">
      <c r="A394">
        <f>Sheet1!A419</f>
        <v>0</v>
      </c>
      <c r="B394">
        <f>Sheet1!B419</f>
        <v>0</v>
      </c>
      <c r="C394" t="e">
        <f t="shared" si="12"/>
        <v>#N/A</v>
      </c>
      <c r="D394" t="e">
        <f t="shared" si="13"/>
        <v>#N/A</v>
      </c>
    </row>
    <row r="395" spans="1:4" x14ac:dyDescent="0.25">
      <c r="A395">
        <f>Sheet1!A420</f>
        <v>0</v>
      </c>
      <c r="B395">
        <f>Sheet1!B420</f>
        <v>0</v>
      </c>
      <c r="C395" t="e">
        <f t="shared" si="12"/>
        <v>#N/A</v>
      </c>
      <c r="D395" t="e">
        <f t="shared" si="13"/>
        <v>#N/A</v>
      </c>
    </row>
    <row r="396" spans="1:4" x14ac:dyDescent="0.25">
      <c r="A396">
        <f>Sheet1!A421</f>
        <v>0</v>
      </c>
      <c r="B396">
        <f>Sheet1!B421</f>
        <v>0</v>
      </c>
      <c r="C396" t="e">
        <f t="shared" si="12"/>
        <v>#N/A</v>
      </c>
      <c r="D396" t="e">
        <f t="shared" si="13"/>
        <v>#N/A</v>
      </c>
    </row>
    <row r="397" spans="1:4" x14ac:dyDescent="0.25">
      <c r="A397">
        <f>Sheet1!A422</f>
        <v>0</v>
      </c>
      <c r="B397">
        <f>Sheet1!B422</f>
        <v>0</v>
      </c>
      <c r="C397" t="e">
        <f t="shared" si="12"/>
        <v>#N/A</v>
      </c>
      <c r="D397" t="e">
        <f t="shared" si="13"/>
        <v>#N/A</v>
      </c>
    </row>
    <row r="398" spans="1:4" x14ac:dyDescent="0.25">
      <c r="A398">
        <f>Sheet1!A423</f>
        <v>0</v>
      </c>
      <c r="B398">
        <f>Sheet1!B423</f>
        <v>0</v>
      </c>
      <c r="C398" t="e">
        <f t="shared" si="12"/>
        <v>#N/A</v>
      </c>
      <c r="D398" t="e">
        <f t="shared" si="13"/>
        <v>#N/A</v>
      </c>
    </row>
    <row r="399" spans="1:4" x14ac:dyDescent="0.25">
      <c r="A399">
        <f>Sheet1!A424</f>
        <v>0</v>
      </c>
      <c r="B399">
        <f>Sheet1!B424</f>
        <v>0</v>
      </c>
      <c r="C399" t="e">
        <f t="shared" si="12"/>
        <v>#N/A</v>
      </c>
      <c r="D399" t="e">
        <f t="shared" si="13"/>
        <v>#N/A</v>
      </c>
    </row>
    <row r="400" spans="1:4" x14ac:dyDescent="0.25">
      <c r="A400">
        <f>Sheet1!A425</f>
        <v>0</v>
      </c>
      <c r="B400">
        <f>Sheet1!B425</f>
        <v>0</v>
      </c>
      <c r="C400" t="e">
        <f t="shared" si="12"/>
        <v>#N/A</v>
      </c>
      <c r="D400" t="e">
        <f t="shared" si="13"/>
        <v>#N/A</v>
      </c>
    </row>
    <row r="401" spans="1:4" x14ac:dyDescent="0.25">
      <c r="A401">
        <f>Sheet1!A426</f>
        <v>0</v>
      </c>
      <c r="B401">
        <f>Sheet1!B426</f>
        <v>0</v>
      </c>
      <c r="C401" t="e">
        <f t="shared" si="12"/>
        <v>#N/A</v>
      </c>
      <c r="D401" t="e">
        <f t="shared" si="13"/>
        <v>#N/A</v>
      </c>
    </row>
    <row r="402" spans="1:4" x14ac:dyDescent="0.25">
      <c r="A402">
        <f>Sheet1!A427</f>
        <v>0</v>
      </c>
      <c r="B402">
        <f>Sheet1!B427</f>
        <v>0</v>
      </c>
    </row>
    <row r="403" spans="1:4" x14ac:dyDescent="0.25">
      <c r="A403">
        <f>Sheet1!A428</f>
        <v>0</v>
      </c>
      <c r="B403">
        <f>Sheet1!B428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429"/>
  <sheetViews>
    <sheetView topLeftCell="A413" workbookViewId="0">
      <selection activeCell="A427" sqref="A427"/>
    </sheetView>
  </sheetViews>
  <sheetFormatPr defaultColWidth="125" defaultRowHeight="15" x14ac:dyDescent="0.25"/>
  <cols>
    <col min="1" max="1" width="7.140625" bestFit="1" customWidth="1"/>
    <col min="2" max="2" width="31.85546875" bestFit="1" customWidth="1"/>
    <col min="3" max="3" width="120.42578125" bestFit="1" customWidth="1"/>
    <col min="4" max="4" width="57.42578125" bestFit="1" customWidth="1"/>
    <col min="5" max="5" width="37.85546875" customWidth="1"/>
    <col min="6" max="6" width="11.140625" bestFit="1" customWidth="1"/>
    <col min="7" max="7" width="11.7109375" bestFit="1" customWidth="1"/>
    <col min="8" max="8" width="26.140625" bestFit="1" customWidth="1"/>
    <col min="9" max="9" width="10.42578125" bestFit="1" customWidth="1"/>
  </cols>
  <sheetData>
    <row r="1" spans="1:9" ht="15.75" thickBot="1" x14ac:dyDescent="0.3">
      <c r="A1" s="5" t="s">
        <v>364</v>
      </c>
      <c r="B1" s="5" t="s">
        <v>365</v>
      </c>
      <c r="C1" s="5" t="s">
        <v>366</v>
      </c>
      <c r="D1" s="5" t="s">
        <v>367</v>
      </c>
      <c r="E1" s="5" t="s">
        <v>368</v>
      </c>
      <c r="F1" s="5" t="s">
        <v>369</v>
      </c>
      <c r="G1" s="5" t="s">
        <v>370</v>
      </c>
      <c r="H1" s="5" t="s">
        <v>371</v>
      </c>
      <c r="I1" s="5" t="s">
        <v>372</v>
      </c>
    </row>
    <row r="2" spans="1:9" ht="15.75" thickBot="1" x14ac:dyDescent="0.3">
      <c r="A2" s="14">
        <v>100</v>
      </c>
      <c r="B2" s="14" t="s">
        <v>377</v>
      </c>
      <c r="C2" s="14"/>
      <c r="D2" s="14" t="s">
        <v>672</v>
      </c>
      <c r="E2" s="14" t="s">
        <v>378</v>
      </c>
      <c r="F2" s="15" t="s">
        <v>379</v>
      </c>
      <c r="G2" s="14" t="s">
        <v>375</v>
      </c>
      <c r="H2" s="14" t="s">
        <v>376</v>
      </c>
      <c r="I2" s="16">
        <v>39121</v>
      </c>
    </row>
    <row r="3" spans="1:9" ht="15.75" customHeight="1" thickBot="1" x14ac:dyDescent="0.3">
      <c r="A3" s="14">
        <v>101</v>
      </c>
      <c r="B3" s="17" t="s">
        <v>18</v>
      </c>
      <c r="C3" s="17" t="s">
        <v>673</v>
      </c>
      <c r="D3" s="17" t="s">
        <v>380</v>
      </c>
      <c r="E3" s="17" t="s">
        <v>378</v>
      </c>
      <c r="F3" s="18" t="s">
        <v>387</v>
      </c>
      <c r="G3" s="17" t="s">
        <v>390</v>
      </c>
      <c r="H3" s="17" t="s">
        <v>391</v>
      </c>
      <c r="I3" s="19">
        <v>40485</v>
      </c>
    </row>
    <row r="4" spans="1:9" ht="26.25" thickBot="1" x14ac:dyDescent="0.3">
      <c r="A4" s="14">
        <v>102</v>
      </c>
      <c r="B4" s="17" t="s">
        <v>58</v>
      </c>
      <c r="C4" s="17" t="s">
        <v>675</v>
      </c>
      <c r="D4" s="17" t="s">
        <v>380</v>
      </c>
      <c r="E4" s="17" t="s">
        <v>378</v>
      </c>
      <c r="F4" s="18" t="s">
        <v>387</v>
      </c>
      <c r="G4" s="17" t="s">
        <v>390</v>
      </c>
      <c r="H4" s="17" t="s">
        <v>391</v>
      </c>
      <c r="I4" s="19">
        <v>41359</v>
      </c>
    </row>
    <row r="5" spans="1:9" ht="26.25" thickBot="1" x14ac:dyDescent="0.3">
      <c r="A5" s="14">
        <v>103</v>
      </c>
      <c r="B5" s="8" t="s">
        <v>13</v>
      </c>
      <c r="C5" s="14" t="s">
        <v>382</v>
      </c>
      <c r="D5" s="14" t="s">
        <v>676</v>
      </c>
      <c r="E5" s="14" t="s">
        <v>378</v>
      </c>
      <c r="F5" s="20" t="s">
        <v>381</v>
      </c>
      <c r="G5" s="14" t="s">
        <v>375</v>
      </c>
      <c r="H5" s="14" t="s">
        <v>376</v>
      </c>
      <c r="I5" s="16">
        <v>39121</v>
      </c>
    </row>
    <row r="6" spans="1:9" ht="15.75" thickBot="1" x14ac:dyDescent="0.3">
      <c r="A6" s="14">
        <v>104</v>
      </c>
      <c r="B6" s="8" t="s">
        <v>14</v>
      </c>
      <c r="C6" s="14" t="s">
        <v>383</v>
      </c>
      <c r="D6" s="14" t="s">
        <v>384</v>
      </c>
      <c r="E6" s="14" t="s">
        <v>378</v>
      </c>
      <c r="F6" s="20" t="s">
        <v>381</v>
      </c>
      <c r="G6" s="14" t="s">
        <v>375</v>
      </c>
      <c r="H6" s="14" t="s">
        <v>376</v>
      </c>
      <c r="I6" s="16">
        <v>39121</v>
      </c>
    </row>
    <row r="7" spans="1:9" ht="15.75" thickBot="1" x14ac:dyDescent="0.3">
      <c r="A7" s="14">
        <v>105</v>
      </c>
      <c r="B7" s="8" t="s">
        <v>15</v>
      </c>
      <c r="C7" s="14" t="s">
        <v>385</v>
      </c>
      <c r="D7" s="14" t="s">
        <v>386</v>
      </c>
      <c r="E7" s="14" t="s">
        <v>378</v>
      </c>
      <c r="F7" s="20" t="s">
        <v>381</v>
      </c>
      <c r="G7" s="14" t="s">
        <v>375</v>
      </c>
      <c r="H7" s="14" t="s">
        <v>376</v>
      </c>
      <c r="I7" s="16">
        <v>39121</v>
      </c>
    </row>
    <row r="8" spans="1:9" ht="15.75" thickBot="1" x14ac:dyDescent="0.3">
      <c r="A8" s="14">
        <v>106</v>
      </c>
      <c r="B8" s="14" t="s">
        <v>16</v>
      </c>
      <c r="C8" s="14"/>
      <c r="D8" s="14" t="s">
        <v>384</v>
      </c>
      <c r="E8" s="14" t="s">
        <v>378</v>
      </c>
      <c r="F8" s="21" t="s">
        <v>387</v>
      </c>
      <c r="G8" s="14" t="s">
        <v>375</v>
      </c>
      <c r="H8" s="14" t="s">
        <v>376</v>
      </c>
      <c r="I8" s="16">
        <v>39121</v>
      </c>
    </row>
    <row r="9" spans="1:9" ht="15.75" thickBot="1" x14ac:dyDescent="0.3">
      <c r="A9" s="14">
        <v>107</v>
      </c>
      <c r="B9" s="14" t="s">
        <v>17</v>
      </c>
      <c r="C9" s="14" t="s">
        <v>388</v>
      </c>
      <c r="D9" s="14" t="s">
        <v>380</v>
      </c>
      <c r="E9" s="14" t="s">
        <v>389</v>
      </c>
      <c r="F9" s="20" t="s">
        <v>381</v>
      </c>
      <c r="G9" s="14" t="s">
        <v>375</v>
      </c>
      <c r="H9" s="14" t="s">
        <v>376</v>
      </c>
      <c r="I9" s="16">
        <v>39121</v>
      </c>
    </row>
    <row r="10" spans="1:9" ht="26.25" thickBot="1" x14ac:dyDescent="0.3">
      <c r="A10" s="14">
        <v>108</v>
      </c>
      <c r="B10" s="14" t="s">
        <v>704</v>
      </c>
      <c r="C10" s="14" t="s">
        <v>674</v>
      </c>
      <c r="D10" s="14" t="s">
        <v>380</v>
      </c>
      <c r="E10" s="14" t="s">
        <v>378</v>
      </c>
      <c r="F10" s="20" t="s">
        <v>381</v>
      </c>
      <c r="G10" s="14" t="s">
        <v>375</v>
      </c>
      <c r="H10" s="14" t="s">
        <v>376</v>
      </c>
      <c r="I10" s="16">
        <v>39121</v>
      </c>
    </row>
    <row r="11" spans="1:9" ht="15.75" thickBot="1" x14ac:dyDescent="0.3">
      <c r="A11" s="14">
        <v>109</v>
      </c>
      <c r="B11" s="14" t="s">
        <v>289</v>
      </c>
      <c r="C11" s="14"/>
      <c r="D11" s="14" t="s">
        <v>392</v>
      </c>
      <c r="E11" s="14" t="s">
        <v>378</v>
      </c>
      <c r="F11" s="22" t="s">
        <v>393</v>
      </c>
      <c r="G11" s="14" t="s">
        <v>390</v>
      </c>
      <c r="H11" s="14" t="s">
        <v>394</v>
      </c>
      <c r="I11" s="16">
        <v>40452</v>
      </c>
    </row>
    <row r="12" spans="1:9" ht="15.75" thickBot="1" x14ac:dyDescent="0.3">
      <c r="A12" s="14">
        <v>110</v>
      </c>
      <c r="B12" s="14" t="s">
        <v>290</v>
      </c>
      <c r="C12" s="14"/>
      <c r="D12" s="14" t="s">
        <v>392</v>
      </c>
      <c r="E12" s="14" t="s">
        <v>378</v>
      </c>
      <c r="F12" s="15" t="s">
        <v>379</v>
      </c>
      <c r="G12" s="14" t="s">
        <v>375</v>
      </c>
      <c r="H12" s="14" t="s">
        <v>376</v>
      </c>
      <c r="I12" s="16">
        <v>39765</v>
      </c>
    </row>
    <row r="13" spans="1:9" ht="15.75" thickBot="1" x14ac:dyDescent="0.3">
      <c r="A13" s="14">
        <v>111</v>
      </c>
      <c r="B13" s="14" t="s">
        <v>291</v>
      </c>
      <c r="C13" s="14"/>
      <c r="D13" s="14" t="s">
        <v>392</v>
      </c>
      <c r="E13" s="14" t="s">
        <v>378</v>
      </c>
      <c r="F13" s="22" t="s">
        <v>393</v>
      </c>
      <c r="G13" s="14" t="s">
        <v>390</v>
      </c>
      <c r="H13" s="14" t="s">
        <v>394</v>
      </c>
      <c r="I13" s="16">
        <v>40092</v>
      </c>
    </row>
    <row r="14" spans="1:9" ht="15.75" thickBot="1" x14ac:dyDescent="0.3">
      <c r="A14" s="14">
        <v>112</v>
      </c>
      <c r="B14" s="14" t="s">
        <v>292</v>
      </c>
      <c r="C14" s="14"/>
      <c r="D14" s="14" t="s">
        <v>392</v>
      </c>
      <c r="E14" s="14" t="s">
        <v>378</v>
      </c>
      <c r="F14" s="15" t="s">
        <v>379</v>
      </c>
      <c r="G14" s="14" t="s">
        <v>375</v>
      </c>
      <c r="H14" s="14" t="s">
        <v>376</v>
      </c>
      <c r="I14" s="16">
        <v>39121</v>
      </c>
    </row>
    <row r="15" spans="1:9" ht="15.75" thickBot="1" x14ac:dyDescent="0.3">
      <c r="A15" s="14">
        <v>113</v>
      </c>
      <c r="B15" s="14" t="s">
        <v>19</v>
      </c>
      <c r="C15" s="14" t="s">
        <v>395</v>
      </c>
      <c r="D15" s="14" t="s">
        <v>676</v>
      </c>
      <c r="E15" s="14" t="s">
        <v>378</v>
      </c>
      <c r="F15" s="21" t="s">
        <v>387</v>
      </c>
      <c r="G15" s="14" t="s">
        <v>390</v>
      </c>
      <c r="H15" s="14" t="s">
        <v>376</v>
      </c>
      <c r="I15" s="16">
        <v>40270</v>
      </c>
    </row>
    <row r="16" spans="1:9" ht="26.25" thickBot="1" x14ac:dyDescent="0.3">
      <c r="A16" s="14">
        <v>114</v>
      </c>
      <c r="B16" s="14" t="s">
        <v>20</v>
      </c>
      <c r="C16" s="14" t="s">
        <v>396</v>
      </c>
      <c r="D16" s="14" t="s">
        <v>676</v>
      </c>
      <c r="E16" s="14" t="s">
        <v>378</v>
      </c>
      <c r="F16" s="21" t="s">
        <v>387</v>
      </c>
      <c r="G16" s="14" t="s">
        <v>375</v>
      </c>
      <c r="H16" s="14" t="s">
        <v>376</v>
      </c>
      <c r="I16" s="16">
        <v>40554</v>
      </c>
    </row>
    <row r="17" spans="1:9" ht="15.75" thickBot="1" x14ac:dyDescent="0.3">
      <c r="A17" s="14">
        <v>115</v>
      </c>
      <c r="B17" s="14" t="s">
        <v>21</v>
      </c>
      <c r="C17" s="14"/>
      <c r="D17" s="14" t="s">
        <v>677</v>
      </c>
      <c r="E17" s="14" t="s">
        <v>378</v>
      </c>
      <c r="F17" s="21" t="s">
        <v>387</v>
      </c>
      <c r="G17" s="14" t="s">
        <v>375</v>
      </c>
      <c r="H17" s="14" t="s">
        <v>376</v>
      </c>
      <c r="I17" s="16">
        <v>39121</v>
      </c>
    </row>
    <row r="18" spans="1:9" ht="15.75" thickBot="1" x14ac:dyDescent="0.3">
      <c r="A18" s="14">
        <v>116</v>
      </c>
      <c r="B18" s="14" t="s">
        <v>22</v>
      </c>
      <c r="C18" s="14" t="s">
        <v>397</v>
      </c>
      <c r="D18" s="14" t="s">
        <v>677</v>
      </c>
      <c r="E18" s="14" t="s">
        <v>378</v>
      </c>
      <c r="F18" s="21" t="s">
        <v>387</v>
      </c>
      <c r="G18" s="14" t="s">
        <v>375</v>
      </c>
      <c r="H18" s="14" t="s">
        <v>376</v>
      </c>
      <c r="I18" s="16">
        <v>40262</v>
      </c>
    </row>
    <row r="19" spans="1:9" ht="15.75" thickBot="1" x14ac:dyDescent="0.3">
      <c r="A19" s="14">
        <v>117</v>
      </c>
      <c r="B19" s="14" t="s">
        <v>23</v>
      </c>
      <c r="C19" s="14"/>
      <c r="D19" s="14" t="s">
        <v>677</v>
      </c>
      <c r="E19" s="14" t="s">
        <v>378</v>
      </c>
      <c r="F19" s="21" t="s">
        <v>387</v>
      </c>
      <c r="G19" s="14" t="s">
        <v>375</v>
      </c>
      <c r="H19" s="14" t="s">
        <v>376</v>
      </c>
      <c r="I19" s="16">
        <v>39121</v>
      </c>
    </row>
    <row r="20" spans="1:9" ht="15.75" thickBot="1" x14ac:dyDescent="0.3">
      <c r="A20" s="14">
        <v>118</v>
      </c>
      <c r="B20" s="14" t="s">
        <v>24</v>
      </c>
      <c r="C20" s="14"/>
      <c r="D20" s="14" t="s">
        <v>677</v>
      </c>
      <c r="E20" s="14" t="s">
        <v>378</v>
      </c>
      <c r="F20" s="21" t="s">
        <v>387</v>
      </c>
      <c r="G20" s="14" t="s">
        <v>375</v>
      </c>
      <c r="H20" s="14" t="s">
        <v>376</v>
      </c>
      <c r="I20" s="16">
        <v>39121</v>
      </c>
    </row>
    <row r="21" spans="1:9" ht="15.75" thickBot="1" x14ac:dyDescent="0.3">
      <c r="A21" s="14">
        <v>119</v>
      </c>
      <c r="B21" s="14" t="s">
        <v>25</v>
      </c>
      <c r="C21" s="14"/>
      <c r="D21" s="14" t="s">
        <v>677</v>
      </c>
      <c r="E21" s="14" t="s">
        <v>378</v>
      </c>
      <c r="F21" s="21" t="s">
        <v>387</v>
      </c>
      <c r="G21" s="14" t="s">
        <v>375</v>
      </c>
      <c r="H21" s="14" t="s">
        <v>376</v>
      </c>
      <c r="I21" s="16">
        <v>41920</v>
      </c>
    </row>
    <row r="22" spans="1:9" ht="15.75" thickBot="1" x14ac:dyDescent="0.3">
      <c r="A22" s="14">
        <v>120</v>
      </c>
      <c r="B22" s="14" t="s">
        <v>26</v>
      </c>
      <c r="C22" s="14" t="s">
        <v>398</v>
      </c>
      <c r="D22" s="14" t="s">
        <v>677</v>
      </c>
      <c r="E22" s="14" t="s">
        <v>378</v>
      </c>
      <c r="F22" s="21" t="s">
        <v>387</v>
      </c>
      <c r="G22" s="14" t="s">
        <v>375</v>
      </c>
      <c r="H22" s="14" t="s">
        <v>376</v>
      </c>
      <c r="I22" s="16">
        <v>41962</v>
      </c>
    </row>
    <row r="23" spans="1:9" ht="15.75" thickBot="1" x14ac:dyDescent="0.3">
      <c r="A23" s="14">
        <v>121</v>
      </c>
      <c r="B23" s="14" t="s">
        <v>293</v>
      </c>
      <c r="C23" s="14"/>
      <c r="D23" s="14" t="s">
        <v>392</v>
      </c>
      <c r="E23" s="14" t="s">
        <v>378</v>
      </c>
      <c r="F23" s="15" t="s">
        <v>379</v>
      </c>
      <c r="G23" s="14" t="s">
        <v>375</v>
      </c>
      <c r="H23" s="14" t="s">
        <v>376</v>
      </c>
      <c r="I23" s="16">
        <v>39765</v>
      </c>
    </row>
    <row r="24" spans="1:9" ht="15.75" thickBot="1" x14ac:dyDescent="0.3">
      <c r="A24" s="14">
        <v>122</v>
      </c>
      <c r="B24" s="14" t="s">
        <v>27</v>
      </c>
      <c r="C24" s="14"/>
      <c r="D24" s="14" t="s">
        <v>392</v>
      </c>
      <c r="E24" s="14" t="s">
        <v>378</v>
      </c>
      <c r="F24" s="15" t="s">
        <v>379</v>
      </c>
      <c r="G24" s="14" t="s">
        <v>375</v>
      </c>
      <c r="H24" s="14" t="s">
        <v>376</v>
      </c>
      <c r="I24" s="16">
        <v>39765</v>
      </c>
    </row>
    <row r="25" spans="1:9" ht="15.75" thickBot="1" x14ac:dyDescent="0.3">
      <c r="A25" s="14">
        <v>123</v>
      </c>
      <c r="B25" s="14" t="s">
        <v>28</v>
      </c>
      <c r="C25" s="14"/>
      <c r="D25" s="14" t="s">
        <v>392</v>
      </c>
      <c r="E25" s="14" t="s">
        <v>378</v>
      </c>
      <c r="F25" s="21" t="s">
        <v>387</v>
      </c>
      <c r="G25" s="14" t="s">
        <v>375</v>
      </c>
      <c r="H25" s="14" t="s">
        <v>376</v>
      </c>
      <c r="I25" s="16">
        <v>39765</v>
      </c>
    </row>
    <row r="26" spans="1:9" ht="15.75" thickBot="1" x14ac:dyDescent="0.3">
      <c r="A26" s="14">
        <v>124</v>
      </c>
      <c r="B26" s="14" t="s">
        <v>294</v>
      </c>
      <c r="C26" s="14"/>
      <c r="D26" s="14" t="s">
        <v>678</v>
      </c>
      <c r="E26" s="14" t="s">
        <v>399</v>
      </c>
      <c r="F26" s="15" t="s">
        <v>379</v>
      </c>
      <c r="G26" s="14" t="s">
        <v>390</v>
      </c>
      <c r="H26" s="14" t="s">
        <v>376</v>
      </c>
      <c r="I26" s="16">
        <v>43368</v>
      </c>
    </row>
    <row r="27" spans="1:9" ht="15.75" thickBot="1" x14ac:dyDescent="0.3">
      <c r="A27" s="14">
        <v>125</v>
      </c>
      <c r="B27" s="14" t="s">
        <v>30</v>
      </c>
      <c r="C27" s="14"/>
      <c r="D27" s="14" t="s">
        <v>678</v>
      </c>
      <c r="E27" s="14" t="s">
        <v>400</v>
      </c>
      <c r="F27" s="15" t="s">
        <v>379</v>
      </c>
      <c r="G27" s="14" t="s">
        <v>375</v>
      </c>
      <c r="H27" s="14" t="s">
        <v>376</v>
      </c>
      <c r="I27" s="16">
        <v>39728</v>
      </c>
    </row>
    <row r="28" spans="1:9" ht="15.75" thickBot="1" x14ac:dyDescent="0.3">
      <c r="A28" s="14">
        <v>126</v>
      </c>
      <c r="B28" s="14" t="s">
        <v>401</v>
      </c>
      <c r="C28" s="14"/>
      <c r="D28" s="14" t="s">
        <v>678</v>
      </c>
      <c r="E28" s="14" t="s">
        <v>399</v>
      </c>
      <c r="F28" s="15" t="s">
        <v>379</v>
      </c>
      <c r="G28" s="14" t="s">
        <v>375</v>
      </c>
      <c r="H28" s="14" t="s">
        <v>376</v>
      </c>
      <c r="I28" s="16">
        <v>39121</v>
      </c>
    </row>
    <row r="29" spans="1:9" ht="15.75" thickBot="1" x14ac:dyDescent="0.3">
      <c r="A29" s="14">
        <v>127</v>
      </c>
      <c r="B29" s="14" t="s">
        <v>32</v>
      </c>
      <c r="C29" s="14"/>
      <c r="D29" s="14" t="s">
        <v>678</v>
      </c>
      <c r="E29" s="14" t="s">
        <v>399</v>
      </c>
      <c r="F29" s="21" t="s">
        <v>387</v>
      </c>
      <c r="G29" s="14" t="s">
        <v>375</v>
      </c>
      <c r="H29" s="14" t="s">
        <v>376</v>
      </c>
      <c r="I29" s="16">
        <v>39121</v>
      </c>
    </row>
    <row r="30" spans="1:9" ht="15.75" thickBot="1" x14ac:dyDescent="0.3">
      <c r="A30" s="14">
        <v>128</v>
      </c>
      <c r="B30" s="14" t="s">
        <v>34</v>
      </c>
      <c r="C30" s="14"/>
      <c r="D30" s="14" t="s">
        <v>678</v>
      </c>
      <c r="E30" s="14" t="s">
        <v>402</v>
      </c>
      <c r="F30" s="21" t="s">
        <v>387</v>
      </c>
      <c r="G30" s="14" t="s">
        <v>375</v>
      </c>
      <c r="H30" s="14" t="s">
        <v>376</v>
      </c>
      <c r="I30" s="16">
        <v>39952</v>
      </c>
    </row>
    <row r="31" spans="1:9" ht="15.75" thickBot="1" x14ac:dyDescent="0.3">
      <c r="A31" s="14">
        <v>129</v>
      </c>
      <c r="B31" s="14" t="s">
        <v>102</v>
      </c>
      <c r="C31" s="14"/>
      <c r="D31" s="14" t="s">
        <v>678</v>
      </c>
      <c r="E31" s="14" t="s">
        <v>400</v>
      </c>
      <c r="F31" s="21" t="s">
        <v>387</v>
      </c>
      <c r="G31" s="14" t="s">
        <v>375</v>
      </c>
      <c r="H31" s="14" t="s">
        <v>376</v>
      </c>
      <c r="I31" s="16">
        <v>39121</v>
      </c>
    </row>
    <row r="32" spans="1:9" ht="15.75" thickBot="1" x14ac:dyDescent="0.3">
      <c r="A32" s="14">
        <v>130</v>
      </c>
      <c r="B32" s="14" t="s">
        <v>33</v>
      </c>
      <c r="C32" s="14"/>
      <c r="D32" s="14" t="s">
        <v>678</v>
      </c>
      <c r="E32" s="14" t="s">
        <v>399</v>
      </c>
      <c r="F32" s="21" t="s">
        <v>387</v>
      </c>
      <c r="G32" s="14" t="s">
        <v>375</v>
      </c>
      <c r="H32" s="14" t="s">
        <v>376</v>
      </c>
      <c r="I32" s="16">
        <v>41500</v>
      </c>
    </row>
    <row r="33" spans="1:9" ht="15.75" thickBot="1" x14ac:dyDescent="0.3">
      <c r="A33" s="14">
        <v>131</v>
      </c>
      <c r="B33" s="14" t="s">
        <v>96</v>
      </c>
      <c r="C33" s="14" t="s">
        <v>466</v>
      </c>
      <c r="D33" s="14" t="s">
        <v>678</v>
      </c>
      <c r="E33" s="14" t="s">
        <v>405</v>
      </c>
      <c r="F33" s="21" t="s">
        <v>387</v>
      </c>
      <c r="G33" s="14" t="s">
        <v>375</v>
      </c>
      <c r="H33" s="14" t="s">
        <v>376</v>
      </c>
      <c r="I33" s="16">
        <v>39121</v>
      </c>
    </row>
    <row r="34" spans="1:9" ht="15.75" thickBot="1" x14ac:dyDescent="0.3">
      <c r="A34" s="14">
        <v>132</v>
      </c>
      <c r="B34" s="14" t="s">
        <v>36</v>
      </c>
      <c r="C34" s="14"/>
      <c r="D34" s="14" t="s">
        <v>679</v>
      </c>
      <c r="E34" s="14" t="s">
        <v>405</v>
      </c>
      <c r="F34" s="15" t="s">
        <v>379</v>
      </c>
      <c r="G34" s="14" t="s">
        <v>375</v>
      </c>
      <c r="H34" s="14" t="s">
        <v>376</v>
      </c>
      <c r="I34" s="16">
        <v>39121</v>
      </c>
    </row>
    <row r="35" spans="1:9" ht="15.75" thickBot="1" x14ac:dyDescent="0.3">
      <c r="A35" s="14">
        <v>133</v>
      </c>
      <c r="B35" s="14" t="s">
        <v>37</v>
      </c>
      <c r="C35" s="14" t="s">
        <v>407</v>
      </c>
      <c r="D35" s="14" t="s">
        <v>679</v>
      </c>
      <c r="E35" s="14" t="s">
        <v>408</v>
      </c>
      <c r="F35" s="15" t="s">
        <v>379</v>
      </c>
      <c r="G35" s="14" t="s">
        <v>375</v>
      </c>
      <c r="H35" s="14" t="s">
        <v>376</v>
      </c>
      <c r="I35" s="16">
        <v>39308</v>
      </c>
    </row>
    <row r="36" spans="1:9" ht="15.75" thickBot="1" x14ac:dyDescent="0.3">
      <c r="A36" s="14">
        <v>134</v>
      </c>
      <c r="B36" s="14" t="s">
        <v>38</v>
      </c>
      <c r="C36" s="14"/>
      <c r="D36" s="14" t="s">
        <v>386</v>
      </c>
      <c r="E36" s="14" t="s">
        <v>400</v>
      </c>
      <c r="F36" s="15" t="s">
        <v>379</v>
      </c>
      <c r="G36" s="14" t="s">
        <v>375</v>
      </c>
      <c r="H36" s="14" t="s">
        <v>376</v>
      </c>
      <c r="I36" s="16">
        <v>39121</v>
      </c>
    </row>
    <row r="37" spans="1:9" ht="15.75" thickBot="1" x14ac:dyDescent="0.3">
      <c r="A37" s="14">
        <v>135</v>
      </c>
      <c r="B37" s="14" t="s">
        <v>39</v>
      </c>
      <c r="C37" s="14"/>
      <c r="D37" s="14" t="s">
        <v>409</v>
      </c>
      <c r="E37" s="14" t="s">
        <v>410</v>
      </c>
      <c r="F37" s="15" t="s">
        <v>379</v>
      </c>
      <c r="G37" s="14" t="s">
        <v>375</v>
      </c>
      <c r="H37" s="14" t="s">
        <v>376</v>
      </c>
      <c r="I37" s="16">
        <v>39121</v>
      </c>
    </row>
    <row r="38" spans="1:9" ht="15.75" thickBot="1" x14ac:dyDescent="0.3">
      <c r="A38" s="14">
        <v>136</v>
      </c>
      <c r="B38" s="14" t="s">
        <v>40</v>
      </c>
      <c r="C38" s="14" t="s">
        <v>411</v>
      </c>
      <c r="D38" s="14" t="s">
        <v>409</v>
      </c>
      <c r="E38" s="14" t="s">
        <v>412</v>
      </c>
      <c r="F38" s="15" t="s">
        <v>379</v>
      </c>
      <c r="G38" s="14" t="s">
        <v>375</v>
      </c>
      <c r="H38" s="14" t="s">
        <v>376</v>
      </c>
      <c r="I38" s="16">
        <v>40269</v>
      </c>
    </row>
    <row r="39" spans="1:9" ht="15.75" thickBot="1" x14ac:dyDescent="0.3">
      <c r="A39" s="14">
        <v>137</v>
      </c>
      <c r="B39" s="14" t="s">
        <v>295</v>
      </c>
      <c r="C39" s="14"/>
      <c r="D39" s="14" t="s">
        <v>409</v>
      </c>
      <c r="E39" s="14" t="s">
        <v>413</v>
      </c>
      <c r="F39" s="15" t="s">
        <v>379</v>
      </c>
      <c r="G39" s="14" t="s">
        <v>375</v>
      </c>
      <c r="H39" s="14" t="s">
        <v>376</v>
      </c>
      <c r="I39" s="16">
        <v>39121</v>
      </c>
    </row>
    <row r="40" spans="1:9" ht="15.75" thickBot="1" x14ac:dyDescent="0.3">
      <c r="A40" s="14">
        <v>138</v>
      </c>
      <c r="B40" s="14" t="s">
        <v>296</v>
      </c>
      <c r="C40" s="14" t="s">
        <v>414</v>
      </c>
      <c r="D40" s="14" t="s">
        <v>409</v>
      </c>
      <c r="E40" s="14" t="s">
        <v>415</v>
      </c>
      <c r="F40" s="15" t="s">
        <v>379</v>
      </c>
      <c r="G40" s="14" t="s">
        <v>375</v>
      </c>
      <c r="H40" s="14" t="s">
        <v>376</v>
      </c>
      <c r="I40" s="16">
        <v>39667</v>
      </c>
    </row>
    <row r="41" spans="1:9" ht="15.75" thickBot="1" x14ac:dyDescent="0.3">
      <c r="A41" s="14">
        <v>139</v>
      </c>
      <c r="B41" s="14" t="s">
        <v>41</v>
      </c>
      <c r="C41" s="14"/>
      <c r="D41" s="14" t="s">
        <v>392</v>
      </c>
      <c r="E41" s="14" t="s">
        <v>378</v>
      </c>
      <c r="F41" s="21" t="s">
        <v>387</v>
      </c>
      <c r="G41" s="14" t="s">
        <v>375</v>
      </c>
      <c r="H41" s="14" t="s">
        <v>376</v>
      </c>
      <c r="I41" s="16">
        <v>39121</v>
      </c>
    </row>
    <row r="42" spans="1:9" ht="15.75" thickBot="1" x14ac:dyDescent="0.3">
      <c r="A42" s="14">
        <v>140</v>
      </c>
      <c r="B42" s="14" t="s">
        <v>297</v>
      </c>
      <c r="C42" s="14" t="s">
        <v>416</v>
      </c>
      <c r="D42" s="14" t="s">
        <v>392</v>
      </c>
      <c r="E42" s="14" t="s">
        <v>378</v>
      </c>
      <c r="F42" s="15" t="s">
        <v>379</v>
      </c>
      <c r="G42" s="14" t="s">
        <v>375</v>
      </c>
      <c r="H42" s="14" t="s">
        <v>376</v>
      </c>
      <c r="I42" s="16">
        <v>39121</v>
      </c>
    </row>
    <row r="43" spans="1:9" ht="26.25" thickBot="1" x14ac:dyDescent="0.3">
      <c r="A43" s="14">
        <v>141</v>
      </c>
      <c r="B43" s="14" t="s">
        <v>42</v>
      </c>
      <c r="C43" s="14"/>
      <c r="D43" s="14" t="s">
        <v>384</v>
      </c>
      <c r="E43" s="14" t="s">
        <v>378</v>
      </c>
      <c r="F43" s="21" t="s">
        <v>387</v>
      </c>
      <c r="G43" s="14" t="s">
        <v>390</v>
      </c>
      <c r="H43" s="14" t="s">
        <v>391</v>
      </c>
      <c r="I43" s="16">
        <v>40025</v>
      </c>
    </row>
    <row r="44" spans="1:9" ht="15.75" thickBot="1" x14ac:dyDescent="0.3">
      <c r="A44" s="14">
        <v>142</v>
      </c>
      <c r="B44" s="14" t="s">
        <v>43</v>
      </c>
      <c r="C44" s="14" t="s">
        <v>417</v>
      </c>
      <c r="D44" s="14" t="s">
        <v>384</v>
      </c>
      <c r="E44" s="14" t="s">
        <v>378</v>
      </c>
      <c r="F44" s="20" t="s">
        <v>381</v>
      </c>
      <c r="G44" s="14" t="s">
        <v>375</v>
      </c>
      <c r="H44" s="14" t="s">
        <v>376</v>
      </c>
      <c r="I44" s="16">
        <v>39314</v>
      </c>
    </row>
    <row r="45" spans="1:9" ht="15.75" thickBot="1" x14ac:dyDescent="0.3">
      <c r="A45" s="14">
        <v>143</v>
      </c>
      <c r="B45" s="14" t="s">
        <v>44</v>
      </c>
      <c r="C45" s="14"/>
      <c r="D45" s="14" t="s">
        <v>384</v>
      </c>
      <c r="E45" s="14" t="s">
        <v>418</v>
      </c>
      <c r="F45" s="21" t="s">
        <v>387</v>
      </c>
      <c r="G45" s="14" t="s">
        <v>375</v>
      </c>
      <c r="H45" s="14" t="s">
        <v>376</v>
      </c>
      <c r="I45" s="16">
        <v>41094</v>
      </c>
    </row>
    <row r="46" spans="1:9" ht="26.25" thickBot="1" x14ac:dyDescent="0.3">
      <c r="A46" s="14">
        <v>145</v>
      </c>
      <c r="B46" s="14" t="s">
        <v>45</v>
      </c>
      <c r="C46" s="14"/>
      <c r="D46" s="14" t="s">
        <v>384</v>
      </c>
      <c r="E46" s="14" t="s">
        <v>378</v>
      </c>
      <c r="F46" s="22" t="s">
        <v>393</v>
      </c>
      <c r="G46" s="14" t="s">
        <v>390</v>
      </c>
      <c r="H46" s="14" t="s">
        <v>391</v>
      </c>
      <c r="I46" s="16">
        <v>40269</v>
      </c>
    </row>
    <row r="47" spans="1:9" ht="15.75" thickBot="1" x14ac:dyDescent="0.3">
      <c r="A47" s="14">
        <v>146</v>
      </c>
      <c r="B47" s="14" t="s">
        <v>46</v>
      </c>
      <c r="C47" s="14" t="s">
        <v>419</v>
      </c>
      <c r="D47" s="14" t="s">
        <v>384</v>
      </c>
      <c r="E47" s="14" t="s">
        <v>378</v>
      </c>
      <c r="F47" s="21" t="s">
        <v>387</v>
      </c>
      <c r="G47" s="14" t="s">
        <v>375</v>
      </c>
      <c r="H47" s="14" t="s">
        <v>376</v>
      </c>
      <c r="I47" s="16">
        <v>39121</v>
      </c>
    </row>
    <row r="48" spans="1:9" ht="15.75" thickBot="1" x14ac:dyDescent="0.3">
      <c r="A48" s="14">
        <v>147</v>
      </c>
      <c r="B48" s="14" t="s">
        <v>47</v>
      </c>
      <c r="C48" s="14"/>
      <c r="D48" s="14" t="s">
        <v>384</v>
      </c>
      <c r="E48" s="14" t="s">
        <v>420</v>
      </c>
      <c r="F48" s="21" t="s">
        <v>387</v>
      </c>
      <c r="G48" s="14" t="s">
        <v>375</v>
      </c>
      <c r="H48" s="14" t="s">
        <v>376</v>
      </c>
      <c r="I48" s="16">
        <v>39121</v>
      </c>
    </row>
    <row r="49" spans="1:9" ht="15.75" thickBot="1" x14ac:dyDescent="0.3">
      <c r="A49" s="14">
        <v>148</v>
      </c>
      <c r="B49" s="14" t="s">
        <v>48</v>
      </c>
      <c r="C49" s="14"/>
      <c r="D49" s="14" t="s">
        <v>421</v>
      </c>
      <c r="E49" s="14" t="s">
        <v>408</v>
      </c>
      <c r="F49" s="21" t="s">
        <v>387</v>
      </c>
      <c r="G49" s="14" t="s">
        <v>375</v>
      </c>
      <c r="H49" s="14" t="s">
        <v>376</v>
      </c>
      <c r="I49" s="16">
        <v>39121</v>
      </c>
    </row>
    <row r="50" spans="1:9" ht="15.75" thickBot="1" x14ac:dyDescent="0.3">
      <c r="A50" s="14">
        <v>149</v>
      </c>
      <c r="B50" s="14" t="s">
        <v>49</v>
      </c>
      <c r="C50" s="14"/>
      <c r="D50" s="14" t="s">
        <v>421</v>
      </c>
      <c r="E50" s="14" t="s">
        <v>405</v>
      </c>
      <c r="F50" s="21" t="s">
        <v>387</v>
      </c>
      <c r="G50" s="14" t="s">
        <v>375</v>
      </c>
      <c r="H50" s="14" t="s">
        <v>376</v>
      </c>
      <c r="I50" s="16">
        <v>39121</v>
      </c>
    </row>
    <row r="51" spans="1:9" ht="15.75" thickBot="1" x14ac:dyDescent="0.3">
      <c r="A51" s="14">
        <v>150</v>
      </c>
      <c r="B51" s="14" t="s">
        <v>50</v>
      </c>
      <c r="C51" s="14"/>
      <c r="D51" s="14" t="s">
        <v>386</v>
      </c>
      <c r="E51" s="14" t="s">
        <v>378</v>
      </c>
      <c r="F51" s="21" t="s">
        <v>387</v>
      </c>
      <c r="G51" s="14" t="s">
        <v>390</v>
      </c>
      <c r="H51" s="14" t="s">
        <v>422</v>
      </c>
      <c r="I51" s="16">
        <v>40372</v>
      </c>
    </row>
    <row r="52" spans="1:9" ht="15.75" thickBot="1" x14ac:dyDescent="0.3">
      <c r="A52" s="14">
        <v>151</v>
      </c>
      <c r="B52" s="14" t="s">
        <v>51</v>
      </c>
      <c r="C52" s="14"/>
      <c r="D52" s="14" t="s">
        <v>386</v>
      </c>
      <c r="E52" s="14" t="s">
        <v>420</v>
      </c>
      <c r="F52" s="21" t="s">
        <v>387</v>
      </c>
      <c r="G52" s="14" t="s">
        <v>375</v>
      </c>
      <c r="H52" s="14" t="s">
        <v>376</v>
      </c>
      <c r="I52" s="16">
        <v>39121</v>
      </c>
    </row>
    <row r="53" spans="1:9" ht="15.75" thickBot="1" x14ac:dyDescent="0.3">
      <c r="A53" s="14">
        <v>152</v>
      </c>
      <c r="B53" s="14" t="s">
        <v>423</v>
      </c>
      <c r="C53" s="14"/>
      <c r="D53" s="14" t="s">
        <v>386</v>
      </c>
      <c r="E53" s="14" t="s">
        <v>378</v>
      </c>
      <c r="F53" s="21" t="s">
        <v>387</v>
      </c>
      <c r="G53" s="14" t="s">
        <v>375</v>
      </c>
      <c r="H53" s="14" t="s">
        <v>376</v>
      </c>
      <c r="I53" s="16">
        <v>43144</v>
      </c>
    </row>
    <row r="54" spans="1:9" ht="15.75" thickBot="1" x14ac:dyDescent="0.3">
      <c r="A54" s="14">
        <v>153</v>
      </c>
      <c r="B54" s="14" t="s">
        <v>424</v>
      </c>
      <c r="C54" s="14"/>
      <c r="D54" s="14" t="s">
        <v>386</v>
      </c>
      <c r="E54" s="14" t="s">
        <v>420</v>
      </c>
      <c r="F54" s="21" t="s">
        <v>387</v>
      </c>
      <c r="G54" s="14" t="s">
        <v>375</v>
      </c>
      <c r="H54" s="14" t="s">
        <v>376</v>
      </c>
      <c r="I54" s="16">
        <v>39121</v>
      </c>
    </row>
    <row r="55" spans="1:9" ht="15.75" thickBot="1" x14ac:dyDescent="0.3">
      <c r="A55" s="14">
        <v>154</v>
      </c>
      <c r="B55" s="14" t="s">
        <v>299</v>
      </c>
      <c r="C55" s="14"/>
      <c r="D55" s="14" t="s">
        <v>386</v>
      </c>
      <c r="E55" s="14" t="s">
        <v>378</v>
      </c>
      <c r="F55" s="21" t="s">
        <v>387</v>
      </c>
      <c r="G55" s="14" t="s">
        <v>375</v>
      </c>
      <c r="H55" s="14" t="s">
        <v>376</v>
      </c>
      <c r="I55" s="16">
        <v>42613</v>
      </c>
    </row>
    <row r="56" spans="1:9" ht="15.75" thickBot="1" x14ac:dyDescent="0.3">
      <c r="A56" s="14">
        <v>155</v>
      </c>
      <c r="B56" s="14" t="s">
        <v>52</v>
      </c>
      <c r="C56" s="14" t="s">
        <v>425</v>
      </c>
      <c r="D56" s="14" t="s">
        <v>386</v>
      </c>
      <c r="E56" s="14" t="s">
        <v>378</v>
      </c>
      <c r="F56" s="21" t="s">
        <v>387</v>
      </c>
      <c r="G56" s="14" t="s">
        <v>375</v>
      </c>
      <c r="H56" s="14" t="s">
        <v>376</v>
      </c>
      <c r="I56" s="16">
        <v>41207</v>
      </c>
    </row>
    <row r="57" spans="1:9" ht="15.75" thickBot="1" x14ac:dyDescent="0.3">
      <c r="A57" s="14">
        <v>156</v>
      </c>
      <c r="B57" s="14" t="s">
        <v>53</v>
      </c>
      <c r="C57" s="14"/>
      <c r="D57" s="14" t="s">
        <v>409</v>
      </c>
      <c r="E57" s="14" t="s">
        <v>426</v>
      </c>
      <c r="F57" s="15" t="s">
        <v>379</v>
      </c>
      <c r="G57" s="14" t="s">
        <v>375</v>
      </c>
      <c r="H57" s="14" t="s">
        <v>376</v>
      </c>
      <c r="I57" s="16">
        <v>39121</v>
      </c>
    </row>
    <row r="58" spans="1:9" ht="15.75" thickBot="1" x14ac:dyDescent="0.3">
      <c r="A58" s="14">
        <v>157</v>
      </c>
      <c r="B58" s="14" t="s">
        <v>427</v>
      </c>
      <c r="C58" s="14"/>
      <c r="D58" s="14" t="s">
        <v>680</v>
      </c>
      <c r="E58" s="14" t="s">
        <v>405</v>
      </c>
      <c r="F58" s="15" t="s">
        <v>379</v>
      </c>
      <c r="G58" s="14" t="s">
        <v>375</v>
      </c>
      <c r="H58" s="14" t="s">
        <v>376</v>
      </c>
      <c r="I58" s="16">
        <v>39121</v>
      </c>
    </row>
    <row r="59" spans="1:9" ht="15.75" thickBot="1" x14ac:dyDescent="0.3">
      <c r="A59" s="14">
        <v>158</v>
      </c>
      <c r="B59" s="14" t="s">
        <v>428</v>
      </c>
      <c r="C59" s="14" t="s">
        <v>429</v>
      </c>
      <c r="D59" s="14" t="s">
        <v>680</v>
      </c>
      <c r="E59" s="14" t="s">
        <v>408</v>
      </c>
      <c r="F59" s="15" t="s">
        <v>379</v>
      </c>
      <c r="G59" s="14" t="s">
        <v>375</v>
      </c>
      <c r="H59" s="14" t="s">
        <v>376</v>
      </c>
      <c r="I59" s="16">
        <v>41579</v>
      </c>
    </row>
    <row r="60" spans="1:9" ht="15.75" thickBot="1" x14ac:dyDescent="0.3">
      <c r="A60" s="14">
        <v>159</v>
      </c>
      <c r="B60" s="23" t="s">
        <v>430</v>
      </c>
      <c r="C60" s="14" t="s">
        <v>431</v>
      </c>
      <c r="D60" s="14"/>
      <c r="E60" s="14"/>
      <c r="F60" s="14" t="s">
        <v>381</v>
      </c>
      <c r="G60" s="14"/>
      <c r="H60" s="14"/>
      <c r="I60" s="14"/>
    </row>
    <row r="61" spans="1:9" ht="15.75" thickBot="1" x14ac:dyDescent="0.3">
      <c r="A61" s="14">
        <v>160</v>
      </c>
      <c r="B61" s="14" t="s">
        <v>56</v>
      </c>
      <c r="C61" s="14"/>
      <c r="D61" s="14" t="s">
        <v>392</v>
      </c>
      <c r="E61" s="14" t="s">
        <v>378</v>
      </c>
      <c r="F61" s="15" t="s">
        <v>379</v>
      </c>
      <c r="G61" s="14" t="s">
        <v>375</v>
      </c>
      <c r="H61" s="14" t="s">
        <v>376</v>
      </c>
      <c r="I61" s="16">
        <v>39121</v>
      </c>
    </row>
    <row r="62" spans="1:9" x14ac:dyDescent="0.25">
      <c r="A62" s="29">
        <v>161</v>
      </c>
      <c r="B62" s="29" t="s">
        <v>57</v>
      </c>
      <c r="C62" s="29" t="s">
        <v>432</v>
      </c>
      <c r="D62" s="29" t="s">
        <v>433</v>
      </c>
      <c r="E62" s="17" t="s">
        <v>681</v>
      </c>
      <c r="F62" s="34" t="s">
        <v>381</v>
      </c>
      <c r="G62" s="29" t="s">
        <v>375</v>
      </c>
      <c r="H62" s="29" t="s">
        <v>376</v>
      </c>
      <c r="I62" s="31">
        <v>40681</v>
      </c>
    </row>
    <row r="63" spans="1:9" x14ac:dyDescent="0.25">
      <c r="A63" s="33"/>
      <c r="B63" s="33"/>
      <c r="C63" s="33"/>
      <c r="D63" s="33"/>
      <c r="E63" s="24" t="s">
        <v>682</v>
      </c>
      <c r="F63" s="35"/>
      <c r="G63" s="33"/>
      <c r="H63" s="33"/>
      <c r="I63" s="37"/>
    </row>
    <row r="64" spans="1:9" ht="15.75" thickBot="1" x14ac:dyDescent="0.3">
      <c r="A64" s="30"/>
      <c r="B64" s="30"/>
      <c r="C64" s="30"/>
      <c r="D64" s="30"/>
      <c r="E64" s="25" t="s">
        <v>683</v>
      </c>
      <c r="F64" s="36"/>
      <c r="G64" s="30"/>
      <c r="H64" s="30"/>
      <c r="I64" s="32"/>
    </row>
    <row r="65" spans="1:9" ht="26.25" thickBot="1" x14ac:dyDescent="0.3">
      <c r="A65" s="14">
        <v>162</v>
      </c>
      <c r="B65" s="17" t="s">
        <v>705</v>
      </c>
      <c r="C65" s="17" t="s">
        <v>675</v>
      </c>
      <c r="D65" s="17" t="s">
        <v>380</v>
      </c>
      <c r="E65" s="17" t="s">
        <v>378</v>
      </c>
      <c r="F65" s="18" t="s">
        <v>387</v>
      </c>
      <c r="G65" s="17" t="s">
        <v>390</v>
      </c>
      <c r="H65" s="17" t="s">
        <v>391</v>
      </c>
      <c r="I65" s="19">
        <v>41359</v>
      </c>
    </row>
    <row r="66" spans="1:9" ht="26.25" thickBot="1" x14ac:dyDescent="0.3">
      <c r="A66" s="14">
        <v>163</v>
      </c>
      <c r="B66" s="14" t="s">
        <v>59</v>
      </c>
      <c r="C66" s="14" t="s">
        <v>388</v>
      </c>
      <c r="D66" s="14" t="s">
        <v>380</v>
      </c>
      <c r="E66" s="14" t="s">
        <v>389</v>
      </c>
      <c r="F66" s="21" t="s">
        <v>387</v>
      </c>
      <c r="G66" s="14" t="s">
        <v>390</v>
      </c>
      <c r="H66" s="14" t="s">
        <v>391</v>
      </c>
      <c r="I66" s="16">
        <v>41618</v>
      </c>
    </row>
    <row r="67" spans="1:9" ht="26.25" thickBot="1" x14ac:dyDescent="0.3">
      <c r="A67" s="14">
        <v>164</v>
      </c>
      <c r="B67" s="14" t="s">
        <v>301</v>
      </c>
      <c r="C67" s="14"/>
      <c r="D67" s="14" t="s">
        <v>409</v>
      </c>
      <c r="E67" s="14" t="s">
        <v>413</v>
      </c>
      <c r="F67" s="22" t="s">
        <v>393</v>
      </c>
      <c r="G67" s="14" t="s">
        <v>390</v>
      </c>
      <c r="H67" s="14" t="s">
        <v>391</v>
      </c>
      <c r="I67" s="16">
        <v>42583</v>
      </c>
    </row>
    <row r="68" spans="1:9" ht="26.25" thickBot="1" x14ac:dyDescent="0.3">
      <c r="A68" s="14">
        <v>165</v>
      </c>
      <c r="B68" s="14" t="s">
        <v>60</v>
      </c>
      <c r="C68" s="14"/>
      <c r="D68" s="14" t="s">
        <v>409</v>
      </c>
      <c r="E68" s="14" t="s">
        <v>410</v>
      </c>
      <c r="F68" s="22" t="s">
        <v>393</v>
      </c>
      <c r="G68" s="14" t="s">
        <v>390</v>
      </c>
      <c r="H68" s="14" t="s">
        <v>391</v>
      </c>
      <c r="I68" s="16">
        <v>40269</v>
      </c>
    </row>
    <row r="69" spans="1:9" ht="15.75" thickBot="1" x14ac:dyDescent="0.3">
      <c r="A69" s="14">
        <v>166</v>
      </c>
      <c r="B69" s="14" t="s">
        <v>61</v>
      </c>
      <c r="C69" s="14" t="s">
        <v>434</v>
      </c>
      <c r="D69" s="14" t="s">
        <v>435</v>
      </c>
      <c r="E69" s="14" t="s">
        <v>436</v>
      </c>
      <c r="F69" s="20" t="s">
        <v>381</v>
      </c>
      <c r="G69" s="14" t="s">
        <v>375</v>
      </c>
      <c r="H69" s="14" t="s">
        <v>376</v>
      </c>
      <c r="I69" s="16">
        <v>39121</v>
      </c>
    </row>
    <row r="70" spans="1:9" ht="15.75" thickBot="1" x14ac:dyDescent="0.3">
      <c r="A70" s="14">
        <v>167</v>
      </c>
      <c r="B70" s="14" t="s">
        <v>62</v>
      </c>
      <c r="C70" s="14"/>
      <c r="D70" s="14" t="s">
        <v>437</v>
      </c>
      <c r="E70" s="14" t="s">
        <v>378</v>
      </c>
      <c r="F70" s="15" t="s">
        <v>379</v>
      </c>
      <c r="G70" s="14" t="s">
        <v>375</v>
      </c>
      <c r="H70" s="14" t="s">
        <v>376</v>
      </c>
      <c r="I70" s="16">
        <v>41394</v>
      </c>
    </row>
    <row r="71" spans="1:9" ht="15.75" thickBot="1" x14ac:dyDescent="0.3">
      <c r="A71" s="14">
        <v>168</v>
      </c>
      <c r="B71" s="14" t="s">
        <v>63</v>
      </c>
      <c r="C71" s="14"/>
      <c r="D71" s="14" t="s">
        <v>437</v>
      </c>
      <c r="E71" s="14" t="s">
        <v>378</v>
      </c>
      <c r="F71" s="22" t="s">
        <v>393</v>
      </c>
      <c r="G71" s="14" t="s">
        <v>390</v>
      </c>
      <c r="H71" s="14" t="s">
        <v>422</v>
      </c>
      <c r="I71" s="16">
        <v>41394</v>
      </c>
    </row>
    <row r="72" spans="1:9" ht="15.75" thickBot="1" x14ac:dyDescent="0.3">
      <c r="A72" s="14">
        <v>169</v>
      </c>
      <c r="B72" s="14" t="s">
        <v>64</v>
      </c>
      <c r="C72" s="14" t="s">
        <v>438</v>
      </c>
      <c r="D72" s="14" t="s">
        <v>437</v>
      </c>
      <c r="E72" s="14" t="s">
        <v>378</v>
      </c>
      <c r="F72" s="15" t="s">
        <v>379</v>
      </c>
      <c r="G72" s="14" t="s">
        <v>375</v>
      </c>
      <c r="H72" s="14" t="s">
        <v>376</v>
      </c>
      <c r="I72" s="16">
        <v>41394</v>
      </c>
    </row>
    <row r="73" spans="1:9" ht="15.75" thickBot="1" x14ac:dyDescent="0.3">
      <c r="A73" s="14">
        <v>170</v>
      </c>
      <c r="B73" s="14" t="s">
        <v>65</v>
      </c>
      <c r="C73" s="14"/>
      <c r="D73" s="14" t="s">
        <v>437</v>
      </c>
      <c r="E73" s="14" t="s">
        <v>378</v>
      </c>
      <c r="F73" s="15" t="s">
        <v>379</v>
      </c>
      <c r="G73" s="14" t="s">
        <v>375</v>
      </c>
      <c r="H73" s="14" t="s">
        <v>376</v>
      </c>
      <c r="I73" s="16">
        <v>41317</v>
      </c>
    </row>
    <row r="74" spans="1:9" ht="15.75" thickBot="1" x14ac:dyDescent="0.3">
      <c r="A74" s="14">
        <v>171</v>
      </c>
      <c r="B74" s="14" t="s">
        <v>66</v>
      </c>
      <c r="C74" s="14" t="s">
        <v>439</v>
      </c>
      <c r="D74" s="14" t="s">
        <v>437</v>
      </c>
      <c r="E74" s="14" t="s">
        <v>378</v>
      </c>
      <c r="F74" s="15" t="s">
        <v>379</v>
      </c>
      <c r="G74" s="14" t="s">
        <v>375</v>
      </c>
      <c r="H74" s="14" t="s">
        <v>376</v>
      </c>
      <c r="I74" s="16">
        <v>41394</v>
      </c>
    </row>
    <row r="75" spans="1:9" ht="15.75" thickBot="1" x14ac:dyDescent="0.3">
      <c r="A75" s="14">
        <v>172</v>
      </c>
      <c r="B75" s="14" t="s">
        <v>67</v>
      </c>
      <c r="C75" s="14"/>
      <c r="D75" s="14" t="s">
        <v>437</v>
      </c>
      <c r="E75" s="14" t="s">
        <v>378</v>
      </c>
      <c r="F75" s="21" t="s">
        <v>387</v>
      </c>
      <c r="G75" s="14" t="s">
        <v>375</v>
      </c>
      <c r="H75" s="14" t="s">
        <v>376</v>
      </c>
      <c r="I75" s="16">
        <v>40262</v>
      </c>
    </row>
    <row r="76" spans="1:9" ht="15.75" thickBot="1" x14ac:dyDescent="0.3">
      <c r="A76" s="14">
        <v>173</v>
      </c>
      <c r="B76" s="14" t="s">
        <v>68</v>
      </c>
      <c r="C76" s="14" t="s">
        <v>440</v>
      </c>
      <c r="D76" s="14" t="s">
        <v>437</v>
      </c>
      <c r="E76" s="14" t="s">
        <v>378</v>
      </c>
      <c r="F76" s="21" t="s">
        <v>387</v>
      </c>
      <c r="G76" s="14" t="s">
        <v>375</v>
      </c>
      <c r="H76" s="14" t="s">
        <v>376</v>
      </c>
      <c r="I76" s="16">
        <v>41317</v>
      </c>
    </row>
    <row r="77" spans="1:9" ht="15.75" thickBot="1" x14ac:dyDescent="0.3">
      <c r="A77" s="14">
        <v>174</v>
      </c>
      <c r="B77" s="14" t="s">
        <v>69</v>
      </c>
      <c r="C77" s="14" t="s">
        <v>441</v>
      </c>
      <c r="D77" s="14" t="s">
        <v>677</v>
      </c>
      <c r="E77" s="14" t="s">
        <v>378</v>
      </c>
      <c r="F77" s="21" t="s">
        <v>387</v>
      </c>
      <c r="G77" s="14" t="s">
        <v>375</v>
      </c>
      <c r="H77" s="14" t="s">
        <v>376</v>
      </c>
      <c r="I77" s="16">
        <v>40262</v>
      </c>
    </row>
    <row r="78" spans="1:9" ht="15.75" thickBot="1" x14ac:dyDescent="0.3">
      <c r="A78" s="14">
        <v>175</v>
      </c>
      <c r="B78" s="14" t="s">
        <v>70</v>
      </c>
      <c r="C78" s="14" t="s">
        <v>442</v>
      </c>
      <c r="D78" s="14" t="s">
        <v>677</v>
      </c>
      <c r="E78" s="14" t="s">
        <v>378</v>
      </c>
      <c r="F78" s="21" t="s">
        <v>387</v>
      </c>
      <c r="G78" s="14" t="s">
        <v>375</v>
      </c>
      <c r="H78" s="14" t="s">
        <v>376</v>
      </c>
      <c r="I78" s="16">
        <v>40262</v>
      </c>
    </row>
    <row r="79" spans="1:9" ht="15.75" thickBot="1" x14ac:dyDescent="0.3">
      <c r="A79" s="14">
        <v>176</v>
      </c>
      <c r="B79" s="14" t="s">
        <v>71</v>
      </c>
      <c r="C79" s="14"/>
      <c r="D79" s="14" t="s">
        <v>677</v>
      </c>
      <c r="E79" s="14" t="s">
        <v>378</v>
      </c>
      <c r="F79" s="22" t="s">
        <v>393</v>
      </c>
      <c r="G79" s="14" t="s">
        <v>390</v>
      </c>
      <c r="H79" s="14" t="s">
        <v>376</v>
      </c>
      <c r="I79" s="16">
        <v>41347</v>
      </c>
    </row>
    <row r="80" spans="1:9" ht="15.75" thickBot="1" x14ac:dyDescent="0.3">
      <c r="A80" s="14">
        <v>177</v>
      </c>
      <c r="B80" s="14" t="s">
        <v>72</v>
      </c>
      <c r="C80" s="14"/>
      <c r="D80" s="14" t="s">
        <v>677</v>
      </c>
      <c r="E80" s="14" t="s">
        <v>378</v>
      </c>
      <c r="F80" s="22" t="s">
        <v>393</v>
      </c>
      <c r="G80" s="14" t="s">
        <v>390</v>
      </c>
      <c r="H80" s="14" t="s">
        <v>376</v>
      </c>
      <c r="I80" s="16">
        <v>41347</v>
      </c>
    </row>
    <row r="81" spans="1:9" ht="15.75" thickBot="1" x14ac:dyDescent="0.3">
      <c r="A81" s="14">
        <v>178</v>
      </c>
      <c r="B81" s="14" t="s">
        <v>73</v>
      </c>
      <c r="C81" s="14"/>
      <c r="D81" s="14" t="s">
        <v>677</v>
      </c>
      <c r="E81" s="14" t="s">
        <v>378</v>
      </c>
      <c r="F81" s="22" t="s">
        <v>393</v>
      </c>
      <c r="G81" s="14" t="s">
        <v>390</v>
      </c>
      <c r="H81" s="14" t="s">
        <v>376</v>
      </c>
      <c r="I81" s="16">
        <v>41347</v>
      </c>
    </row>
    <row r="82" spans="1:9" ht="15.75" thickBot="1" x14ac:dyDescent="0.3">
      <c r="A82" s="14">
        <v>179</v>
      </c>
      <c r="B82" s="14" t="s">
        <v>74</v>
      </c>
      <c r="C82" s="14"/>
      <c r="D82" s="14" t="s">
        <v>677</v>
      </c>
      <c r="E82" s="14" t="s">
        <v>378</v>
      </c>
      <c r="F82" s="22" t="s">
        <v>393</v>
      </c>
      <c r="G82" s="14" t="s">
        <v>390</v>
      </c>
      <c r="H82" s="14" t="s">
        <v>376</v>
      </c>
      <c r="I82" s="16">
        <v>41962</v>
      </c>
    </row>
    <row r="83" spans="1:9" ht="15.75" thickBot="1" x14ac:dyDescent="0.3">
      <c r="A83" s="14">
        <v>180</v>
      </c>
      <c r="B83" s="14" t="s">
        <v>75</v>
      </c>
      <c r="C83" s="14" t="s">
        <v>443</v>
      </c>
      <c r="D83" s="14" t="s">
        <v>392</v>
      </c>
      <c r="E83" s="14" t="s">
        <v>378</v>
      </c>
      <c r="F83" s="21" t="s">
        <v>387</v>
      </c>
      <c r="G83" s="14" t="s">
        <v>375</v>
      </c>
      <c r="H83" s="14" t="s">
        <v>376</v>
      </c>
      <c r="I83" s="16">
        <v>39121</v>
      </c>
    </row>
    <row r="84" spans="1:9" ht="15.75" thickBot="1" x14ac:dyDescent="0.3">
      <c r="A84" s="14">
        <v>181</v>
      </c>
      <c r="B84" s="14" t="s">
        <v>76</v>
      </c>
      <c r="C84" s="14"/>
      <c r="D84" s="14" t="s">
        <v>679</v>
      </c>
      <c r="E84" s="14" t="s">
        <v>405</v>
      </c>
      <c r="F84" s="22" t="s">
        <v>393</v>
      </c>
      <c r="G84" s="14" t="s">
        <v>390</v>
      </c>
      <c r="H84" s="14" t="s">
        <v>394</v>
      </c>
      <c r="I84" s="16">
        <v>40422</v>
      </c>
    </row>
    <row r="85" spans="1:9" ht="15.75" thickBot="1" x14ac:dyDescent="0.3">
      <c r="A85" s="14">
        <v>182</v>
      </c>
      <c r="B85" s="14" t="s">
        <v>77</v>
      </c>
      <c r="C85" s="14"/>
      <c r="D85" s="14" t="s">
        <v>679</v>
      </c>
      <c r="E85" s="14" t="s">
        <v>408</v>
      </c>
      <c r="F85" s="26" t="s">
        <v>444</v>
      </c>
      <c r="G85" s="14" t="s">
        <v>375</v>
      </c>
      <c r="H85" s="14" t="s">
        <v>376</v>
      </c>
      <c r="I85" s="16">
        <v>39121</v>
      </c>
    </row>
    <row r="86" spans="1:9" ht="15.75" thickBot="1" x14ac:dyDescent="0.3">
      <c r="A86" s="14">
        <v>183</v>
      </c>
      <c r="B86" s="14" t="s">
        <v>78</v>
      </c>
      <c r="C86" s="14"/>
      <c r="D86" s="14" t="s">
        <v>386</v>
      </c>
      <c r="E86" s="14" t="s">
        <v>400</v>
      </c>
      <c r="F86" s="22" t="s">
        <v>393</v>
      </c>
      <c r="G86" s="14" t="s">
        <v>390</v>
      </c>
      <c r="H86" s="14" t="s">
        <v>394</v>
      </c>
      <c r="I86" s="16">
        <v>41452</v>
      </c>
    </row>
    <row r="87" spans="1:9" ht="15.75" thickBot="1" x14ac:dyDescent="0.3">
      <c r="A87" s="14">
        <v>184</v>
      </c>
      <c r="B87" s="14" t="s">
        <v>79</v>
      </c>
      <c r="C87" s="14"/>
      <c r="D87" s="14" t="s">
        <v>386</v>
      </c>
      <c r="E87" s="14" t="s">
        <v>378</v>
      </c>
      <c r="F87" s="21" t="s">
        <v>387</v>
      </c>
      <c r="G87" s="14" t="s">
        <v>375</v>
      </c>
      <c r="H87" s="14" t="s">
        <v>376</v>
      </c>
      <c r="I87" s="16">
        <v>41452</v>
      </c>
    </row>
    <row r="88" spans="1:9" ht="15.75" thickBot="1" x14ac:dyDescent="0.3">
      <c r="A88" s="14">
        <v>185</v>
      </c>
      <c r="B88" s="14" t="s">
        <v>445</v>
      </c>
      <c r="C88" s="14" t="s">
        <v>446</v>
      </c>
      <c r="D88" s="14" t="s">
        <v>386</v>
      </c>
      <c r="E88" s="14" t="s">
        <v>447</v>
      </c>
      <c r="F88" s="21" t="s">
        <v>387</v>
      </c>
      <c r="G88" s="14" t="s">
        <v>375</v>
      </c>
      <c r="H88" s="14" t="s">
        <v>376</v>
      </c>
      <c r="I88" s="16">
        <v>40372</v>
      </c>
    </row>
    <row r="89" spans="1:9" ht="15.75" thickBot="1" x14ac:dyDescent="0.3">
      <c r="A89" s="14">
        <v>186</v>
      </c>
      <c r="B89" s="14" t="s">
        <v>80</v>
      </c>
      <c r="C89" s="14" t="s">
        <v>448</v>
      </c>
      <c r="D89" s="14" t="s">
        <v>386</v>
      </c>
      <c r="E89" s="14" t="s">
        <v>447</v>
      </c>
      <c r="F89" s="21" t="s">
        <v>387</v>
      </c>
      <c r="G89" s="14" t="s">
        <v>375</v>
      </c>
      <c r="H89" s="14" t="s">
        <v>376</v>
      </c>
      <c r="I89" s="16">
        <v>42613</v>
      </c>
    </row>
    <row r="90" spans="1:9" ht="15.75" thickBot="1" x14ac:dyDescent="0.3">
      <c r="A90" s="14">
        <v>187</v>
      </c>
      <c r="B90" s="14" t="s">
        <v>302</v>
      </c>
      <c r="C90" s="14"/>
      <c r="D90" s="14" t="s">
        <v>386</v>
      </c>
      <c r="E90" s="14" t="s">
        <v>408</v>
      </c>
      <c r="F90" s="21" t="s">
        <v>387</v>
      </c>
      <c r="G90" s="14" t="s">
        <v>390</v>
      </c>
      <c r="H90" s="14" t="s">
        <v>376</v>
      </c>
      <c r="I90" s="16">
        <v>43302</v>
      </c>
    </row>
    <row r="91" spans="1:9" ht="15.75" thickBot="1" x14ac:dyDescent="0.3">
      <c r="A91" s="14">
        <v>188</v>
      </c>
      <c r="B91" s="14" t="s">
        <v>303</v>
      </c>
      <c r="C91" s="14"/>
      <c r="D91" s="14" t="s">
        <v>386</v>
      </c>
      <c r="E91" s="14" t="s">
        <v>408</v>
      </c>
      <c r="F91" s="21" t="s">
        <v>387</v>
      </c>
      <c r="G91" s="14" t="s">
        <v>375</v>
      </c>
      <c r="H91" s="14" t="s">
        <v>376</v>
      </c>
      <c r="I91" s="16">
        <v>43302</v>
      </c>
    </row>
    <row r="92" spans="1:9" ht="15.75" thickBot="1" x14ac:dyDescent="0.3">
      <c r="A92" s="14">
        <v>189</v>
      </c>
      <c r="B92" s="14" t="s">
        <v>304</v>
      </c>
      <c r="C92" s="14"/>
      <c r="D92" s="14" t="s">
        <v>449</v>
      </c>
      <c r="E92" s="14" t="s">
        <v>400</v>
      </c>
      <c r="F92" s="21" t="s">
        <v>387</v>
      </c>
      <c r="G92" s="14" t="s">
        <v>375</v>
      </c>
      <c r="H92" s="14" t="s">
        <v>376</v>
      </c>
      <c r="I92" s="16">
        <v>40603</v>
      </c>
    </row>
    <row r="93" spans="1:9" ht="15.75" thickBot="1" x14ac:dyDescent="0.3">
      <c r="A93" s="14">
        <v>190</v>
      </c>
      <c r="B93" s="14" t="s">
        <v>35</v>
      </c>
      <c r="C93" s="14" t="s">
        <v>406</v>
      </c>
      <c r="D93" s="14" t="s">
        <v>678</v>
      </c>
      <c r="E93" s="14" t="s">
        <v>399</v>
      </c>
      <c r="F93" s="15" t="s">
        <v>379</v>
      </c>
      <c r="G93" s="14" t="s">
        <v>375</v>
      </c>
      <c r="H93" s="14" t="s">
        <v>376</v>
      </c>
      <c r="I93" s="16">
        <v>39728</v>
      </c>
    </row>
    <row r="94" spans="1:9" ht="15.75" thickBot="1" x14ac:dyDescent="0.3">
      <c r="A94" s="14">
        <v>191</v>
      </c>
      <c r="B94" s="14" t="s">
        <v>403</v>
      </c>
      <c r="C94" s="14" t="s">
        <v>404</v>
      </c>
      <c r="D94" s="14" t="s">
        <v>678</v>
      </c>
      <c r="E94" s="14" t="s">
        <v>405</v>
      </c>
      <c r="F94" s="15" t="s">
        <v>379</v>
      </c>
      <c r="G94" s="14" t="s">
        <v>375</v>
      </c>
      <c r="H94" s="14" t="s">
        <v>376</v>
      </c>
      <c r="I94" s="16">
        <v>39378</v>
      </c>
    </row>
    <row r="95" spans="1:9" ht="15.75" thickBot="1" x14ac:dyDescent="0.3">
      <c r="A95" s="14">
        <v>192</v>
      </c>
      <c r="B95" s="14" t="s">
        <v>684</v>
      </c>
      <c r="C95" s="14"/>
      <c r="D95" s="14" t="s">
        <v>421</v>
      </c>
      <c r="E95" s="14" t="s">
        <v>408</v>
      </c>
      <c r="F95" s="21" t="s">
        <v>387</v>
      </c>
      <c r="G95" s="14" t="s">
        <v>375</v>
      </c>
      <c r="H95" s="14" t="s">
        <v>376</v>
      </c>
      <c r="I95" s="16">
        <v>40892</v>
      </c>
    </row>
    <row r="96" spans="1:9" ht="15.75" thickBot="1" x14ac:dyDescent="0.3">
      <c r="A96" s="14">
        <v>193</v>
      </c>
      <c r="B96" s="14" t="s">
        <v>451</v>
      </c>
      <c r="C96" s="14"/>
      <c r="D96" s="14" t="s">
        <v>449</v>
      </c>
      <c r="E96" s="14" t="s">
        <v>399</v>
      </c>
      <c r="F96" s="21" t="s">
        <v>387</v>
      </c>
      <c r="G96" s="14" t="s">
        <v>375</v>
      </c>
      <c r="H96" s="14" t="s">
        <v>376</v>
      </c>
      <c r="I96" s="16">
        <v>40892</v>
      </c>
    </row>
    <row r="97" spans="1:9" ht="15.75" thickBot="1" x14ac:dyDescent="0.3">
      <c r="A97" s="14">
        <v>194</v>
      </c>
      <c r="B97" s="14" t="s">
        <v>81</v>
      </c>
      <c r="C97" s="14" t="s">
        <v>450</v>
      </c>
      <c r="D97" s="14" t="s">
        <v>678</v>
      </c>
      <c r="E97" s="14" t="s">
        <v>405</v>
      </c>
      <c r="F97" s="15" t="s">
        <v>379</v>
      </c>
      <c r="G97" s="14" t="s">
        <v>375</v>
      </c>
      <c r="H97" s="14" t="s">
        <v>376</v>
      </c>
      <c r="I97" s="16">
        <v>39121</v>
      </c>
    </row>
    <row r="98" spans="1:9" ht="26.25" thickBot="1" x14ac:dyDescent="0.3">
      <c r="A98" s="14">
        <v>195</v>
      </c>
      <c r="B98" s="14" t="s">
        <v>84</v>
      </c>
      <c r="C98" s="14"/>
      <c r="D98" s="14" t="s">
        <v>384</v>
      </c>
      <c r="E98" s="14" t="s">
        <v>420</v>
      </c>
      <c r="F98" s="22" t="s">
        <v>393</v>
      </c>
      <c r="G98" s="14" t="s">
        <v>390</v>
      </c>
      <c r="H98" s="14" t="s">
        <v>391</v>
      </c>
      <c r="I98" s="16">
        <v>41548</v>
      </c>
    </row>
    <row r="99" spans="1:9" ht="15.75" thickBot="1" x14ac:dyDescent="0.3">
      <c r="A99" s="14">
        <v>196</v>
      </c>
      <c r="B99" s="14" t="s">
        <v>305</v>
      </c>
      <c r="C99" s="14" t="s">
        <v>452</v>
      </c>
      <c r="D99" s="14" t="s">
        <v>384</v>
      </c>
      <c r="E99" s="14" t="s">
        <v>447</v>
      </c>
      <c r="F99" s="15" t="s">
        <v>379</v>
      </c>
      <c r="G99" s="14" t="s">
        <v>375</v>
      </c>
      <c r="H99" s="14" t="s">
        <v>376</v>
      </c>
      <c r="I99" s="16">
        <v>41289</v>
      </c>
    </row>
    <row r="100" spans="1:9" ht="15.75" thickBot="1" x14ac:dyDescent="0.3">
      <c r="A100" s="14">
        <v>197</v>
      </c>
      <c r="B100" s="14" t="s">
        <v>85</v>
      </c>
      <c r="C100" s="14"/>
      <c r="D100" s="14" t="s">
        <v>421</v>
      </c>
      <c r="E100" s="14" t="s">
        <v>418</v>
      </c>
      <c r="F100" s="21" t="s">
        <v>387</v>
      </c>
      <c r="G100" s="14" t="s">
        <v>375</v>
      </c>
      <c r="H100" s="14" t="s">
        <v>376</v>
      </c>
      <c r="I100" s="16">
        <v>41256</v>
      </c>
    </row>
    <row r="101" spans="1:9" ht="15.75" thickBot="1" x14ac:dyDescent="0.3">
      <c r="A101" s="14">
        <v>198</v>
      </c>
      <c r="B101" s="14" t="s">
        <v>86</v>
      </c>
      <c r="C101" s="14" t="s">
        <v>453</v>
      </c>
      <c r="D101" s="14" t="s">
        <v>454</v>
      </c>
      <c r="E101" s="14" t="s">
        <v>378</v>
      </c>
      <c r="F101" s="21" t="s">
        <v>387</v>
      </c>
      <c r="G101" s="14" t="s">
        <v>375</v>
      </c>
      <c r="H101" s="14" t="s">
        <v>376</v>
      </c>
      <c r="I101" s="16">
        <v>41326</v>
      </c>
    </row>
    <row r="102" spans="1:9" ht="15.75" thickBot="1" x14ac:dyDescent="0.3">
      <c r="A102" s="14">
        <v>199</v>
      </c>
      <c r="B102" s="14" t="s">
        <v>455</v>
      </c>
      <c r="C102" s="14"/>
      <c r="D102" s="14" t="s">
        <v>680</v>
      </c>
      <c r="E102" s="14" t="s">
        <v>405</v>
      </c>
      <c r="F102" s="22" t="s">
        <v>393</v>
      </c>
      <c r="G102" s="14" t="s">
        <v>390</v>
      </c>
      <c r="H102" s="14" t="s">
        <v>394</v>
      </c>
      <c r="I102" s="16">
        <v>40024</v>
      </c>
    </row>
    <row r="103" spans="1:9" ht="15.75" thickBot="1" x14ac:dyDescent="0.3">
      <c r="A103" s="14">
        <v>200</v>
      </c>
      <c r="B103" s="14" t="s">
        <v>103</v>
      </c>
      <c r="C103" s="14" t="s">
        <v>523</v>
      </c>
      <c r="D103" s="14" t="s">
        <v>678</v>
      </c>
      <c r="E103" s="14" t="s">
        <v>399</v>
      </c>
      <c r="F103" s="21" t="s">
        <v>387</v>
      </c>
      <c r="G103" s="14" t="s">
        <v>375</v>
      </c>
      <c r="H103" s="14" t="s">
        <v>376</v>
      </c>
      <c r="I103" s="16">
        <v>40823</v>
      </c>
    </row>
    <row r="104" spans="1:9" ht="15.75" thickBot="1" x14ac:dyDescent="0.3">
      <c r="A104" s="14">
        <v>201</v>
      </c>
      <c r="B104" s="14" t="s">
        <v>88</v>
      </c>
      <c r="C104" s="14" t="s">
        <v>457</v>
      </c>
      <c r="D104" s="14" t="s">
        <v>421</v>
      </c>
      <c r="E104" s="14" t="s">
        <v>458</v>
      </c>
      <c r="F104" s="21" t="s">
        <v>387</v>
      </c>
      <c r="G104" s="14" t="s">
        <v>375</v>
      </c>
      <c r="H104" s="14" t="s">
        <v>376</v>
      </c>
      <c r="I104" s="16">
        <v>41520</v>
      </c>
    </row>
    <row r="105" spans="1:9" ht="15.75" thickBot="1" x14ac:dyDescent="0.3">
      <c r="A105" s="14">
        <v>202</v>
      </c>
      <c r="B105" s="14" t="s">
        <v>89</v>
      </c>
      <c r="C105" s="14" t="s">
        <v>459</v>
      </c>
      <c r="D105" s="14" t="s">
        <v>421</v>
      </c>
      <c r="E105" s="14" t="s">
        <v>408</v>
      </c>
      <c r="F105" s="21" t="s">
        <v>387</v>
      </c>
      <c r="G105" s="14" t="s">
        <v>375</v>
      </c>
      <c r="H105" s="14" t="s">
        <v>376</v>
      </c>
      <c r="I105" s="16">
        <v>41520</v>
      </c>
    </row>
    <row r="106" spans="1:9" ht="26.25" thickBot="1" x14ac:dyDescent="0.3">
      <c r="A106" s="14">
        <v>203</v>
      </c>
      <c r="B106" s="14" t="s">
        <v>90</v>
      </c>
      <c r="C106" s="14"/>
      <c r="D106" s="14" t="s">
        <v>384</v>
      </c>
      <c r="E106" s="14" t="s">
        <v>378</v>
      </c>
      <c r="F106" s="21" t="s">
        <v>387</v>
      </c>
      <c r="G106" s="14" t="s">
        <v>390</v>
      </c>
      <c r="H106" s="14" t="s">
        <v>391</v>
      </c>
      <c r="I106" s="16">
        <v>42703</v>
      </c>
    </row>
    <row r="107" spans="1:9" ht="15.75" thickBot="1" x14ac:dyDescent="0.3">
      <c r="A107" s="14">
        <v>204</v>
      </c>
      <c r="B107" s="14" t="s">
        <v>91</v>
      </c>
      <c r="C107" s="14" t="s">
        <v>460</v>
      </c>
      <c r="D107" s="14" t="s">
        <v>461</v>
      </c>
      <c r="E107" s="14" t="s">
        <v>378</v>
      </c>
      <c r="F107" s="27" t="s">
        <v>462</v>
      </c>
      <c r="G107" s="14" t="s">
        <v>375</v>
      </c>
      <c r="H107" s="14" t="s">
        <v>376</v>
      </c>
      <c r="I107" s="16">
        <v>41593</v>
      </c>
    </row>
    <row r="108" spans="1:9" ht="15.75" thickBot="1" x14ac:dyDescent="0.3">
      <c r="A108" s="14">
        <v>206</v>
      </c>
      <c r="B108" s="14" t="s">
        <v>92</v>
      </c>
      <c r="C108" s="14"/>
      <c r="D108" s="14" t="s">
        <v>392</v>
      </c>
      <c r="E108" s="14" t="s">
        <v>378</v>
      </c>
      <c r="F108" s="22" t="s">
        <v>393</v>
      </c>
      <c r="G108" s="14" t="s">
        <v>390</v>
      </c>
      <c r="H108" s="14" t="s">
        <v>394</v>
      </c>
      <c r="I108" s="16">
        <v>40659</v>
      </c>
    </row>
    <row r="109" spans="1:9" ht="15.75" thickBot="1" x14ac:dyDescent="0.3">
      <c r="A109" s="14">
        <v>207</v>
      </c>
      <c r="B109" s="14" t="s">
        <v>93</v>
      </c>
      <c r="C109" s="14" t="s">
        <v>463</v>
      </c>
      <c r="D109" s="14" t="s">
        <v>392</v>
      </c>
      <c r="E109" s="14" t="s">
        <v>378</v>
      </c>
      <c r="F109" s="15" t="s">
        <v>379</v>
      </c>
      <c r="G109" s="14" t="s">
        <v>375</v>
      </c>
      <c r="H109" s="14" t="s">
        <v>376</v>
      </c>
      <c r="I109" s="16">
        <v>39905</v>
      </c>
    </row>
    <row r="110" spans="1:9" ht="15.75" thickBot="1" x14ac:dyDescent="0.3">
      <c r="A110" s="14">
        <v>208</v>
      </c>
      <c r="B110" s="14" t="s">
        <v>94</v>
      </c>
      <c r="C110" s="14"/>
      <c r="D110" s="14" t="s">
        <v>685</v>
      </c>
      <c r="E110" s="14" t="s">
        <v>378</v>
      </c>
      <c r="F110" s="15" t="s">
        <v>379</v>
      </c>
      <c r="G110" s="14" t="s">
        <v>375</v>
      </c>
      <c r="H110" s="14" t="s">
        <v>376</v>
      </c>
      <c r="I110" s="16">
        <v>41582</v>
      </c>
    </row>
    <row r="111" spans="1:9" ht="15.75" thickBot="1" x14ac:dyDescent="0.3">
      <c r="A111" s="14">
        <v>209</v>
      </c>
      <c r="B111" s="14" t="s">
        <v>95</v>
      </c>
      <c r="C111" s="14"/>
      <c r="D111" s="14" t="s">
        <v>685</v>
      </c>
      <c r="E111" s="14" t="s">
        <v>378</v>
      </c>
      <c r="F111" s="22" t="s">
        <v>393</v>
      </c>
      <c r="G111" s="14" t="s">
        <v>390</v>
      </c>
      <c r="H111" s="14" t="s">
        <v>376</v>
      </c>
      <c r="I111" s="16">
        <v>42278</v>
      </c>
    </row>
    <row r="112" spans="1:9" ht="15.75" thickBot="1" x14ac:dyDescent="0.3">
      <c r="A112" s="14">
        <v>210</v>
      </c>
      <c r="B112" s="14" t="s">
        <v>464</v>
      </c>
      <c r="C112" s="14" t="s">
        <v>465</v>
      </c>
      <c r="D112" s="14" t="s">
        <v>409</v>
      </c>
      <c r="E112" s="14" t="s">
        <v>378</v>
      </c>
      <c r="F112" s="22" t="s">
        <v>393</v>
      </c>
      <c r="G112" s="14" t="s">
        <v>375</v>
      </c>
      <c r="H112" s="14" t="s">
        <v>376</v>
      </c>
      <c r="I112" s="16">
        <v>42467</v>
      </c>
    </row>
    <row r="113" spans="1:9" ht="26.25" thickBot="1" x14ac:dyDescent="0.3">
      <c r="A113" s="14">
        <v>211</v>
      </c>
      <c r="B113" s="14" t="s">
        <v>82</v>
      </c>
      <c r="C113" s="14"/>
      <c r="D113" s="14" t="s">
        <v>678</v>
      </c>
      <c r="E113" s="14" t="s">
        <v>400</v>
      </c>
      <c r="F113" s="22" t="s">
        <v>393</v>
      </c>
      <c r="G113" s="14" t="s">
        <v>390</v>
      </c>
      <c r="H113" s="14" t="s">
        <v>391</v>
      </c>
      <c r="I113" s="16">
        <v>40828</v>
      </c>
    </row>
    <row r="114" spans="1:9" ht="15.75" thickBot="1" x14ac:dyDescent="0.3">
      <c r="A114" s="14">
        <v>212</v>
      </c>
      <c r="B114" s="14" t="s">
        <v>97</v>
      </c>
      <c r="C114" s="14"/>
      <c r="D114" s="14" t="s">
        <v>449</v>
      </c>
      <c r="E114" s="14" t="s">
        <v>378</v>
      </c>
      <c r="F114" s="21" t="s">
        <v>387</v>
      </c>
      <c r="G114" s="14" t="s">
        <v>375</v>
      </c>
      <c r="H114" s="14" t="s">
        <v>376</v>
      </c>
      <c r="I114" s="16">
        <v>42556</v>
      </c>
    </row>
    <row r="115" spans="1:9" ht="15.75" thickBot="1" x14ac:dyDescent="0.3">
      <c r="A115" s="14">
        <v>213</v>
      </c>
      <c r="B115" s="14" t="s">
        <v>98</v>
      </c>
      <c r="C115" s="14"/>
      <c r="D115" s="14" t="s">
        <v>437</v>
      </c>
      <c r="E115" s="14" t="s">
        <v>378</v>
      </c>
      <c r="F115" s="15" t="s">
        <v>379</v>
      </c>
      <c r="G115" s="14" t="s">
        <v>375</v>
      </c>
      <c r="H115" s="14" t="s">
        <v>376</v>
      </c>
      <c r="I115" s="16">
        <v>39455</v>
      </c>
    </row>
    <row r="116" spans="1:9" ht="15.75" thickBot="1" x14ac:dyDescent="0.3">
      <c r="A116" s="14">
        <v>214</v>
      </c>
      <c r="B116" s="14" t="s">
        <v>99</v>
      </c>
      <c r="C116" s="14" t="s">
        <v>467</v>
      </c>
      <c r="D116" s="14" t="s">
        <v>437</v>
      </c>
      <c r="E116" s="14" t="s">
        <v>378</v>
      </c>
      <c r="F116" s="15" t="s">
        <v>379</v>
      </c>
      <c r="G116" s="14" t="s">
        <v>375</v>
      </c>
      <c r="H116" s="14" t="s">
        <v>376</v>
      </c>
      <c r="I116" s="16">
        <v>41310</v>
      </c>
    </row>
    <row r="117" spans="1:9" ht="15.75" thickBot="1" x14ac:dyDescent="0.3">
      <c r="A117" s="14">
        <v>215</v>
      </c>
      <c r="B117" s="14" t="s">
        <v>100</v>
      </c>
      <c r="C117" s="14"/>
      <c r="D117" s="14" t="s">
        <v>437</v>
      </c>
      <c r="E117" s="14" t="s">
        <v>378</v>
      </c>
      <c r="F117" s="21" t="s">
        <v>387</v>
      </c>
      <c r="G117" s="14" t="s">
        <v>375</v>
      </c>
      <c r="H117" s="14" t="s">
        <v>376</v>
      </c>
      <c r="I117" s="16">
        <v>42809</v>
      </c>
    </row>
    <row r="118" spans="1:9" ht="15.75" thickBot="1" x14ac:dyDescent="0.3">
      <c r="A118" s="14">
        <v>216</v>
      </c>
      <c r="B118" s="14" t="s">
        <v>101</v>
      </c>
      <c r="C118" s="14"/>
      <c r="D118" s="14" t="s">
        <v>685</v>
      </c>
      <c r="E118" s="14" t="s">
        <v>378</v>
      </c>
      <c r="F118" s="15" t="s">
        <v>379</v>
      </c>
      <c r="G118" s="14" t="s">
        <v>375</v>
      </c>
      <c r="H118" s="14" t="s">
        <v>376</v>
      </c>
      <c r="I118" s="16">
        <v>42901</v>
      </c>
    </row>
    <row r="119" spans="1:9" ht="15.75" thickBot="1" x14ac:dyDescent="0.3">
      <c r="A119" s="14">
        <v>217</v>
      </c>
      <c r="B119" s="14" t="s">
        <v>306</v>
      </c>
      <c r="C119" s="14"/>
      <c r="D119" s="14" t="s">
        <v>437</v>
      </c>
      <c r="E119" s="14" t="s">
        <v>378</v>
      </c>
      <c r="F119" s="21" t="s">
        <v>387</v>
      </c>
      <c r="G119" s="14" t="s">
        <v>390</v>
      </c>
      <c r="H119" s="14" t="s">
        <v>376</v>
      </c>
      <c r="I119" s="16">
        <v>43314</v>
      </c>
    </row>
    <row r="120" spans="1:9" ht="15.75" thickBot="1" x14ac:dyDescent="0.3">
      <c r="A120" s="14">
        <v>218</v>
      </c>
      <c r="B120" s="14" t="s">
        <v>307</v>
      </c>
      <c r="C120" s="14"/>
      <c r="D120" s="14" t="s">
        <v>680</v>
      </c>
      <c r="E120" s="14" t="s">
        <v>468</v>
      </c>
      <c r="F120" s="21" t="s">
        <v>387</v>
      </c>
      <c r="G120" s="14" t="s">
        <v>375</v>
      </c>
      <c r="H120" s="14" t="s">
        <v>376</v>
      </c>
      <c r="I120" s="16">
        <v>43302</v>
      </c>
    </row>
    <row r="121" spans="1:9" ht="15.75" thickBot="1" x14ac:dyDescent="0.3">
      <c r="A121" s="14">
        <v>219</v>
      </c>
      <c r="B121" s="14" t="s">
        <v>308</v>
      </c>
      <c r="C121" s="14"/>
      <c r="D121" s="14" t="s">
        <v>469</v>
      </c>
      <c r="E121" s="14" t="s">
        <v>378</v>
      </c>
      <c r="F121" s="21" t="s">
        <v>387</v>
      </c>
      <c r="G121" s="14" t="s">
        <v>375</v>
      </c>
      <c r="H121" s="14" t="s">
        <v>376</v>
      </c>
      <c r="I121" s="16">
        <v>43302</v>
      </c>
    </row>
    <row r="122" spans="1:9" ht="15.75" thickBot="1" x14ac:dyDescent="0.3">
      <c r="A122" s="14">
        <v>220</v>
      </c>
      <c r="B122" s="14" t="s">
        <v>309</v>
      </c>
      <c r="C122" s="14" t="s">
        <v>470</v>
      </c>
      <c r="D122" s="14" t="s">
        <v>449</v>
      </c>
      <c r="E122" s="14" t="s">
        <v>399</v>
      </c>
      <c r="F122" s="21" t="s">
        <v>387</v>
      </c>
      <c r="G122" s="14" t="s">
        <v>375</v>
      </c>
      <c r="H122" s="14" t="s">
        <v>376</v>
      </c>
      <c r="I122" s="16">
        <v>43302</v>
      </c>
    </row>
    <row r="123" spans="1:9" ht="15.75" thickBot="1" x14ac:dyDescent="0.3">
      <c r="A123" s="14">
        <v>222</v>
      </c>
      <c r="B123" s="14" t="s">
        <v>313</v>
      </c>
      <c r="C123" s="14" t="s">
        <v>471</v>
      </c>
      <c r="D123" s="14" t="s">
        <v>685</v>
      </c>
      <c r="E123" s="14" t="s">
        <v>378</v>
      </c>
      <c r="F123" s="22" t="s">
        <v>393</v>
      </c>
      <c r="G123" s="14" t="s">
        <v>390</v>
      </c>
      <c r="H123" s="14" t="s">
        <v>376</v>
      </c>
      <c r="I123" s="16">
        <v>43302</v>
      </c>
    </row>
    <row r="124" spans="1:9" ht="15.75" thickBot="1" x14ac:dyDescent="0.3">
      <c r="A124" s="14">
        <v>223</v>
      </c>
      <c r="B124" s="14" t="s">
        <v>121</v>
      </c>
      <c r="C124" s="14" t="s">
        <v>472</v>
      </c>
      <c r="D124" s="14" t="s">
        <v>685</v>
      </c>
      <c r="E124" s="14" t="s">
        <v>473</v>
      </c>
      <c r="F124" s="22" t="s">
        <v>393</v>
      </c>
      <c r="G124" s="14" t="s">
        <v>375</v>
      </c>
      <c r="H124" s="14" t="s">
        <v>376</v>
      </c>
      <c r="I124" s="16">
        <v>39121</v>
      </c>
    </row>
    <row r="125" spans="1:9" ht="15.75" thickBot="1" x14ac:dyDescent="0.3">
      <c r="A125" s="14">
        <v>224</v>
      </c>
      <c r="B125" s="14" t="s">
        <v>317</v>
      </c>
      <c r="C125" s="14" t="s">
        <v>474</v>
      </c>
      <c r="D125" s="14" t="s">
        <v>685</v>
      </c>
      <c r="E125" s="14" t="s">
        <v>378</v>
      </c>
      <c r="F125" s="22" t="s">
        <v>393</v>
      </c>
      <c r="G125" s="14" t="s">
        <v>375</v>
      </c>
      <c r="H125" s="14" t="s">
        <v>376</v>
      </c>
      <c r="I125" s="16">
        <v>43302</v>
      </c>
    </row>
    <row r="126" spans="1:9" ht="15.75" thickBot="1" x14ac:dyDescent="0.3">
      <c r="A126" s="14">
        <v>225</v>
      </c>
      <c r="B126" s="14" t="s">
        <v>310</v>
      </c>
      <c r="C126" s="14" t="s">
        <v>475</v>
      </c>
      <c r="D126" s="14" t="s">
        <v>685</v>
      </c>
      <c r="E126" s="14" t="s">
        <v>378</v>
      </c>
      <c r="F126" s="15" t="s">
        <v>379</v>
      </c>
      <c r="G126" s="14" t="s">
        <v>375</v>
      </c>
      <c r="H126" s="14" t="s">
        <v>376</v>
      </c>
      <c r="I126" s="16">
        <v>43302</v>
      </c>
    </row>
    <row r="127" spans="1:9" ht="26.25" thickBot="1" x14ac:dyDescent="0.3">
      <c r="A127" s="14">
        <v>226</v>
      </c>
      <c r="B127" s="14" t="s">
        <v>456</v>
      </c>
      <c r="C127" s="14"/>
      <c r="D127" s="14" t="s">
        <v>678</v>
      </c>
      <c r="E127" s="14" t="s">
        <v>399</v>
      </c>
      <c r="F127" s="22" t="s">
        <v>393</v>
      </c>
      <c r="G127" s="14" t="s">
        <v>390</v>
      </c>
      <c r="H127" s="14" t="s">
        <v>391</v>
      </c>
      <c r="I127" s="16">
        <v>41093</v>
      </c>
    </row>
    <row r="128" spans="1:9" ht="15.75" thickBot="1" x14ac:dyDescent="0.3">
      <c r="A128" s="14">
        <v>227</v>
      </c>
      <c r="B128" s="14" t="s">
        <v>83</v>
      </c>
      <c r="C128" s="14"/>
      <c r="D128" s="14" t="s">
        <v>678</v>
      </c>
      <c r="E128" s="14" t="s">
        <v>399</v>
      </c>
      <c r="F128" s="15" t="s">
        <v>379</v>
      </c>
      <c r="G128" s="14" t="s">
        <v>390</v>
      </c>
      <c r="H128" s="14" t="s">
        <v>376</v>
      </c>
      <c r="I128" s="16">
        <v>40826</v>
      </c>
    </row>
    <row r="129" spans="1:9" ht="26.25" thickBot="1" x14ac:dyDescent="0.3">
      <c r="A129" s="14">
        <v>999</v>
      </c>
      <c r="B129" s="14" t="s">
        <v>476</v>
      </c>
      <c r="C129" s="14"/>
      <c r="D129" s="14" t="s">
        <v>672</v>
      </c>
      <c r="E129" s="14" t="s">
        <v>477</v>
      </c>
      <c r="F129" s="22" t="s">
        <v>393</v>
      </c>
      <c r="G129" s="28" t="s">
        <v>478</v>
      </c>
      <c r="H129" s="14" t="s">
        <v>376</v>
      </c>
      <c r="I129" s="16">
        <v>43360</v>
      </c>
    </row>
    <row r="130" spans="1:9" ht="15.75" thickBot="1" x14ac:dyDescent="0.3">
      <c r="A130" s="14">
        <v>159</v>
      </c>
      <c r="B130" s="14" t="s">
        <v>479</v>
      </c>
      <c r="C130" s="14" t="s">
        <v>480</v>
      </c>
      <c r="D130" s="14" t="s">
        <v>481</v>
      </c>
      <c r="E130" s="14" t="s">
        <v>482</v>
      </c>
      <c r="F130" s="21" t="s">
        <v>387</v>
      </c>
      <c r="G130" s="14" t="s">
        <v>375</v>
      </c>
      <c r="H130" s="16">
        <v>43344</v>
      </c>
    </row>
    <row r="131" spans="1:9" ht="15.75" thickBot="1" x14ac:dyDescent="0.3">
      <c r="A131" s="14">
        <v>159</v>
      </c>
      <c r="B131" s="14" t="s">
        <v>483</v>
      </c>
      <c r="C131" s="14" t="s">
        <v>484</v>
      </c>
      <c r="D131" s="14" t="s">
        <v>686</v>
      </c>
      <c r="E131" s="14" t="s">
        <v>378</v>
      </c>
      <c r="F131" s="21" t="s">
        <v>387</v>
      </c>
      <c r="G131" s="14" t="s">
        <v>375</v>
      </c>
      <c r="H131" s="16">
        <v>41729</v>
      </c>
    </row>
    <row r="132" spans="1:9" ht="15.75" thickBot="1" x14ac:dyDescent="0.3">
      <c r="A132" s="14">
        <v>159</v>
      </c>
      <c r="B132" s="14" t="s">
        <v>485</v>
      </c>
      <c r="C132" s="14" t="s">
        <v>486</v>
      </c>
      <c r="D132" s="14" t="s">
        <v>487</v>
      </c>
      <c r="E132" s="14" t="s">
        <v>488</v>
      </c>
      <c r="F132" s="21" t="s">
        <v>387</v>
      </c>
      <c r="G132" s="14" t="s">
        <v>375</v>
      </c>
      <c r="H132" s="16">
        <v>41788</v>
      </c>
    </row>
    <row r="133" spans="1:9" ht="15.75" thickBot="1" x14ac:dyDescent="0.3">
      <c r="A133" s="14">
        <v>159</v>
      </c>
      <c r="B133" s="14" t="s">
        <v>489</v>
      </c>
      <c r="C133" s="14" t="s">
        <v>490</v>
      </c>
      <c r="D133" s="14" t="s">
        <v>491</v>
      </c>
      <c r="E133" s="14" t="s">
        <v>378</v>
      </c>
      <c r="F133" s="21" t="s">
        <v>387</v>
      </c>
      <c r="G133" s="14" t="s">
        <v>375</v>
      </c>
      <c r="H133" s="16">
        <v>41879</v>
      </c>
    </row>
    <row r="134" spans="1:9" ht="15.75" thickBot="1" x14ac:dyDescent="0.3">
      <c r="A134" s="14">
        <v>159</v>
      </c>
      <c r="B134" s="14" t="s">
        <v>492</v>
      </c>
      <c r="C134" s="14" t="s">
        <v>493</v>
      </c>
      <c r="D134" s="14" t="s">
        <v>494</v>
      </c>
      <c r="E134" s="14" t="s">
        <v>378</v>
      </c>
      <c r="F134" s="21" t="s">
        <v>387</v>
      </c>
      <c r="G134" s="14" t="s">
        <v>375</v>
      </c>
      <c r="H134" s="16">
        <v>41905</v>
      </c>
    </row>
    <row r="135" spans="1:9" ht="15.75" thickBot="1" x14ac:dyDescent="0.3">
      <c r="A135" s="14">
        <v>159</v>
      </c>
      <c r="B135" s="14" t="s">
        <v>495</v>
      </c>
      <c r="C135" s="14" t="s">
        <v>496</v>
      </c>
      <c r="D135" s="14" t="s">
        <v>497</v>
      </c>
      <c r="E135" s="14" t="s">
        <v>378</v>
      </c>
      <c r="F135" s="21" t="s">
        <v>387</v>
      </c>
      <c r="G135" s="14" t="s">
        <v>375</v>
      </c>
      <c r="H135" s="16">
        <v>41911</v>
      </c>
    </row>
    <row r="136" spans="1:9" ht="15.75" thickBot="1" x14ac:dyDescent="0.3">
      <c r="A136" s="14">
        <v>159</v>
      </c>
      <c r="B136" s="14" t="s">
        <v>498</v>
      </c>
      <c r="C136" s="14" t="s">
        <v>499</v>
      </c>
      <c r="D136" s="14" t="s">
        <v>500</v>
      </c>
      <c r="E136" s="14" t="s">
        <v>378</v>
      </c>
      <c r="F136" s="21" t="s">
        <v>387</v>
      </c>
      <c r="G136" s="14" t="s">
        <v>375</v>
      </c>
      <c r="H136" s="16">
        <v>41920</v>
      </c>
    </row>
    <row r="137" spans="1:9" ht="15.75" thickBot="1" x14ac:dyDescent="0.3">
      <c r="A137" s="14">
        <v>159</v>
      </c>
      <c r="B137" s="14" t="s">
        <v>501</v>
      </c>
      <c r="C137" s="14" t="s">
        <v>502</v>
      </c>
      <c r="D137" s="14" t="s">
        <v>500</v>
      </c>
      <c r="E137" s="14" t="s">
        <v>378</v>
      </c>
      <c r="F137" s="21" t="s">
        <v>387</v>
      </c>
      <c r="G137" s="14" t="s">
        <v>375</v>
      </c>
      <c r="H137" s="16">
        <v>41927</v>
      </c>
    </row>
    <row r="138" spans="1:9" ht="15.75" thickBot="1" x14ac:dyDescent="0.3">
      <c r="A138" s="14">
        <v>159</v>
      </c>
      <c r="B138" s="14" t="s">
        <v>503</v>
      </c>
      <c r="C138" s="14" t="s">
        <v>504</v>
      </c>
      <c r="D138" s="14" t="s">
        <v>500</v>
      </c>
      <c r="E138" s="14" t="s">
        <v>378</v>
      </c>
      <c r="F138" s="21" t="s">
        <v>387</v>
      </c>
      <c r="G138" s="14" t="s">
        <v>375</v>
      </c>
      <c r="H138" s="16">
        <v>41949</v>
      </c>
    </row>
    <row r="139" spans="1:9" ht="15.75" thickBot="1" x14ac:dyDescent="0.3">
      <c r="A139" s="14">
        <v>159</v>
      </c>
      <c r="B139" s="14" t="s">
        <v>505</v>
      </c>
      <c r="C139" s="14" t="s">
        <v>506</v>
      </c>
      <c r="D139" s="14" t="s">
        <v>500</v>
      </c>
      <c r="E139" s="14" t="s">
        <v>378</v>
      </c>
      <c r="F139" s="21" t="s">
        <v>387</v>
      </c>
      <c r="G139" s="14" t="s">
        <v>375</v>
      </c>
      <c r="H139" s="16">
        <v>41955</v>
      </c>
    </row>
    <row r="140" spans="1:9" ht="15.75" thickBot="1" x14ac:dyDescent="0.3">
      <c r="A140" s="14">
        <v>159</v>
      </c>
      <c r="B140" s="14" t="s">
        <v>507</v>
      </c>
      <c r="C140" s="14" t="s">
        <v>508</v>
      </c>
      <c r="D140" s="14" t="s">
        <v>500</v>
      </c>
      <c r="E140" s="14" t="s">
        <v>378</v>
      </c>
      <c r="F140" s="21" t="s">
        <v>387</v>
      </c>
      <c r="G140" s="14" t="s">
        <v>375</v>
      </c>
      <c r="H140" s="16">
        <v>42662</v>
      </c>
    </row>
    <row r="141" spans="1:9" ht="15.75" thickBot="1" x14ac:dyDescent="0.3">
      <c r="A141" s="14">
        <v>159</v>
      </c>
      <c r="B141" s="14" t="s">
        <v>509</v>
      </c>
      <c r="C141" s="14" t="s">
        <v>510</v>
      </c>
      <c r="D141" s="14" t="s">
        <v>500</v>
      </c>
      <c r="E141" s="14" t="s">
        <v>378</v>
      </c>
      <c r="F141" s="21" t="s">
        <v>387</v>
      </c>
      <c r="G141" s="14" t="s">
        <v>375</v>
      </c>
      <c r="H141" s="16">
        <v>42682</v>
      </c>
    </row>
    <row r="142" spans="1:9" ht="15.75" thickBot="1" x14ac:dyDescent="0.3">
      <c r="A142" s="14">
        <v>159</v>
      </c>
      <c r="B142" s="14" t="s">
        <v>511</v>
      </c>
      <c r="C142" s="14" t="s">
        <v>512</v>
      </c>
      <c r="D142" s="14" t="s">
        <v>513</v>
      </c>
      <c r="E142" s="14" t="s">
        <v>378</v>
      </c>
      <c r="F142" s="21" t="s">
        <v>387</v>
      </c>
      <c r="G142" s="14" t="s">
        <v>375</v>
      </c>
      <c r="H142" s="16">
        <v>43137</v>
      </c>
    </row>
    <row r="143" spans="1:9" ht="15.75" thickBot="1" x14ac:dyDescent="0.3">
      <c r="A143" s="14">
        <v>159</v>
      </c>
      <c r="B143" s="14" t="s">
        <v>514</v>
      </c>
      <c r="C143" s="14" t="s">
        <v>515</v>
      </c>
      <c r="D143" s="14" t="s">
        <v>513</v>
      </c>
      <c r="E143" s="14" t="s">
        <v>378</v>
      </c>
      <c r="F143" s="21" t="s">
        <v>387</v>
      </c>
      <c r="G143" s="14" t="s">
        <v>375</v>
      </c>
      <c r="H143" s="16">
        <v>42718</v>
      </c>
    </row>
    <row r="144" spans="1:9" ht="15.75" thickBot="1" x14ac:dyDescent="0.3">
      <c r="A144" s="14">
        <v>159</v>
      </c>
      <c r="B144" s="14" t="s">
        <v>516</v>
      </c>
      <c r="C144" s="14" t="s">
        <v>517</v>
      </c>
      <c r="D144" s="14" t="s">
        <v>500</v>
      </c>
      <c r="E144" s="14" t="s">
        <v>378</v>
      </c>
      <c r="F144" s="21" t="s">
        <v>387</v>
      </c>
      <c r="G144" s="14" t="s">
        <v>375</v>
      </c>
      <c r="H144" s="16">
        <v>42843</v>
      </c>
    </row>
    <row r="145" spans="1:9" ht="15.75" thickBot="1" x14ac:dyDescent="0.3">
      <c r="A145" s="14">
        <v>159</v>
      </c>
      <c r="B145" s="14" t="s">
        <v>518</v>
      </c>
      <c r="C145" s="14" t="s">
        <v>519</v>
      </c>
      <c r="D145" s="14" t="s">
        <v>520</v>
      </c>
      <c r="E145" s="14" t="s">
        <v>378</v>
      </c>
      <c r="F145" s="21" t="s">
        <v>387</v>
      </c>
      <c r="G145" s="14" t="s">
        <v>375</v>
      </c>
      <c r="H145" s="16">
        <v>42926</v>
      </c>
    </row>
    <row r="146" spans="1:9" ht="15.75" thickBot="1" x14ac:dyDescent="0.3">
      <c r="A146" s="14">
        <v>159</v>
      </c>
      <c r="B146" s="14" t="s">
        <v>521</v>
      </c>
      <c r="C146" s="14" t="s">
        <v>522</v>
      </c>
      <c r="D146" s="14" t="s">
        <v>513</v>
      </c>
      <c r="E146" s="14" t="s">
        <v>687</v>
      </c>
      <c r="F146" s="21" t="s">
        <v>387</v>
      </c>
      <c r="G146" s="14" t="s">
        <v>375</v>
      </c>
      <c r="H146" s="16">
        <v>43007</v>
      </c>
    </row>
    <row r="147" spans="1:9" ht="15.75" thickBot="1" x14ac:dyDescent="0.3">
      <c r="A147" s="14">
        <v>245</v>
      </c>
      <c r="B147" s="14" t="s">
        <v>104</v>
      </c>
      <c r="C147" s="14"/>
      <c r="D147" s="14" t="s">
        <v>678</v>
      </c>
      <c r="E147" s="14" t="s">
        <v>408</v>
      </c>
      <c r="F147" s="15" t="s">
        <v>379</v>
      </c>
      <c r="G147" s="14" t="s">
        <v>375</v>
      </c>
      <c r="H147" s="14" t="s">
        <v>376</v>
      </c>
      <c r="I147" s="16">
        <v>39121</v>
      </c>
    </row>
    <row r="148" spans="1:9" ht="15.75" thickBot="1" x14ac:dyDescent="0.3">
      <c r="A148" s="14">
        <v>246</v>
      </c>
      <c r="B148" s="14" t="s">
        <v>105</v>
      </c>
      <c r="C148" s="14" t="s">
        <v>524</v>
      </c>
      <c r="D148" s="14" t="s">
        <v>678</v>
      </c>
      <c r="E148" s="14" t="s">
        <v>458</v>
      </c>
      <c r="F148" s="15" t="s">
        <v>379</v>
      </c>
      <c r="G148" s="14" t="s">
        <v>375</v>
      </c>
      <c r="H148" s="14" t="s">
        <v>376</v>
      </c>
      <c r="I148" s="16">
        <v>40823</v>
      </c>
    </row>
    <row r="149" spans="1:9" ht="26.25" thickBot="1" x14ac:dyDescent="0.3">
      <c r="A149" s="14">
        <v>247</v>
      </c>
      <c r="B149" s="14" t="s">
        <v>106</v>
      </c>
      <c r="C149" s="14"/>
      <c r="D149" s="14" t="s">
        <v>678</v>
      </c>
      <c r="E149" s="14" t="s">
        <v>408</v>
      </c>
      <c r="F149" s="22" t="s">
        <v>393</v>
      </c>
      <c r="G149" s="14" t="s">
        <v>390</v>
      </c>
      <c r="H149" s="14" t="s">
        <v>391</v>
      </c>
      <c r="I149" s="16">
        <v>40823</v>
      </c>
    </row>
    <row r="150" spans="1:9" ht="15.75" thickBot="1" x14ac:dyDescent="0.3">
      <c r="A150" s="14">
        <v>250</v>
      </c>
      <c r="B150" s="14" t="s">
        <v>525</v>
      </c>
      <c r="C150" s="14"/>
      <c r="D150" s="14" t="s">
        <v>437</v>
      </c>
      <c r="E150" s="14" t="s">
        <v>378</v>
      </c>
      <c r="F150" s="26" t="s">
        <v>444</v>
      </c>
      <c r="G150" s="14" t="s">
        <v>375</v>
      </c>
      <c r="H150" s="14" t="s">
        <v>376</v>
      </c>
      <c r="I150" s="16">
        <v>39121</v>
      </c>
    </row>
    <row r="151" spans="1:9" ht="15.75" thickBot="1" x14ac:dyDescent="0.3">
      <c r="A151" s="14">
        <v>251</v>
      </c>
      <c r="B151" s="14" t="s">
        <v>311</v>
      </c>
      <c r="C151" s="14"/>
      <c r="D151" s="14" t="s">
        <v>437</v>
      </c>
      <c r="E151" s="14" t="s">
        <v>378</v>
      </c>
      <c r="F151" s="22" t="s">
        <v>393</v>
      </c>
      <c r="G151" s="14" t="s">
        <v>390</v>
      </c>
      <c r="H151" s="14" t="s">
        <v>422</v>
      </c>
      <c r="I151" s="16">
        <v>40269</v>
      </c>
    </row>
    <row r="152" spans="1:9" ht="15.75" thickBot="1" x14ac:dyDescent="0.3">
      <c r="A152" s="14">
        <v>252</v>
      </c>
      <c r="B152" s="14" t="s">
        <v>526</v>
      </c>
      <c r="C152" s="14" t="s">
        <v>527</v>
      </c>
      <c r="D152" s="14" t="s">
        <v>437</v>
      </c>
      <c r="E152" s="14" t="s">
        <v>378</v>
      </c>
      <c r="F152" s="26" t="s">
        <v>444</v>
      </c>
      <c r="G152" s="14" t="s">
        <v>375</v>
      </c>
      <c r="H152" s="14" t="s">
        <v>376</v>
      </c>
      <c r="I152" s="16">
        <v>39121</v>
      </c>
    </row>
    <row r="153" spans="1:9" ht="15.75" thickBot="1" x14ac:dyDescent="0.3">
      <c r="A153" s="14">
        <v>256</v>
      </c>
      <c r="B153" s="14" t="s">
        <v>107</v>
      </c>
      <c r="C153" s="14"/>
      <c r="D153" s="14" t="s">
        <v>437</v>
      </c>
      <c r="E153" s="14" t="s">
        <v>378</v>
      </c>
      <c r="F153" s="26" t="s">
        <v>444</v>
      </c>
      <c r="G153" s="14" t="s">
        <v>375</v>
      </c>
      <c r="H153" s="14" t="s">
        <v>376</v>
      </c>
      <c r="I153" s="16">
        <v>39121</v>
      </c>
    </row>
    <row r="154" spans="1:9" ht="15.75" thickBot="1" x14ac:dyDescent="0.3">
      <c r="A154" s="14">
        <v>257</v>
      </c>
      <c r="B154" s="14" t="s">
        <v>108</v>
      </c>
      <c r="C154" s="14"/>
      <c r="D154" s="14" t="s">
        <v>437</v>
      </c>
      <c r="E154" s="14" t="s">
        <v>378</v>
      </c>
      <c r="F154" s="22" t="s">
        <v>393</v>
      </c>
      <c r="G154" s="14" t="s">
        <v>390</v>
      </c>
      <c r="H154" s="14" t="s">
        <v>422</v>
      </c>
      <c r="I154" s="16">
        <v>41396</v>
      </c>
    </row>
    <row r="155" spans="1:9" ht="15.75" thickBot="1" x14ac:dyDescent="0.3">
      <c r="A155" s="14">
        <v>258</v>
      </c>
      <c r="B155" s="14" t="s">
        <v>109</v>
      </c>
      <c r="C155" s="14" t="s">
        <v>528</v>
      </c>
      <c r="D155" s="14" t="s">
        <v>437</v>
      </c>
      <c r="E155" s="14" t="s">
        <v>378</v>
      </c>
      <c r="F155" s="26" t="s">
        <v>444</v>
      </c>
      <c r="G155" s="14" t="s">
        <v>375</v>
      </c>
      <c r="H155" s="14" t="s">
        <v>376</v>
      </c>
      <c r="I155" s="16">
        <v>41310</v>
      </c>
    </row>
    <row r="156" spans="1:9" ht="15.75" thickBot="1" x14ac:dyDescent="0.3">
      <c r="A156" s="14">
        <v>259</v>
      </c>
      <c r="B156" s="14" t="s">
        <v>110</v>
      </c>
      <c r="C156" s="14"/>
      <c r="D156" s="14" t="s">
        <v>437</v>
      </c>
      <c r="E156" s="14" t="s">
        <v>378</v>
      </c>
      <c r="F156" s="26" t="s">
        <v>444</v>
      </c>
      <c r="G156" s="14" t="s">
        <v>375</v>
      </c>
      <c r="H156" s="14" t="s">
        <v>376</v>
      </c>
      <c r="I156" s="16">
        <v>39121</v>
      </c>
    </row>
    <row r="157" spans="1:9" ht="15.75" thickBot="1" x14ac:dyDescent="0.3">
      <c r="A157" s="14">
        <v>260</v>
      </c>
      <c r="B157" s="14" t="s">
        <v>111</v>
      </c>
      <c r="C157" s="14" t="s">
        <v>529</v>
      </c>
      <c r="D157" s="14" t="s">
        <v>437</v>
      </c>
      <c r="E157" s="14" t="s">
        <v>378</v>
      </c>
      <c r="F157" s="26" t="s">
        <v>444</v>
      </c>
      <c r="G157" s="14" t="s">
        <v>375</v>
      </c>
      <c r="H157" s="14" t="s">
        <v>376</v>
      </c>
      <c r="I157" s="16">
        <v>41310</v>
      </c>
    </row>
    <row r="158" spans="1:9" ht="15.75" thickBot="1" x14ac:dyDescent="0.3">
      <c r="A158" s="14">
        <v>261</v>
      </c>
      <c r="B158" s="14" t="s">
        <v>112</v>
      </c>
      <c r="C158" s="14"/>
      <c r="D158" s="14" t="s">
        <v>437</v>
      </c>
      <c r="E158" s="14" t="s">
        <v>378</v>
      </c>
      <c r="F158" s="15" t="s">
        <v>379</v>
      </c>
      <c r="G158" s="14" t="s">
        <v>375</v>
      </c>
      <c r="H158" s="14" t="s">
        <v>376</v>
      </c>
      <c r="I158" s="16">
        <v>39142</v>
      </c>
    </row>
    <row r="159" spans="1:9" ht="15.75" thickBot="1" x14ac:dyDescent="0.3">
      <c r="A159" s="14">
        <v>262</v>
      </c>
      <c r="B159" s="14" t="s">
        <v>113</v>
      </c>
      <c r="C159" s="14"/>
      <c r="D159" s="14" t="s">
        <v>437</v>
      </c>
      <c r="E159" s="14" t="s">
        <v>378</v>
      </c>
      <c r="F159" s="26" t="s">
        <v>444</v>
      </c>
      <c r="G159" s="14" t="s">
        <v>375</v>
      </c>
      <c r="H159" s="14" t="s">
        <v>376</v>
      </c>
      <c r="I159" s="16">
        <v>39121</v>
      </c>
    </row>
    <row r="160" spans="1:9" ht="15.75" thickBot="1" x14ac:dyDescent="0.3">
      <c r="A160" s="14">
        <v>263</v>
      </c>
      <c r="B160" s="14" t="s">
        <v>114</v>
      </c>
      <c r="C160" s="14" t="s">
        <v>530</v>
      </c>
      <c r="D160" s="14" t="s">
        <v>437</v>
      </c>
      <c r="E160" s="14" t="s">
        <v>378</v>
      </c>
      <c r="F160" s="26" t="s">
        <v>444</v>
      </c>
      <c r="G160" s="14" t="s">
        <v>375</v>
      </c>
      <c r="H160" s="14" t="s">
        <v>376</v>
      </c>
      <c r="I160" s="16">
        <v>41310</v>
      </c>
    </row>
    <row r="161" spans="1:9" ht="15.75" thickBot="1" x14ac:dyDescent="0.3">
      <c r="A161" s="14">
        <v>264</v>
      </c>
      <c r="B161" s="14" t="s">
        <v>115</v>
      </c>
      <c r="C161" s="14"/>
      <c r="D161" s="14" t="s">
        <v>688</v>
      </c>
      <c r="E161" s="14" t="s">
        <v>405</v>
      </c>
      <c r="F161" s="22" t="s">
        <v>393</v>
      </c>
      <c r="G161" s="14" t="s">
        <v>375</v>
      </c>
      <c r="H161" s="14" t="s">
        <v>376</v>
      </c>
      <c r="I161" s="16">
        <v>39121</v>
      </c>
    </row>
    <row r="162" spans="1:9" ht="15.75" thickBot="1" x14ac:dyDescent="0.3">
      <c r="A162" s="14">
        <v>265</v>
      </c>
      <c r="B162" s="14" t="s">
        <v>116</v>
      </c>
      <c r="C162" s="14"/>
      <c r="D162" s="14" t="s">
        <v>688</v>
      </c>
      <c r="E162" s="14" t="s">
        <v>405</v>
      </c>
      <c r="F162" s="22" t="s">
        <v>393</v>
      </c>
      <c r="G162" s="38" t="s">
        <v>390</v>
      </c>
      <c r="H162" s="14" t="s">
        <v>376</v>
      </c>
      <c r="I162" s="16">
        <v>42157</v>
      </c>
    </row>
    <row r="163" spans="1:9" ht="15.75" thickBot="1" x14ac:dyDescent="0.3">
      <c r="A163" s="14">
        <v>266</v>
      </c>
      <c r="B163" s="14" t="s">
        <v>531</v>
      </c>
      <c r="C163" s="14"/>
      <c r="D163" s="14" t="s">
        <v>688</v>
      </c>
      <c r="E163" s="14" t="s">
        <v>405</v>
      </c>
      <c r="F163" s="26" t="s">
        <v>444</v>
      </c>
      <c r="G163" s="14" t="s">
        <v>375</v>
      </c>
      <c r="H163" s="14" t="s">
        <v>376</v>
      </c>
      <c r="I163" s="16">
        <v>39121</v>
      </c>
    </row>
    <row r="164" spans="1:9" ht="15.75" thickBot="1" x14ac:dyDescent="0.3">
      <c r="A164" s="14">
        <v>267</v>
      </c>
      <c r="B164" s="14" t="s">
        <v>532</v>
      </c>
      <c r="C164" s="14" t="s">
        <v>533</v>
      </c>
      <c r="D164" s="14" t="s">
        <v>688</v>
      </c>
      <c r="E164" s="14" t="s">
        <v>408</v>
      </c>
      <c r="F164" s="22" t="s">
        <v>393</v>
      </c>
      <c r="G164" s="14" t="s">
        <v>375</v>
      </c>
      <c r="H164" s="14" t="s">
        <v>376</v>
      </c>
      <c r="I164" s="16">
        <v>39121</v>
      </c>
    </row>
    <row r="165" spans="1:9" ht="15.75" thickBot="1" x14ac:dyDescent="0.3">
      <c r="A165" s="14">
        <v>268</v>
      </c>
      <c r="B165" s="14" t="s">
        <v>534</v>
      </c>
      <c r="C165" s="14"/>
      <c r="D165" s="14" t="s">
        <v>688</v>
      </c>
      <c r="E165" s="14" t="s">
        <v>405</v>
      </c>
      <c r="F165" s="22" t="s">
        <v>393</v>
      </c>
      <c r="G165" s="14" t="s">
        <v>390</v>
      </c>
      <c r="H165" s="14" t="s">
        <v>394</v>
      </c>
      <c r="I165" s="16">
        <v>40024</v>
      </c>
    </row>
    <row r="166" spans="1:9" ht="15.75" thickBot="1" x14ac:dyDescent="0.3">
      <c r="A166" s="14">
        <v>269</v>
      </c>
      <c r="B166" s="14" t="s">
        <v>312</v>
      </c>
      <c r="C166" s="14"/>
      <c r="D166" s="14" t="s">
        <v>535</v>
      </c>
      <c r="E166" s="14" t="s">
        <v>378</v>
      </c>
      <c r="F166" s="21" t="s">
        <v>387</v>
      </c>
      <c r="G166" s="14" t="s">
        <v>375</v>
      </c>
      <c r="H166" s="14" t="s">
        <v>376</v>
      </c>
      <c r="I166" s="16">
        <v>39121</v>
      </c>
    </row>
    <row r="167" spans="1:9" ht="15.75" thickBot="1" x14ac:dyDescent="0.3">
      <c r="A167" s="14">
        <v>270</v>
      </c>
      <c r="B167" s="14" t="s">
        <v>117</v>
      </c>
      <c r="C167" s="14"/>
      <c r="D167" s="14" t="s">
        <v>685</v>
      </c>
      <c r="E167" s="14" t="s">
        <v>378</v>
      </c>
      <c r="F167" s="22" t="s">
        <v>393</v>
      </c>
      <c r="G167" s="14" t="s">
        <v>375</v>
      </c>
      <c r="H167" s="14" t="s">
        <v>376</v>
      </c>
      <c r="I167" s="16">
        <v>39121</v>
      </c>
    </row>
    <row r="168" spans="1:9" ht="15.75" thickBot="1" x14ac:dyDescent="0.3">
      <c r="A168" s="14">
        <v>271</v>
      </c>
      <c r="B168" s="14" t="s">
        <v>118</v>
      </c>
      <c r="C168" s="14" t="s">
        <v>536</v>
      </c>
      <c r="D168" s="14" t="s">
        <v>685</v>
      </c>
      <c r="E168" s="14" t="s">
        <v>378</v>
      </c>
      <c r="F168" s="22" t="s">
        <v>393</v>
      </c>
      <c r="G168" s="14" t="s">
        <v>375</v>
      </c>
      <c r="H168" s="14" t="s">
        <v>376</v>
      </c>
      <c r="I168" s="16">
        <v>41422</v>
      </c>
    </row>
    <row r="169" spans="1:9" ht="15.75" thickBot="1" x14ac:dyDescent="0.3">
      <c r="A169" s="14">
        <v>272</v>
      </c>
      <c r="B169" s="14" t="s">
        <v>313</v>
      </c>
      <c r="C169" s="14" t="s">
        <v>537</v>
      </c>
      <c r="D169" s="14" t="s">
        <v>685</v>
      </c>
      <c r="E169" s="14" t="s">
        <v>378</v>
      </c>
      <c r="F169" s="22" t="s">
        <v>393</v>
      </c>
      <c r="G169" s="14" t="s">
        <v>390</v>
      </c>
      <c r="H169" s="14" t="s">
        <v>376</v>
      </c>
      <c r="I169" s="16">
        <v>43302</v>
      </c>
    </row>
    <row r="170" spans="1:9" ht="15.75" thickBot="1" x14ac:dyDescent="0.3">
      <c r="A170" s="14">
        <v>273</v>
      </c>
      <c r="B170" s="14" t="s">
        <v>119</v>
      </c>
      <c r="C170" s="14"/>
      <c r="D170" s="14" t="s">
        <v>685</v>
      </c>
      <c r="E170" s="14" t="s">
        <v>405</v>
      </c>
      <c r="F170" s="26" t="s">
        <v>444</v>
      </c>
      <c r="G170" s="14" t="s">
        <v>375</v>
      </c>
      <c r="H170" s="14" t="s">
        <v>376</v>
      </c>
      <c r="I170" s="16">
        <v>41398</v>
      </c>
    </row>
    <row r="171" spans="1:9" ht="15.75" thickBot="1" x14ac:dyDescent="0.3">
      <c r="A171" s="14">
        <v>274</v>
      </c>
      <c r="B171" s="14" t="s">
        <v>120</v>
      </c>
      <c r="C171" s="14"/>
      <c r="D171" s="14" t="s">
        <v>685</v>
      </c>
      <c r="E171" s="14" t="s">
        <v>405</v>
      </c>
      <c r="F171" s="22" t="s">
        <v>393</v>
      </c>
      <c r="G171" s="14" t="s">
        <v>390</v>
      </c>
      <c r="H171" s="14" t="s">
        <v>376</v>
      </c>
      <c r="I171" s="16">
        <v>42339</v>
      </c>
    </row>
    <row r="172" spans="1:9" ht="15.75" thickBot="1" x14ac:dyDescent="0.3">
      <c r="A172" s="14">
        <v>275</v>
      </c>
      <c r="B172" s="14" t="s">
        <v>121</v>
      </c>
      <c r="C172" s="14" t="s">
        <v>538</v>
      </c>
      <c r="D172" s="14" t="s">
        <v>685</v>
      </c>
      <c r="E172" s="14" t="s">
        <v>473</v>
      </c>
      <c r="F172" s="22" t="s">
        <v>393</v>
      </c>
      <c r="G172" s="14" t="s">
        <v>375</v>
      </c>
      <c r="H172" s="14" t="s">
        <v>376</v>
      </c>
      <c r="I172" s="16">
        <v>39121</v>
      </c>
    </row>
    <row r="173" spans="1:9" ht="15.75" thickBot="1" x14ac:dyDescent="0.3">
      <c r="A173" s="14">
        <v>276</v>
      </c>
      <c r="B173" s="14" t="s">
        <v>122</v>
      </c>
      <c r="C173" s="14"/>
      <c r="D173" s="14" t="s">
        <v>539</v>
      </c>
      <c r="E173" s="14" t="s">
        <v>378</v>
      </c>
      <c r="F173" s="21" t="s">
        <v>387</v>
      </c>
      <c r="G173" s="14" t="s">
        <v>375</v>
      </c>
      <c r="H173" s="14" t="s">
        <v>376</v>
      </c>
      <c r="I173" s="16">
        <v>40848</v>
      </c>
    </row>
    <row r="174" spans="1:9" ht="15.75" thickBot="1" x14ac:dyDescent="0.3">
      <c r="A174" s="14">
        <v>277</v>
      </c>
      <c r="B174" s="14" t="s">
        <v>123</v>
      </c>
      <c r="C174" s="14"/>
      <c r="D174" s="14" t="s">
        <v>540</v>
      </c>
      <c r="E174" s="14" t="s">
        <v>378</v>
      </c>
      <c r="F174" s="21" t="s">
        <v>387</v>
      </c>
      <c r="G174" s="14" t="s">
        <v>375</v>
      </c>
      <c r="H174" s="14" t="s">
        <v>376</v>
      </c>
      <c r="I174" s="16">
        <v>41800</v>
      </c>
    </row>
    <row r="175" spans="1:9" ht="15.75" thickBot="1" x14ac:dyDescent="0.3">
      <c r="A175" s="14">
        <v>293</v>
      </c>
      <c r="B175" s="14" t="s">
        <v>315</v>
      </c>
      <c r="C175" s="14"/>
      <c r="D175" s="14" t="s">
        <v>541</v>
      </c>
      <c r="E175" s="14" t="s">
        <v>378</v>
      </c>
      <c r="F175" s="22" t="s">
        <v>393</v>
      </c>
      <c r="G175" s="14" t="s">
        <v>390</v>
      </c>
      <c r="H175" s="14" t="s">
        <v>376</v>
      </c>
      <c r="I175" s="16">
        <v>43302</v>
      </c>
    </row>
    <row r="176" spans="1:9" ht="15.75" thickBot="1" x14ac:dyDescent="0.3">
      <c r="A176" s="14">
        <v>294</v>
      </c>
      <c r="B176" s="14" t="s">
        <v>316</v>
      </c>
      <c r="C176" s="14"/>
      <c r="D176" s="14" t="s">
        <v>541</v>
      </c>
      <c r="E176" s="14" t="s">
        <v>378</v>
      </c>
      <c r="F176" s="15" t="s">
        <v>379</v>
      </c>
      <c r="G176" s="14" t="s">
        <v>375</v>
      </c>
      <c r="H176" s="14" t="s">
        <v>376</v>
      </c>
      <c r="I176" s="16">
        <v>43302</v>
      </c>
    </row>
    <row r="177" spans="1:9" ht="15.75" thickBot="1" x14ac:dyDescent="0.3">
      <c r="A177" s="14">
        <v>295</v>
      </c>
      <c r="B177" s="14" t="s">
        <v>317</v>
      </c>
      <c r="C177" s="14" t="s">
        <v>542</v>
      </c>
      <c r="D177" s="14" t="s">
        <v>685</v>
      </c>
      <c r="E177" s="14" t="s">
        <v>378</v>
      </c>
      <c r="F177" s="22" t="s">
        <v>393</v>
      </c>
      <c r="G177" s="14" t="s">
        <v>375</v>
      </c>
      <c r="H177" s="14" t="s">
        <v>376</v>
      </c>
      <c r="I177" s="16">
        <v>43302</v>
      </c>
    </row>
    <row r="178" spans="1:9" ht="15.75" thickBot="1" x14ac:dyDescent="0.3">
      <c r="A178" s="14">
        <v>299</v>
      </c>
      <c r="B178" s="14" t="s">
        <v>362</v>
      </c>
      <c r="C178" s="14"/>
      <c r="D178" s="14" t="s">
        <v>685</v>
      </c>
      <c r="E178" s="14" t="s">
        <v>378</v>
      </c>
      <c r="F178" s="22" t="s">
        <v>393</v>
      </c>
      <c r="G178" s="14" t="s">
        <v>390</v>
      </c>
      <c r="H178" s="14" t="s">
        <v>376</v>
      </c>
      <c r="I178" s="16">
        <v>43302</v>
      </c>
    </row>
    <row r="179" spans="1:9" ht="15.75" thickBot="1" x14ac:dyDescent="0.3">
      <c r="A179" s="14">
        <v>278</v>
      </c>
      <c r="B179" s="14" t="s">
        <v>124</v>
      </c>
      <c r="C179" s="14"/>
      <c r="D179" s="14" t="s">
        <v>678</v>
      </c>
      <c r="E179" s="14" t="s">
        <v>543</v>
      </c>
      <c r="F179" s="15" t="s">
        <v>379</v>
      </c>
      <c r="G179" s="14" t="s">
        <v>375</v>
      </c>
      <c r="H179" s="14" t="s">
        <v>376</v>
      </c>
      <c r="I179" s="16">
        <v>39121</v>
      </c>
    </row>
    <row r="180" spans="1:9" ht="26.25" thickBot="1" x14ac:dyDescent="0.3">
      <c r="A180" s="14">
        <v>279</v>
      </c>
      <c r="B180" s="14" t="s">
        <v>126</v>
      </c>
      <c r="C180" s="14"/>
      <c r="D180" s="14" t="s">
        <v>678</v>
      </c>
      <c r="E180" s="14" t="s">
        <v>543</v>
      </c>
      <c r="F180" s="22" t="s">
        <v>393</v>
      </c>
      <c r="G180" s="14" t="s">
        <v>390</v>
      </c>
      <c r="H180" s="14" t="s">
        <v>391</v>
      </c>
      <c r="I180" s="16">
        <v>40823</v>
      </c>
    </row>
    <row r="181" spans="1:9" ht="15.75" thickBot="1" x14ac:dyDescent="0.3">
      <c r="A181" s="14">
        <v>280</v>
      </c>
      <c r="B181" s="14" t="s">
        <v>125</v>
      </c>
      <c r="C181" s="14" t="s">
        <v>544</v>
      </c>
      <c r="D181" s="14" t="s">
        <v>678</v>
      </c>
      <c r="E181" s="14" t="s">
        <v>400</v>
      </c>
      <c r="F181" s="15" t="s">
        <v>379</v>
      </c>
      <c r="G181" s="14" t="s">
        <v>375</v>
      </c>
      <c r="H181" s="14" t="s">
        <v>376</v>
      </c>
      <c r="I181" s="16">
        <v>39121</v>
      </c>
    </row>
    <row r="182" spans="1:9" ht="15.75" thickBot="1" x14ac:dyDescent="0.3">
      <c r="A182" s="14">
        <v>281</v>
      </c>
      <c r="B182" s="14" t="s">
        <v>127</v>
      </c>
      <c r="C182" s="14"/>
      <c r="D182" s="14" t="s">
        <v>678</v>
      </c>
      <c r="E182" s="14" t="s">
        <v>399</v>
      </c>
      <c r="F182" s="21" t="s">
        <v>387</v>
      </c>
      <c r="G182" s="14" t="s">
        <v>375</v>
      </c>
      <c r="H182" s="14" t="s">
        <v>376</v>
      </c>
      <c r="I182" s="16">
        <v>39121</v>
      </c>
    </row>
    <row r="183" spans="1:9" ht="15.75" thickBot="1" x14ac:dyDescent="0.3">
      <c r="A183" s="14">
        <v>282</v>
      </c>
      <c r="B183" s="14" t="s">
        <v>128</v>
      </c>
      <c r="C183" s="14" t="s">
        <v>545</v>
      </c>
      <c r="D183" s="14" t="s">
        <v>678</v>
      </c>
      <c r="E183" s="14" t="s">
        <v>405</v>
      </c>
      <c r="F183" s="21" t="s">
        <v>387</v>
      </c>
      <c r="G183" s="14" t="s">
        <v>375</v>
      </c>
      <c r="H183" s="14" t="s">
        <v>376</v>
      </c>
      <c r="I183" s="16">
        <v>39121</v>
      </c>
    </row>
    <row r="184" spans="1:9" ht="15.75" thickBot="1" x14ac:dyDescent="0.3">
      <c r="A184" s="14">
        <v>284</v>
      </c>
      <c r="B184" s="14" t="s">
        <v>129</v>
      </c>
      <c r="C184" s="14"/>
      <c r="D184" s="14" t="s">
        <v>437</v>
      </c>
      <c r="E184" s="14" t="s">
        <v>378</v>
      </c>
      <c r="F184" s="26" t="s">
        <v>444</v>
      </c>
      <c r="G184" s="14" t="s">
        <v>375</v>
      </c>
      <c r="H184" s="14" t="s">
        <v>376</v>
      </c>
      <c r="I184" s="16">
        <v>39121</v>
      </c>
    </row>
    <row r="185" spans="1:9" ht="15.75" thickBot="1" x14ac:dyDescent="0.3">
      <c r="A185" s="14">
        <v>285</v>
      </c>
      <c r="B185" s="14" t="s">
        <v>130</v>
      </c>
      <c r="C185" s="14" t="s">
        <v>546</v>
      </c>
      <c r="D185" s="14" t="s">
        <v>437</v>
      </c>
      <c r="E185" s="14" t="s">
        <v>378</v>
      </c>
      <c r="F185" s="26" t="s">
        <v>444</v>
      </c>
      <c r="G185" s="14" t="s">
        <v>375</v>
      </c>
      <c r="H185" s="14" t="s">
        <v>376</v>
      </c>
      <c r="I185" s="16">
        <v>41310</v>
      </c>
    </row>
    <row r="186" spans="1:9" ht="15.75" thickBot="1" x14ac:dyDescent="0.3">
      <c r="A186" s="14">
        <v>286</v>
      </c>
      <c r="B186" s="14" t="s">
        <v>131</v>
      </c>
      <c r="C186" s="14"/>
      <c r="D186" s="14" t="s">
        <v>437</v>
      </c>
      <c r="E186" s="14" t="s">
        <v>378</v>
      </c>
      <c r="F186" s="26" t="s">
        <v>444</v>
      </c>
      <c r="G186" s="14" t="s">
        <v>375</v>
      </c>
      <c r="H186" s="14" t="s">
        <v>376</v>
      </c>
      <c r="I186" s="16">
        <v>39892</v>
      </c>
    </row>
    <row r="187" spans="1:9" ht="15.75" thickBot="1" x14ac:dyDescent="0.3">
      <c r="A187" s="14">
        <v>287</v>
      </c>
      <c r="B187" s="14" t="s">
        <v>314</v>
      </c>
      <c r="C187" s="14"/>
      <c r="D187" s="14" t="s">
        <v>547</v>
      </c>
      <c r="E187" s="14" t="s">
        <v>378</v>
      </c>
      <c r="F187" s="26" t="s">
        <v>444</v>
      </c>
      <c r="G187" s="14" t="s">
        <v>375</v>
      </c>
      <c r="H187" s="14" t="s">
        <v>376</v>
      </c>
      <c r="I187" s="16">
        <v>40269</v>
      </c>
    </row>
    <row r="188" spans="1:9" ht="15.75" thickBot="1" x14ac:dyDescent="0.3">
      <c r="A188" s="14">
        <v>291</v>
      </c>
      <c r="B188" s="14" t="s">
        <v>133</v>
      </c>
      <c r="C188" s="14"/>
      <c r="D188" s="14" t="s">
        <v>437</v>
      </c>
      <c r="E188" s="14" t="s">
        <v>400</v>
      </c>
      <c r="F188" s="15" t="s">
        <v>379</v>
      </c>
      <c r="G188" s="14" t="s">
        <v>375</v>
      </c>
      <c r="H188" s="14" t="s">
        <v>376</v>
      </c>
      <c r="I188" s="16">
        <v>41443</v>
      </c>
    </row>
    <row r="189" spans="1:9" ht="15.75" thickBot="1" x14ac:dyDescent="0.3">
      <c r="A189" s="14">
        <v>292</v>
      </c>
      <c r="B189" s="14" t="s">
        <v>134</v>
      </c>
      <c r="C189" s="14"/>
      <c r="D189" s="14" t="s">
        <v>437</v>
      </c>
      <c r="E189" s="14" t="s">
        <v>548</v>
      </c>
      <c r="F189" s="15" t="s">
        <v>379</v>
      </c>
      <c r="G189" s="14" t="s">
        <v>375</v>
      </c>
      <c r="H189" s="14" t="s">
        <v>376</v>
      </c>
      <c r="I189" s="16">
        <v>41443</v>
      </c>
    </row>
    <row r="190" spans="1:9" ht="15.75" thickBot="1" x14ac:dyDescent="0.3">
      <c r="A190" s="14">
        <v>298</v>
      </c>
      <c r="B190" s="14" t="s">
        <v>318</v>
      </c>
      <c r="C190" s="14"/>
      <c r="D190" s="14" t="s">
        <v>549</v>
      </c>
      <c r="E190" s="14" t="s">
        <v>378</v>
      </c>
      <c r="F190" s="21" t="s">
        <v>387</v>
      </c>
      <c r="G190" s="14" t="s">
        <v>375</v>
      </c>
      <c r="H190" s="14" t="s">
        <v>376</v>
      </c>
      <c r="I190" s="16">
        <v>43302</v>
      </c>
    </row>
    <row r="191" spans="1:9" ht="15.75" thickBot="1" x14ac:dyDescent="0.3">
      <c r="A191" s="14">
        <v>300</v>
      </c>
      <c r="B191" s="14" t="s">
        <v>550</v>
      </c>
      <c r="C191" s="14" t="s">
        <v>551</v>
      </c>
      <c r="D191" s="14" t="s">
        <v>672</v>
      </c>
      <c r="E191" s="14" t="s">
        <v>378</v>
      </c>
      <c r="F191" s="21" t="s">
        <v>387</v>
      </c>
      <c r="G191" s="14" t="s">
        <v>375</v>
      </c>
      <c r="H191" s="14" t="s">
        <v>376</v>
      </c>
      <c r="I191" s="16">
        <v>39427</v>
      </c>
    </row>
    <row r="192" spans="1:9" ht="15.75" thickBot="1" x14ac:dyDescent="0.3">
      <c r="A192" s="14">
        <v>310</v>
      </c>
      <c r="B192" s="14" t="s">
        <v>135</v>
      </c>
      <c r="C192" s="14"/>
      <c r="D192" s="14" t="s">
        <v>386</v>
      </c>
      <c r="E192" s="14" t="s">
        <v>400</v>
      </c>
      <c r="F192" s="15" t="s">
        <v>379</v>
      </c>
      <c r="G192" s="14" t="s">
        <v>375</v>
      </c>
      <c r="H192" s="14" t="s">
        <v>376</v>
      </c>
      <c r="I192" s="16">
        <v>41452</v>
      </c>
    </row>
    <row r="193" spans="1:9" ht="15.75" thickBot="1" x14ac:dyDescent="0.3">
      <c r="A193" s="14">
        <v>311</v>
      </c>
      <c r="B193" s="14" t="s">
        <v>136</v>
      </c>
      <c r="C193" s="14"/>
      <c r="D193" s="14" t="s">
        <v>386</v>
      </c>
      <c r="E193" s="14" t="s">
        <v>378</v>
      </c>
      <c r="F193" s="22" t="s">
        <v>393</v>
      </c>
      <c r="G193" s="14" t="s">
        <v>390</v>
      </c>
      <c r="H193" s="14" t="s">
        <v>394</v>
      </c>
      <c r="I193" s="16">
        <v>40024</v>
      </c>
    </row>
    <row r="194" spans="1:9" ht="15.75" thickBot="1" x14ac:dyDescent="0.3">
      <c r="A194" s="14">
        <v>312</v>
      </c>
      <c r="B194" s="14" t="s">
        <v>137</v>
      </c>
      <c r="C194" s="14"/>
      <c r="D194" s="14" t="s">
        <v>386</v>
      </c>
      <c r="E194" s="14" t="s">
        <v>400</v>
      </c>
      <c r="F194" s="26" t="s">
        <v>444</v>
      </c>
      <c r="G194" s="14" t="s">
        <v>375</v>
      </c>
      <c r="H194" s="14" t="s">
        <v>376</v>
      </c>
      <c r="I194" s="16">
        <v>39121</v>
      </c>
    </row>
    <row r="195" spans="1:9" ht="15.75" thickBot="1" x14ac:dyDescent="0.3">
      <c r="A195" s="14">
        <v>313</v>
      </c>
      <c r="B195" s="14" t="s">
        <v>138</v>
      </c>
      <c r="C195" s="14"/>
      <c r="D195" s="14" t="s">
        <v>386</v>
      </c>
      <c r="E195" s="14" t="s">
        <v>400</v>
      </c>
      <c r="F195" s="26" t="s">
        <v>444</v>
      </c>
      <c r="G195" s="14" t="s">
        <v>375</v>
      </c>
      <c r="H195" s="14" t="s">
        <v>376</v>
      </c>
      <c r="I195" s="16">
        <v>39121</v>
      </c>
    </row>
    <row r="196" spans="1:9" ht="15.75" thickBot="1" x14ac:dyDescent="0.3">
      <c r="A196" s="14">
        <v>314</v>
      </c>
      <c r="B196" s="14" t="s">
        <v>552</v>
      </c>
      <c r="C196" s="14"/>
      <c r="D196" s="14" t="s">
        <v>386</v>
      </c>
      <c r="E196" s="14" t="s">
        <v>400</v>
      </c>
      <c r="F196" s="22" t="s">
        <v>393</v>
      </c>
      <c r="G196" s="14" t="s">
        <v>375</v>
      </c>
      <c r="H196" s="14" t="s">
        <v>376</v>
      </c>
      <c r="I196" s="16">
        <v>43243</v>
      </c>
    </row>
    <row r="197" spans="1:9" ht="15.75" thickBot="1" x14ac:dyDescent="0.3">
      <c r="A197" s="14">
        <v>315</v>
      </c>
      <c r="B197" s="14" t="s">
        <v>139</v>
      </c>
      <c r="C197" s="14"/>
      <c r="D197" s="14" t="s">
        <v>386</v>
      </c>
      <c r="E197" s="14" t="s">
        <v>400</v>
      </c>
      <c r="F197" s="22" t="s">
        <v>393</v>
      </c>
      <c r="G197" s="14" t="s">
        <v>375</v>
      </c>
      <c r="H197" s="14" t="s">
        <v>376</v>
      </c>
      <c r="I197" s="16">
        <v>39121</v>
      </c>
    </row>
    <row r="198" spans="1:9" ht="15.75" thickBot="1" x14ac:dyDescent="0.3">
      <c r="A198" s="14">
        <v>316</v>
      </c>
      <c r="B198" s="14" t="s">
        <v>140</v>
      </c>
      <c r="C198" s="14"/>
      <c r="D198" s="14" t="s">
        <v>386</v>
      </c>
      <c r="E198" s="14" t="s">
        <v>400</v>
      </c>
      <c r="F198" s="26" t="s">
        <v>444</v>
      </c>
      <c r="G198" s="14" t="s">
        <v>375</v>
      </c>
      <c r="H198" s="14" t="s">
        <v>376</v>
      </c>
      <c r="I198" s="16">
        <v>39121</v>
      </c>
    </row>
    <row r="199" spans="1:9" ht="15.75" thickBot="1" x14ac:dyDescent="0.3">
      <c r="A199" s="14">
        <v>318</v>
      </c>
      <c r="B199" s="14" t="s">
        <v>141</v>
      </c>
      <c r="C199" s="14"/>
      <c r="D199" s="14" t="s">
        <v>386</v>
      </c>
      <c r="E199" s="14" t="s">
        <v>548</v>
      </c>
      <c r="F199" s="15" t="s">
        <v>379</v>
      </c>
      <c r="G199" s="14" t="s">
        <v>375</v>
      </c>
      <c r="H199" s="14" t="s">
        <v>376</v>
      </c>
      <c r="I199" s="16">
        <v>43131</v>
      </c>
    </row>
    <row r="200" spans="1:9" ht="23.25" thickBot="1" x14ac:dyDescent="0.3">
      <c r="A200" s="14">
        <v>330</v>
      </c>
      <c r="B200" s="14" t="s">
        <v>142</v>
      </c>
      <c r="C200" s="14"/>
      <c r="D200" s="14" t="s">
        <v>689</v>
      </c>
      <c r="E200" s="14" t="s">
        <v>378</v>
      </c>
      <c r="F200" s="26" t="s">
        <v>444</v>
      </c>
      <c r="G200" s="14" t="s">
        <v>375</v>
      </c>
      <c r="H200" s="14" t="s">
        <v>376</v>
      </c>
      <c r="I200" s="16">
        <v>41093</v>
      </c>
    </row>
    <row r="201" spans="1:9" ht="23.25" thickBot="1" x14ac:dyDescent="0.3">
      <c r="A201" s="14">
        <v>335</v>
      </c>
      <c r="B201" s="14" t="s">
        <v>143</v>
      </c>
      <c r="C201" s="14"/>
      <c r="D201" s="14" t="s">
        <v>689</v>
      </c>
      <c r="E201" s="14" t="s">
        <v>378</v>
      </c>
      <c r="F201" s="15" t="s">
        <v>379</v>
      </c>
      <c r="G201" s="14" t="s">
        <v>375</v>
      </c>
      <c r="H201" s="14" t="s">
        <v>376</v>
      </c>
      <c r="I201" s="16">
        <v>39121</v>
      </c>
    </row>
    <row r="202" spans="1:9" ht="23.25" thickBot="1" x14ac:dyDescent="0.3">
      <c r="A202" s="14">
        <v>336</v>
      </c>
      <c r="B202" s="14" t="s">
        <v>144</v>
      </c>
      <c r="C202" s="14"/>
      <c r="D202" s="14" t="s">
        <v>689</v>
      </c>
      <c r="E202" s="14" t="s">
        <v>378</v>
      </c>
      <c r="F202" s="26" t="s">
        <v>444</v>
      </c>
      <c r="G202" s="14" t="s">
        <v>375</v>
      </c>
      <c r="H202" s="14" t="s">
        <v>376</v>
      </c>
      <c r="I202" s="16">
        <v>39121</v>
      </c>
    </row>
    <row r="203" spans="1:9" ht="23.25" thickBot="1" x14ac:dyDescent="0.3">
      <c r="A203" s="14">
        <v>337</v>
      </c>
      <c r="B203" s="14" t="s">
        <v>145</v>
      </c>
      <c r="C203" s="14"/>
      <c r="D203" s="14" t="s">
        <v>689</v>
      </c>
      <c r="E203" s="14" t="s">
        <v>468</v>
      </c>
      <c r="F203" s="21" t="s">
        <v>387</v>
      </c>
      <c r="G203" s="14" t="s">
        <v>375</v>
      </c>
      <c r="H203" s="14" t="s">
        <v>376</v>
      </c>
      <c r="I203" s="16">
        <v>39675</v>
      </c>
    </row>
    <row r="204" spans="1:9" ht="23.25" thickBot="1" x14ac:dyDescent="0.3">
      <c r="A204" s="14">
        <v>338</v>
      </c>
      <c r="B204" s="14" t="s">
        <v>146</v>
      </c>
      <c r="C204" s="14"/>
      <c r="D204" s="14" t="s">
        <v>689</v>
      </c>
      <c r="E204" s="14" t="s">
        <v>378</v>
      </c>
      <c r="F204" s="15" t="s">
        <v>379</v>
      </c>
      <c r="G204" s="14" t="s">
        <v>375</v>
      </c>
      <c r="H204" s="14" t="s">
        <v>376</v>
      </c>
      <c r="I204" s="16">
        <v>39121</v>
      </c>
    </row>
    <row r="205" spans="1:9" ht="23.25" thickBot="1" x14ac:dyDescent="0.3">
      <c r="A205" s="14">
        <v>340</v>
      </c>
      <c r="B205" s="14" t="s">
        <v>147</v>
      </c>
      <c r="C205" s="14"/>
      <c r="D205" s="14" t="s">
        <v>689</v>
      </c>
      <c r="E205" s="14" t="s">
        <v>378</v>
      </c>
      <c r="F205" s="15" t="s">
        <v>379</v>
      </c>
      <c r="G205" s="14" t="s">
        <v>375</v>
      </c>
      <c r="H205" s="14" t="s">
        <v>376</v>
      </c>
      <c r="I205" s="16">
        <v>39121</v>
      </c>
    </row>
    <row r="206" spans="1:9" ht="23.25" thickBot="1" x14ac:dyDescent="0.3">
      <c r="A206" s="14">
        <v>342</v>
      </c>
      <c r="B206" s="14" t="s">
        <v>319</v>
      </c>
      <c r="C206" s="14"/>
      <c r="D206" s="14" t="s">
        <v>689</v>
      </c>
      <c r="E206" s="14" t="s">
        <v>378</v>
      </c>
      <c r="F206" s="26" t="s">
        <v>444</v>
      </c>
      <c r="G206" s="14" t="s">
        <v>375</v>
      </c>
      <c r="H206" s="14" t="s">
        <v>376</v>
      </c>
      <c r="I206" s="16">
        <v>39121</v>
      </c>
    </row>
    <row r="207" spans="1:9" ht="15.75" thickBot="1" x14ac:dyDescent="0.3">
      <c r="A207" s="14">
        <v>344</v>
      </c>
      <c r="B207" s="14" t="s">
        <v>148</v>
      </c>
      <c r="C207" s="14" t="s">
        <v>551</v>
      </c>
      <c r="D207" s="14" t="s">
        <v>553</v>
      </c>
      <c r="E207" s="14" t="s">
        <v>378</v>
      </c>
      <c r="F207" s="21" t="s">
        <v>387</v>
      </c>
      <c r="G207" s="14" t="s">
        <v>375</v>
      </c>
      <c r="H207" s="14" t="s">
        <v>376</v>
      </c>
      <c r="I207" s="16">
        <v>42381</v>
      </c>
    </row>
    <row r="208" spans="1:9" ht="15.75" thickBot="1" x14ac:dyDescent="0.3">
      <c r="A208" s="14">
        <v>345</v>
      </c>
      <c r="B208" s="14" t="s">
        <v>554</v>
      </c>
      <c r="C208" s="14" t="s">
        <v>555</v>
      </c>
      <c r="D208" s="14" t="s">
        <v>556</v>
      </c>
      <c r="E208" s="14" t="s">
        <v>378</v>
      </c>
      <c r="F208" s="15" t="s">
        <v>379</v>
      </c>
      <c r="G208" s="14" t="s">
        <v>375</v>
      </c>
      <c r="H208" s="14" t="s">
        <v>376</v>
      </c>
      <c r="I208" s="16">
        <v>42381</v>
      </c>
    </row>
    <row r="209" spans="1:9" ht="15.75" thickBot="1" x14ac:dyDescent="0.3">
      <c r="A209" s="14">
        <v>346</v>
      </c>
      <c r="B209" s="14" t="s">
        <v>320</v>
      </c>
      <c r="C209" s="14"/>
      <c r="D209" s="14" t="s">
        <v>556</v>
      </c>
      <c r="E209" s="14" t="s">
        <v>378</v>
      </c>
      <c r="F209" s="21" t="s">
        <v>387</v>
      </c>
      <c r="G209" s="14" t="s">
        <v>375</v>
      </c>
      <c r="H209" s="14" t="s">
        <v>376</v>
      </c>
      <c r="I209" s="16">
        <v>43302</v>
      </c>
    </row>
    <row r="210" spans="1:9" ht="15.75" thickBot="1" x14ac:dyDescent="0.3">
      <c r="A210" s="14">
        <v>400</v>
      </c>
      <c r="B210" s="14" t="s">
        <v>557</v>
      </c>
      <c r="C210" s="14"/>
      <c r="D210" s="14" t="s">
        <v>690</v>
      </c>
      <c r="E210" s="14" t="s">
        <v>378</v>
      </c>
      <c r="F210" s="21" t="s">
        <v>387</v>
      </c>
      <c r="G210" s="14" t="s">
        <v>375</v>
      </c>
      <c r="H210" s="16">
        <v>39121</v>
      </c>
    </row>
    <row r="211" spans="1:9" ht="15.75" thickBot="1" x14ac:dyDescent="0.3">
      <c r="A211" s="14">
        <v>401</v>
      </c>
      <c r="B211" s="14" t="s">
        <v>149</v>
      </c>
      <c r="C211" s="14"/>
      <c r="D211" s="14" t="s">
        <v>392</v>
      </c>
      <c r="E211" s="14" t="s">
        <v>378</v>
      </c>
      <c r="F211" s="27" t="s">
        <v>462</v>
      </c>
      <c r="G211" s="14" t="s">
        <v>390</v>
      </c>
      <c r="H211" s="16">
        <v>40392</v>
      </c>
    </row>
    <row r="212" spans="1:9" ht="15.75" thickBot="1" x14ac:dyDescent="0.3">
      <c r="A212" s="14">
        <v>402</v>
      </c>
      <c r="B212" s="14" t="s">
        <v>166</v>
      </c>
      <c r="C212" s="14" t="s">
        <v>558</v>
      </c>
      <c r="D212" s="14" t="s">
        <v>392</v>
      </c>
      <c r="E212" s="14" t="s">
        <v>378</v>
      </c>
      <c r="F212" s="27" t="s">
        <v>462</v>
      </c>
      <c r="G212" s="14" t="s">
        <v>375</v>
      </c>
      <c r="H212" s="16">
        <v>39121</v>
      </c>
    </row>
    <row r="213" spans="1:9" ht="15.75" thickBot="1" x14ac:dyDescent="0.3">
      <c r="A213" s="14">
        <v>403</v>
      </c>
      <c r="B213" s="14" t="s">
        <v>150</v>
      </c>
      <c r="C213" s="14"/>
      <c r="D213" s="14" t="s">
        <v>392</v>
      </c>
      <c r="E213" s="14" t="s">
        <v>378</v>
      </c>
      <c r="F213" s="27" t="s">
        <v>462</v>
      </c>
      <c r="G213" s="14" t="s">
        <v>390</v>
      </c>
      <c r="H213" s="16">
        <v>40392</v>
      </c>
    </row>
    <row r="214" spans="1:9" ht="15.75" thickBot="1" x14ac:dyDescent="0.3">
      <c r="A214" s="14">
        <v>404</v>
      </c>
      <c r="B214" s="14" t="s">
        <v>151</v>
      </c>
      <c r="C214" s="14"/>
      <c r="D214" s="14" t="s">
        <v>392</v>
      </c>
      <c r="E214" s="14" t="s">
        <v>378</v>
      </c>
      <c r="F214" s="27" t="s">
        <v>462</v>
      </c>
      <c r="G214" s="14" t="s">
        <v>390</v>
      </c>
      <c r="H214" s="16">
        <v>40392</v>
      </c>
    </row>
    <row r="215" spans="1:9" ht="15.75" thickBot="1" x14ac:dyDescent="0.3">
      <c r="A215" s="14">
        <v>405</v>
      </c>
      <c r="B215" s="14" t="s">
        <v>152</v>
      </c>
      <c r="C215" s="14"/>
      <c r="D215" s="14" t="s">
        <v>392</v>
      </c>
      <c r="E215" s="14" t="s">
        <v>378</v>
      </c>
      <c r="F215" s="27" t="s">
        <v>462</v>
      </c>
      <c r="G215" s="14" t="s">
        <v>390</v>
      </c>
      <c r="H215" s="16">
        <v>41361</v>
      </c>
    </row>
    <row r="216" spans="1:9" ht="15.75" thickBot="1" x14ac:dyDescent="0.3">
      <c r="A216" s="14">
        <v>406</v>
      </c>
      <c r="B216" s="14" t="s">
        <v>153</v>
      </c>
      <c r="C216" s="14"/>
      <c r="D216" s="14" t="s">
        <v>392</v>
      </c>
      <c r="E216" s="14" t="s">
        <v>378</v>
      </c>
      <c r="F216" s="27" t="s">
        <v>462</v>
      </c>
      <c r="G216" s="14" t="s">
        <v>390</v>
      </c>
      <c r="H216" s="16">
        <v>40392</v>
      </c>
    </row>
    <row r="217" spans="1:9" ht="15.75" thickBot="1" x14ac:dyDescent="0.3">
      <c r="A217" s="14">
        <v>407</v>
      </c>
      <c r="B217" s="14" t="s">
        <v>321</v>
      </c>
      <c r="C217" s="14"/>
      <c r="D217" s="14" t="s">
        <v>392</v>
      </c>
      <c r="E217" s="14" t="s">
        <v>378</v>
      </c>
      <c r="F217" s="27" t="s">
        <v>462</v>
      </c>
      <c r="G217" s="14" t="s">
        <v>390</v>
      </c>
      <c r="H217" s="16">
        <v>40392</v>
      </c>
    </row>
    <row r="218" spans="1:9" ht="15.75" thickBot="1" x14ac:dyDescent="0.3">
      <c r="A218" s="14">
        <v>408</v>
      </c>
      <c r="B218" s="14" t="s">
        <v>154</v>
      </c>
      <c r="C218" s="14"/>
      <c r="D218" s="14" t="s">
        <v>392</v>
      </c>
      <c r="E218" s="14" t="s">
        <v>378</v>
      </c>
      <c r="F218" s="27" t="s">
        <v>462</v>
      </c>
      <c r="G218" s="14" t="s">
        <v>390</v>
      </c>
      <c r="H218" s="16">
        <v>40392</v>
      </c>
    </row>
    <row r="219" spans="1:9" ht="15.75" thickBot="1" x14ac:dyDescent="0.3">
      <c r="A219" s="14">
        <v>409</v>
      </c>
      <c r="B219" s="14" t="s">
        <v>322</v>
      </c>
      <c r="C219" s="14"/>
      <c r="D219" s="14" t="s">
        <v>392</v>
      </c>
      <c r="E219" s="14" t="s">
        <v>378</v>
      </c>
      <c r="F219" s="27" t="s">
        <v>462</v>
      </c>
      <c r="G219" s="14" t="s">
        <v>390</v>
      </c>
      <c r="H219" s="16">
        <v>40392</v>
      </c>
    </row>
    <row r="220" spans="1:9" ht="15.75" thickBot="1" x14ac:dyDescent="0.3">
      <c r="A220" s="14">
        <v>410</v>
      </c>
      <c r="B220" s="14" t="s">
        <v>323</v>
      </c>
      <c r="C220" s="14"/>
      <c r="D220" s="14" t="s">
        <v>392</v>
      </c>
      <c r="E220" s="14" t="s">
        <v>378</v>
      </c>
      <c r="F220" s="27" t="s">
        <v>462</v>
      </c>
      <c r="G220" s="14" t="s">
        <v>390</v>
      </c>
      <c r="H220" s="16">
        <v>40392</v>
      </c>
    </row>
    <row r="221" spans="1:9" ht="15.75" thickBot="1" x14ac:dyDescent="0.3">
      <c r="A221" s="14">
        <v>411</v>
      </c>
      <c r="B221" s="14" t="s">
        <v>559</v>
      </c>
      <c r="C221" s="14"/>
      <c r="D221" s="14" t="s">
        <v>392</v>
      </c>
      <c r="E221" s="14" t="s">
        <v>378</v>
      </c>
      <c r="F221" s="27" t="s">
        <v>462</v>
      </c>
      <c r="G221" s="14" t="s">
        <v>390</v>
      </c>
      <c r="H221" s="16">
        <v>40392</v>
      </c>
    </row>
    <row r="222" spans="1:9" ht="15.75" thickBot="1" x14ac:dyDescent="0.3">
      <c r="A222" s="14">
        <v>412</v>
      </c>
      <c r="B222" s="14" t="s">
        <v>155</v>
      </c>
      <c r="C222" s="14"/>
      <c r="D222" s="14" t="s">
        <v>392</v>
      </c>
      <c r="E222" s="14" t="s">
        <v>378</v>
      </c>
      <c r="F222" s="27" t="s">
        <v>462</v>
      </c>
      <c r="G222" s="14" t="s">
        <v>390</v>
      </c>
      <c r="H222" s="16">
        <v>41361</v>
      </c>
    </row>
    <row r="223" spans="1:9" ht="15.75" thickBot="1" x14ac:dyDescent="0.3">
      <c r="A223" s="14">
        <v>415</v>
      </c>
      <c r="B223" s="14" t="s">
        <v>156</v>
      </c>
      <c r="C223" s="14"/>
      <c r="D223" s="14" t="s">
        <v>691</v>
      </c>
      <c r="E223" s="14" t="s">
        <v>378</v>
      </c>
      <c r="F223" s="15" t="s">
        <v>379</v>
      </c>
      <c r="G223" s="14" t="s">
        <v>375</v>
      </c>
      <c r="H223" s="16">
        <v>39121</v>
      </c>
    </row>
    <row r="224" spans="1:9" ht="15.75" thickBot="1" x14ac:dyDescent="0.3">
      <c r="A224" s="14">
        <v>416</v>
      </c>
      <c r="B224" s="14" t="s">
        <v>157</v>
      </c>
      <c r="C224" s="14"/>
      <c r="D224" s="14" t="s">
        <v>691</v>
      </c>
      <c r="E224" s="14" t="s">
        <v>378</v>
      </c>
      <c r="F224" s="22" t="s">
        <v>393</v>
      </c>
      <c r="G224" s="14" t="s">
        <v>390</v>
      </c>
      <c r="H224" s="16">
        <v>41291</v>
      </c>
    </row>
    <row r="225" spans="1:8" ht="15.75" thickBot="1" x14ac:dyDescent="0.3">
      <c r="A225" s="14">
        <v>417</v>
      </c>
      <c r="B225" s="14" t="s">
        <v>158</v>
      </c>
      <c r="C225" s="14" t="s">
        <v>560</v>
      </c>
      <c r="D225" s="14" t="s">
        <v>691</v>
      </c>
      <c r="E225" s="14" t="s">
        <v>378</v>
      </c>
      <c r="F225" s="15" t="s">
        <v>379</v>
      </c>
      <c r="G225" s="14" t="s">
        <v>375</v>
      </c>
      <c r="H225" s="16">
        <v>41499</v>
      </c>
    </row>
    <row r="226" spans="1:8" ht="15.75" thickBot="1" x14ac:dyDescent="0.3">
      <c r="A226" s="14">
        <v>419</v>
      </c>
      <c r="B226" s="14" t="s">
        <v>159</v>
      </c>
      <c r="C226" s="14"/>
      <c r="D226" s="14" t="s">
        <v>409</v>
      </c>
      <c r="E226" s="14" t="s">
        <v>426</v>
      </c>
      <c r="F226" s="15" t="s">
        <v>379</v>
      </c>
      <c r="G226" s="14" t="s">
        <v>375</v>
      </c>
      <c r="H226" s="16">
        <v>39121</v>
      </c>
    </row>
    <row r="227" spans="1:8" ht="15.75" thickBot="1" x14ac:dyDescent="0.3">
      <c r="A227" s="14">
        <v>420</v>
      </c>
      <c r="B227" s="14" t="s">
        <v>561</v>
      </c>
      <c r="C227" s="14"/>
      <c r="D227" s="14" t="s">
        <v>409</v>
      </c>
      <c r="E227" s="14" t="s">
        <v>562</v>
      </c>
      <c r="F227" s="15" t="s">
        <v>379</v>
      </c>
      <c r="G227" s="14" t="s">
        <v>375</v>
      </c>
      <c r="H227" s="16">
        <v>39378</v>
      </c>
    </row>
    <row r="228" spans="1:8" ht="15.75" thickBot="1" x14ac:dyDescent="0.3">
      <c r="A228" s="14">
        <v>424</v>
      </c>
      <c r="B228" s="14" t="s">
        <v>325</v>
      </c>
      <c r="C228" s="14"/>
      <c r="D228" s="14" t="s">
        <v>449</v>
      </c>
      <c r="E228" s="14" t="s">
        <v>378</v>
      </c>
      <c r="F228" s="21" t="s">
        <v>387</v>
      </c>
      <c r="G228" s="14" t="s">
        <v>375</v>
      </c>
      <c r="H228" s="16">
        <v>39371</v>
      </c>
    </row>
    <row r="229" spans="1:8" ht="15.75" thickBot="1" x14ac:dyDescent="0.3">
      <c r="A229" s="14">
        <v>425</v>
      </c>
      <c r="B229" s="14" t="s">
        <v>160</v>
      </c>
      <c r="C229" s="14"/>
      <c r="D229" s="14" t="s">
        <v>449</v>
      </c>
      <c r="E229" s="14" t="s">
        <v>378</v>
      </c>
      <c r="F229" s="21" t="s">
        <v>387</v>
      </c>
      <c r="G229" s="14" t="s">
        <v>375</v>
      </c>
      <c r="H229" s="16">
        <v>42745</v>
      </c>
    </row>
    <row r="230" spans="1:8" ht="15.75" thickBot="1" x14ac:dyDescent="0.3">
      <c r="A230" s="14">
        <v>426</v>
      </c>
      <c r="B230" s="14" t="s">
        <v>161</v>
      </c>
      <c r="C230" s="14"/>
      <c r="D230" s="14" t="s">
        <v>449</v>
      </c>
      <c r="E230" s="14" t="s">
        <v>563</v>
      </c>
      <c r="F230" s="21" t="s">
        <v>387</v>
      </c>
      <c r="G230" s="14" t="s">
        <v>375</v>
      </c>
      <c r="H230" s="16">
        <v>42607</v>
      </c>
    </row>
    <row r="231" spans="1:8" ht="15.75" thickBot="1" x14ac:dyDescent="0.3">
      <c r="A231" s="14">
        <v>428</v>
      </c>
      <c r="B231" s="14" t="s">
        <v>162</v>
      </c>
      <c r="C231" s="14"/>
      <c r="D231" s="14" t="s">
        <v>384</v>
      </c>
      <c r="E231" s="14" t="s">
        <v>564</v>
      </c>
      <c r="F231" s="21" t="s">
        <v>387</v>
      </c>
      <c r="G231" s="14" t="s">
        <v>375</v>
      </c>
      <c r="H231" s="16">
        <v>39121</v>
      </c>
    </row>
    <row r="232" spans="1:8" ht="15.75" thickBot="1" x14ac:dyDescent="0.3">
      <c r="A232" s="14">
        <v>429</v>
      </c>
      <c r="B232" s="14" t="s">
        <v>163</v>
      </c>
      <c r="C232" s="14"/>
      <c r="D232" s="14" t="s">
        <v>384</v>
      </c>
      <c r="E232" s="14" t="s">
        <v>564</v>
      </c>
      <c r="F232" s="15" t="s">
        <v>379</v>
      </c>
      <c r="G232" s="14" t="s">
        <v>390</v>
      </c>
      <c r="H232" s="16">
        <v>40379</v>
      </c>
    </row>
    <row r="233" spans="1:8" ht="15.75" thickBot="1" x14ac:dyDescent="0.3">
      <c r="A233" s="14">
        <v>430</v>
      </c>
      <c r="B233" s="14" t="s">
        <v>164</v>
      </c>
      <c r="C233" s="14" t="s">
        <v>565</v>
      </c>
      <c r="D233" s="14" t="s">
        <v>384</v>
      </c>
      <c r="E233" s="14" t="s">
        <v>566</v>
      </c>
      <c r="F233" s="15" t="s">
        <v>379</v>
      </c>
      <c r="G233" s="14" t="s">
        <v>375</v>
      </c>
      <c r="H233" s="16">
        <v>39121</v>
      </c>
    </row>
    <row r="234" spans="1:8" ht="15.75" thickBot="1" x14ac:dyDescent="0.3">
      <c r="A234" s="14">
        <v>431</v>
      </c>
      <c r="B234" s="14" t="s">
        <v>165</v>
      </c>
      <c r="C234" s="14"/>
      <c r="D234" s="14" t="s">
        <v>392</v>
      </c>
      <c r="E234" s="14" t="s">
        <v>378</v>
      </c>
      <c r="F234" s="27" t="s">
        <v>462</v>
      </c>
      <c r="G234" s="14" t="s">
        <v>375</v>
      </c>
      <c r="H234" s="16">
        <v>39121</v>
      </c>
    </row>
    <row r="235" spans="1:8" ht="15.75" thickBot="1" x14ac:dyDescent="0.3">
      <c r="A235" s="14">
        <v>433</v>
      </c>
      <c r="B235" s="14" t="s">
        <v>167</v>
      </c>
      <c r="C235" s="14"/>
      <c r="D235" s="14" t="s">
        <v>392</v>
      </c>
      <c r="E235" s="14" t="s">
        <v>378</v>
      </c>
      <c r="F235" s="27" t="s">
        <v>462</v>
      </c>
      <c r="G235" s="14" t="s">
        <v>375</v>
      </c>
      <c r="H235" s="16">
        <v>39121</v>
      </c>
    </row>
    <row r="236" spans="1:8" ht="15.75" thickBot="1" x14ac:dyDescent="0.3">
      <c r="A236" s="14">
        <v>434</v>
      </c>
      <c r="B236" s="14" t="s">
        <v>168</v>
      </c>
      <c r="C236" s="14"/>
      <c r="D236" s="14" t="s">
        <v>392</v>
      </c>
      <c r="E236" s="14" t="s">
        <v>378</v>
      </c>
      <c r="F236" s="27" t="s">
        <v>462</v>
      </c>
      <c r="G236" s="14" t="s">
        <v>375</v>
      </c>
      <c r="H236" s="16">
        <v>39121</v>
      </c>
    </row>
    <row r="237" spans="1:8" ht="15.75" thickBot="1" x14ac:dyDescent="0.3">
      <c r="A237" s="14">
        <v>435</v>
      </c>
      <c r="B237" s="14" t="s">
        <v>169</v>
      </c>
      <c r="C237" s="14"/>
      <c r="D237" s="14" t="s">
        <v>392</v>
      </c>
      <c r="E237" s="14" t="s">
        <v>378</v>
      </c>
      <c r="F237" s="27" t="s">
        <v>462</v>
      </c>
      <c r="G237" s="14" t="s">
        <v>375</v>
      </c>
      <c r="H237" s="16">
        <v>41361</v>
      </c>
    </row>
    <row r="238" spans="1:8" ht="15.75" thickBot="1" x14ac:dyDescent="0.3">
      <c r="A238" s="14">
        <v>436</v>
      </c>
      <c r="B238" s="14" t="s">
        <v>170</v>
      </c>
      <c r="C238" s="14"/>
      <c r="D238" s="14" t="s">
        <v>392</v>
      </c>
      <c r="E238" s="14" t="s">
        <v>378</v>
      </c>
      <c r="F238" s="27" t="s">
        <v>462</v>
      </c>
      <c r="G238" s="14" t="s">
        <v>375</v>
      </c>
      <c r="H238" s="16">
        <v>39121</v>
      </c>
    </row>
    <row r="239" spans="1:8" ht="15.75" thickBot="1" x14ac:dyDescent="0.3">
      <c r="A239" s="14">
        <v>437</v>
      </c>
      <c r="B239" s="14" t="s">
        <v>326</v>
      </c>
      <c r="C239" s="14"/>
      <c r="D239" s="14" t="s">
        <v>392</v>
      </c>
      <c r="E239" s="14" t="s">
        <v>378</v>
      </c>
      <c r="F239" s="27" t="s">
        <v>462</v>
      </c>
      <c r="G239" s="14" t="s">
        <v>375</v>
      </c>
      <c r="H239" s="16">
        <v>39121</v>
      </c>
    </row>
    <row r="240" spans="1:8" ht="15.75" thickBot="1" x14ac:dyDescent="0.3">
      <c r="A240" s="14">
        <v>438</v>
      </c>
      <c r="B240" s="14" t="s">
        <v>171</v>
      </c>
      <c r="C240" s="14"/>
      <c r="D240" s="14" t="s">
        <v>392</v>
      </c>
      <c r="E240" s="14" t="s">
        <v>378</v>
      </c>
      <c r="F240" s="27" t="s">
        <v>462</v>
      </c>
      <c r="G240" s="14" t="s">
        <v>375</v>
      </c>
      <c r="H240" s="16">
        <v>39121</v>
      </c>
    </row>
    <row r="241" spans="1:8" ht="15.75" thickBot="1" x14ac:dyDescent="0.3">
      <c r="A241" s="14">
        <v>439</v>
      </c>
      <c r="B241" s="14" t="s">
        <v>327</v>
      </c>
      <c r="C241" s="14"/>
      <c r="D241" s="14" t="s">
        <v>392</v>
      </c>
      <c r="E241" s="14" t="s">
        <v>378</v>
      </c>
      <c r="F241" s="27" t="s">
        <v>462</v>
      </c>
      <c r="G241" s="14" t="s">
        <v>375</v>
      </c>
      <c r="H241" s="16">
        <v>39121</v>
      </c>
    </row>
    <row r="242" spans="1:8" ht="15.75" thickBot="1" x14ac:dyDescent="0.3">
      <c r="A242" s="14">
        <v>440</v>
      </c>
      <c r="B242" s="14" t="s">
        <v>328</v>
      </c>
      <c r="C242" s="14"/>
      <c r="D242" s="14" t="s">
        <v>392</v>
      </c>
      <c r="E242" s="14" t="s">
        <v>378</v>
      </c>
      <c r="F242" s="27" t="s">
        <v>462</v>
      </c>
      <c r="G242" s="14" t="s">
        <v>375</v>
      </c>
      <c r="H242" s="16">
        <v>39121</v>
      </c>
    </row>
    <row r="243" spans="1:8" ht="15.75" thickBot="1" x14ac:dyDescent="0.3">
      <c r="A243" s="14">
        <v>441</v>
      </c>
      <c r="B243" s="14" t="s">
        <v>567</v>
      </c>
      <c r="C243" s="14"/>
      <c r="D243" s="14" t="s">
        <v>392</v>
      </c>
      <c r="E243" s="14" t="s">
        <v>378</v>
      </c>
      <c r="F243" s="27" t="s">
        <v>462</v>
      </c>
      <c r="G243" s="14" t="s">
        <v>375</v>
      </c>
      <c r="H243" s="16">
        <v>39121</v>
      </c>
    </row>
    <row r="244" spans="1:8" ht="15.75" thickBot="1" x14ac:dyDescent="0.3">
      <c r="A244" s="14">
        <v>442</v>
      </c>
      <c r="B244" s="14" t="s">
        <v>172</v>
      </c>
      <c r="C244" s="14"/>
      <c r="D244" s="14" t="s">
        <v>392</v>
      </c>
      <c r="E244" s="14" t="s">
        <v>378</v>
      </c>
      <c r="F244" s="27" t="s">
        <v>462</v>
      </c>
      <c r="G244" s="14" t="s">
        <v>375</v>
      </c>
      <c r="H244" s="16">
        <v>41361</v>
      </c>
    </row>
    <row r="245" spans="1:8" ht="15.75" thickBot="1" x14ac:dyDescent="0.3">
      <c r="A245" s="14">
        <v>445</v>
      </c>
      <c r="B245" s="14" t="s">
        <v>173</v>
      </c>
      <c r="C245" s="14"/>
      <c r="D245" s="14" t="s">
        <v>568</v>
      </c>
      <c r="E245" s="14" t="s">
        <v>378</v>
      </c>
      <c r="F245" s="21" t="s">
        <v>387</v>
      </c>
      <c r="G245" s="14" t="s">
        <v>375</v>
      </c>
      <c r="H245" s="16">
        <v>42887</v>
      </c>
    </row>
    <row r="246" spans="1:8" ht="15.75" thickBot="1" x14ac:dyDescent="0.3">
      <c r="A246" s="14">
        <v>501</v>
      </c>
      <c r="B246" s="14" t="s">
        <v>174</v>
      </c>
      <c r="C246" s="14"/>
      <c r="D246" s="14" t="s">
        <v>392</v>
      </c>
      <c r="E246" s="14" t="s">
        <v>378</v>
      </c>
      <c r="F246" s="27" t="s">
        <v>462</v>
      </c>
      <c r="G246" s="38" t="s">
        <v>390</v>
      </c>
      <c r="H246" s="16">
        <v>42934</v>
      </c>
    </row>
    <row r="247" spans="1:8" ht="15.75" thickBot="1" x14ac:dyDescent="0.3">
      <c r="A247" s="14">
        <v>502</v>
      </c>
      <c r="B247" s="14" t="s">
        <v>175</v>
      </c>
      <c r="C247" s="14"/>
      <c r="D247" s="14" t="s">
        <v>392</v>
      </c>
      <c r="E247" s="14" t="s">
        <v>378</v>
      </c>
      <c r="F247" s="27" t="s">
        <v>462</v>
      </c>
      <c r="G247" s="38" t="s">
        <v>390</v>
      </c>
      <c r="H247" s="16">
        <v>42934</v>
      </c>
    </row>
    <row r="248" spans="1:8" ht="15.75" thickBot="1" x14ac:dyDescent="0.3">
      <c r="A248" s="14">
        <v>503</v>
      </c>
      <c r="B248" s="14" t="s">
        <v>176</v>
      </c>
      <c r="C248" s="14"/>
      <c r="D248" s="14" t="s">
        <v>392</v>
      </c>
      <c r="E248" s="14" t="s">
        <v>378</v>
      </c>
      <c r="F248" s="27" t="s">
        <v>462</v>
      </c>
      <c r="G248" s="38" t="s">
        <v>390</v>
      </c>
      <c r="H248" s="16">
        <v>42934</v>
      </c>
    </row>
    <row r="249" spans="1:8" ht="15.75" thickBot="1" x14ac:dyDescent="0.3">
      <c r="A249" s="14">
        <v>504</v>
      </c>
      <c r="B249" s="14" t="s">
        <v>177</v>
      </c>
      <c r="C249" s="14"/>
      <c r="D249" s="14" t="s">
        <v>392</v>
      </c>
      <c r="E249" s="14" t="s">
        <v>378</v>
      </c>
      <c r="F249" s="27" t="s">
        <v>462</v>
      </c>
      <c r="G249" s="38" t="s">
        <v>390</v>
      </c>
      <c r="H249" s="16">
        <v>42934</v>
      </c>
    </row>
    <row r="250" spans="1:8" ht="15.75" thickBot="1" x14ac:dyDescent="0.3">
      <c r="A250" s="14">
        <v>505</v>
      </c>
      <c r="B250" s="14" t="s">
        <v>178</v>
      </c>
      <c r="C250" s="14"/>
      <c r="D250" s="14" t="s">
        <v>392</v>
      </c>
      <c r="E250" s="14" t="s">
        <v>378</v>
      </c>
      <c r="F250" s="27" t="s">
        <v>462</v>
      </c>
      <c r="G250" s="38" t="s">
        <v>390</v>
      </c>
      <c r="H250" s="16">
        <v>42934</v>
      </c>
    </row>
    <row r="251" spans="1:8" ht="15.75" thickBot="1" x14ac:dyDescent="0.3">
      <c r="A251" s="14">
        <v>506</v>
      </c>
      <c r="B251" s="14" t="s">
        <v>179</v>
      </c>
      <c r="C251" s="14"/>
      <c r="D251" s="14" t="s">
        <v>392</v>
      </c>
      <c r="E251" s="14" t="s">
        <v>378</v>
      </c>
      <c r="F251" s="27" t="s">
        <v>462</v>
      </c>
      <c r="G251" s="38" t="s">
        <v>390</v>
      </c>
      <c r="H251" s="16">
        <v>41835</v>
      </c>
    </row>
    <row r="252" spans="1:8" ht="15.75" thickBot="1" x14ac:dyDescent="0.3">
      <c r="A252" s="14">
        <v>507</v>
      </c>
      <c r="B252" s="14" t="s">
        <v>180</v>
      </c>
      <c r="C252" s="14"/>
      <c r="D252" s="14" t="s">
        <v>392</v>
      </c>
      <c r="E252" s="14" t="s">
        <v>378</v>
      </c>
      <c r="F252" s="27" t="s">
        <v>462</v>
      </c>
      <c r="G252" s="38" t="s">
        <v>390</v>
      </c>
      <c r="H252" s="16">
        <v>42934</v>
      </c>
    </row>
    <row r="253" spans="1:8" ht="15.75" thickBot="1" x14ac:dyDescent="0.3">
      <c r="A253" s="14">
        <v>508</v>
      </c>
      <c r="B253" s="14" t="s">
        <v>181</v>
      </c>
      <c r="C253" s="14"/>
      <c r="D253" s="14" t="s">
        <v>392</v>
      </c>
      <c r="E253" s="14" t="s">
        <v>378</v>
      </c>
      <c r="F253" s="27" t="s">
        <v>462</v>
      </c>
      <c r="G253" s="38" t="s">
        <v>390</v>
      </c>
      <c r="H253" s="16">
        <v>42934</v>
      </c>
    </row>
    <row r="254" spans="1:8" ht="15.75" thickBot="1" x14ac:dyDescent="0.3">
      <c r="A254" s="14">
        <v>509</v>
      </c>
      <c r="B254" s="14" t="s">
        <v>182</v>
      </c>
      <c r="C254" s="14"/>
      <c r="D254" s="14" t="s">
        <v>392</v>
      </c>
      <c r="E254" s="14" t="s">
        <v>378</v>
      </c>
      <c r="F254" s="22" t="s">
        <v>393</v>
      </c>
      <c r="G254" s="38" t="s">
        <v>390</v>
      </c>
      <c r="H254" s="16">
        <v>42005</v>
      </c>
    </row>
    <row r="255" spans="1:8" ht="15.75" thickBot="1" x14ac:dyDescent="0.3">
      <c r="A255" s="14">
        <v>510</v>
      </c>
      <c r="B255" s="14" t="s">
        <v>183</v>
      </c>
      <c r="C255" s="14"/>
      <c r="D255" s="14" t="s">
        <v>392</v>
      </c>
      <c r="E255" s="14" t="s">
        <v>378</v>
      </c>
      <c r="F255" s="22" t="s">
        <v>393</v>
      </c>
      <c r="G255" s="38" t="s">
        <v>390</v>
      </c>
      <c r="H255" s="16">
        <v>42606</v>
      </c>
    </row>
    <row r="256" spans="1:8" ht="15.75" thickBot="1" x14ac:dyDescent="0.3">
      <c r="A256" s="14">
        <v>511</v>
      </c>
      <c r="B256" s="14" t="s">
        <v>184</v>
      </c>
      <c r="C256" s="14"/>
      <c r="D256" s="14" t="s">
        <v>392</v>
      </c>
      <c r="E256" s="14" t="s">
        <v>378</v>
      </c>
      <c r="F256" s="27" t="s">
        <v>462</v>
      </c>
      <c r="G256" s="14" t="s">
        <v>375</v>
      </c>
      <c r="H256" s="16">
        <v>42934</v>
      </c>
    </row>
    <row r="257" spans="1:8" ht="15.75" thickBot="1" x14ac:dyDescent="0.3">
      <c r="A257" s="14">
        <v>512</v>
      </c>
      <c r="B257" s="14" t="s">
        <v>185</v>
      </c>
      <c r="C257" s="14"/>
      <c r="D257" s="14" t="s">
        <v>392</v>
      </c>
      <c r="E257" s="14" t="s">
        <v>378</v>
      </c>
      <c r="F257" s="27" t="s">
        <v>462</v>
      </c>
      <c r="G257" s="14" t="s">
        <v>375</v>
      </c>
      <c r="H257" s="16">
        <v>42934</v>
      </c>
    </row>
    <row r="258" spans="1:8" ht="15.75" thickBot="1" x14ac:dyDescent="0.3">
      <c r="A258" s="14">
        <v>513</v>
      </c>
      <c r="B258" s="14" t="s">
        <v>186</v>
      </c>
      <c r="C258" s="14"/>
      <c r="D258" s="14" t="s">
        <v>392</v>
      </c>
      <c r="E258" s="14" t="s">
        <v>378</v>
      </c>
      <c r="F258" s="27" t="s">
        <v>462</v>
      </c>
      <c r="G258" s="14" t="s">
        <v>375</v>
      </c>
      <c r="H258" s="16">
        <v>42934</v>
      </c>
    </row>
    <row r="259" spans="1:8" ht="15.75" thickBot="1" x14ac:dyDescent="0.3">
      <c r="A259" s="14">
        <v>514</v>
      </c>
      <c r="B259" s="14" t="s">
        <v>187</v>
      </c>
      <c r="C259" s="14"/>
      <c r="D259" s="14" t="s">
        <v>392</v>
      </c>
      <c r="E259" s="14" t="s">
        <v>378</v>
      </c>
      <c r="F259" s="27" t="s">
        <v>462</v>
      </c>
      <c r="G259" s="14" t="s">
        <v>375</v>
      </c>
      <c r="H259" s="16">
        <v>42934</v>
      </c>
    </row>
    <row r="260" spans="1:8" ht="15.75" thickBot="1" x14ac:dyDescent="0.3">
      <c r="A260" s="14">
        <v>515</v>
      </c>
      <c r="B260" s="14" t="s">
        <v>188</v>
      </c>
      <c r="C260" s="14"/>
      <c r="D260" s="14" t="s">
        <v>392</v>
      </c>
      <c r="E260" s="14" t="s">
        <v>378</v>
      </c>
      <c r="F260" s="27" t="s">
        <v>462</v>
      </c>
      <c r="G260" s="14" t="s">
        <v>375</v>
      </c>
      <c r="H260" s="16">
        <v>42934</v>
      </c>
    </row>
    <row r="261" spans="1:8" ht="15.75" thickBot="1" x14ac:dyDescent="0.3">
      <c r="A261" s="14">
        <v>516</v>
      </c>
      <c r="B261" s="14" t="s">
        <v>189</v>
      </c>
      <c r="C261" s="14"/>
      <c r="D261" s="14" t="s">
        <v>392</v>
      </c>
      <c r="E261" s="14" t="s">
        <v>378</v>
      </c>
      <c r="F261" s="27" t="s">
        <v>462</v>
      </c>
      <c r="G261" s="14" t="s">
        <v>375</v>
      </c>
      <c r="H261" s="16">
        <v>40977</v>
      </c>
    </row>
    <row r="262" spans="1:8" ht="15.75" thickBot="1" x14ac:dyDescent="0.3">
      <c r="A262" s="14">
        <v>517</v>
      </c>
      <c r="B262" s="14" t="s">
        <v>190</v>
      </c>
      <c r="C262" s="14"/>
      <c r="D262" s="14" t="s">
        <v>392</v>
      </c>
      <c r="E262" s="14" t="s">
        <v>378</v>
      </c>
      <c r="F262" s="27" t="s">
        <v>462</v>
      </c>
      <c r="G262" s="14" t="s">
        <v>375</v>
      </c>
      <c r="H262" s="16">
        <v>42934</v>
      </c>
    </row>
    <row r="263" spans="1:8" ht="15.75" thickBot="1" x14ac:dyDescent="0.3">
      <c r="A263" s="14">
        <v>518</v>
      </c>
      <c r="B263" s="14" t="s">
        <v>191</v>
      </c>
      <c r="C263" s="14"/>
      <c r="D263" s="14" t="s">
        <v>392</v>
      </c>
      <c r="E263" s="14" t="s">
        <v>378</v>
      </c>
      <c r="F263" s="27" t="s">
        <v>462</v>
      </c>
      <c r="G263" s="14" t="s">
        <v>375</v>
      </c>
      <c r="H263" s="16">
        <v>42934</v>
      </c>
    </row>
    <row r="264" spans="1:8" ht="15.75" thickBot="1" x14ac:dyDescent="0.3">
      <c r="A264" s="14">
        <v>519</v>
      </c>
      <c r="B264" s="14" t="s">
        <v>192</v>
      </c>
      <c r="C264" s="14"/>
      <c r="D264" s="14" t="s">
        <v>392</v>
      </c>
      <c r="E264" s="14" t="s">
        <v>378</v>
      </c>
      <c r="F264" s="15" t="s">
        <v>379</v>
      </c>
      <c r="G264" s="14" t="s">
        <v>375</v>
      </c>
      <c r="H264" s="16">
        <v>39765</v>
      </c>
    </row>
    <row r="265" spans="1:8" ht="15.75" thickBot="1" x14ac:dyDescent="0.3">
      <c r="A265" s="14">
        <v>520</v>
      </c>
      <c r="B265" s="14" t="s">
        <v>193</v>
      </c>
      <c r="C265" s="14"/>
      <c r="D265" s="14" t="s">
        <v>392</v>
      </c>
      <c r="E265" s="14" t="s">
        <v>378</v>
      </c>
      <c r="F265" s="15" t="s">
        <v>379</v>
      </c>
      <c r="G265" s="14" t="s">
        <v>375</v>
      </c>
      <c r="H265" s="16">
        <v>42606</v>
      </c>
    </row>
    <row r="266" spans="1:8" ht="15.75" thickBot="1" x14ac:dyDescent="0.3">
      <c r="A266" s="14">
        <v>521</v>
      </c>
      <c r="B266" s="14" t="s">
        <v>194</v>
      </c>
      <c r="C266" s="14"/>
      <c r="D266" s="14" t="s">
        <v>437</v>
      </c>
      <c r="E266" s="14" t="s">
        <v>378</v>
      </c>
      <c r="F266" s="22" t="s">
        <v>393</v>
      </c>
      <c r="G266" s="14" t="s">
        <v>390</v>
      </c>
      <c r="H266" s="16">
        <v>41115</v>
      </c>
    </row>
    <row r="267" spans="1:8" ht="15.75" thickBot="1" x14ac:dyDescent="0.3">
      <c r="A267" s="14">
        <v>522</v>
      </c>
      <c r="B267" s="14" t="s">
        <v>195</v>
      </c>
      <c r="C267" s="14"/>
      <c r="D267" s="14" t="s">
        <v>437</v>
      </c>
      <c r="E267" s="14" t="s">
        <v>378</v>
      </c>
      <c r="F267" s="22" t="s">
        <v>393</v>
      </c>
      <c r="G267" s="14" t="s">
        <v>390</v>
      </c>
      <c r="H267" s="16">
        <v>41317</v>
      </c>
    </row>
    <row r="268" spans="1:8" ht="15.75" thickBot="1" x14ac:dyDescent="0.3">
      <c r="A268" s="14">
        <v>523</v>
      </c>
      <c r="B268" s="14" t="s">
        <v>196</v>
      </c>
      <c r="C268" s="14"/>
      <c r="D268" s="14" t="s">
        <v>437</v>
      </c>
      <c r="E268" s="14" t="s">
        <v>378</v>
      </c>
      <c r="F268" s="15" t="s">
        <v>379</v>
      </c>
      <c r="G268" s="14" t="s">
        <v>375</v>
      </c>
      <c r="H268" s="16">
        <v>39121</v>
      </c>
    </row>
    <row r="269" spans="1:8" ht="15.75" thickBot="1" x14ac:dyDescent="0.3">
      <c r="A269" s="14">
        <v>524</v>
      </c>
      <c r="B269" s="14" t="s">
        <v>197</v>
      </c>
      <c r="C269" s="14"/>
      <c r="D269" s="14" t="s">
        <v>437</v>
      </c>
      <c r="E269" s="14" t="s">
        <v>378</v>
      </c>
      <c r="F269" s="15" t="s">
        <v>379</v>
      </c>
      <c r="G269" s="14" t="s">
        <v>375</v>
      </c>
      <c r="H269" s="16">
        <v>39121</v>
      </c>
    </row>
    <row r="270" spans="1:8" ht="15.75" thickBot="1" x14ac:dyDescent="0.3">
      <c r="A270" s="14">
        <v>526</v>
      </c>
      <c r="B270" s="14" t="s">
        <v>198</v>
      </c>
      <c r="C270" s="14"/>
      <c r="D270" s="14" t="s">
        <v>569</v>
      </c>
      <c r="E270" s="14" t="s">
        <v>378</v>
      </c>
      <c r="F270" s="27" t="s">
        <v>462</v>
      </c>
      <c r="G270" s="14" t="s">
        <v>375</v>
      </c>
      <c r="H270" s="16">
        <v>39121</v>
      </c>
    </row>
    <row r="271" spans="1:8" ht="15.75" thickBot="1" x14ac:dyDescent="0.3">
      <c r="A271" s="14">
        <v>527</v>
      </c>
      <c r="B271" s="14" t="s">
        <v>199</v>
      </c>
      <c r="C271" s="14" t="s">
        <v>570</v>
      </c>
      <c r="D271" s="14" t="s">
        <v>571</v>
      </c>
      <c r="E271" s="14" t="s">
        <v>378</v>
      </c>
      <c r="F271" s="22" t="s">
        <v>393</v>
      </c>
      <c r="G271" s="14" t="s">
        <v>390</v>
      </c>
      <c r="H271" s="16">
        <v>41501</v>
      </c>
    </row>
    <row r="272" spans="1:8" ht="15.75" thickBot="1" x14ac:dyDescent="0.3">
      <c r="A272" s="14">
        <v>528</v>
      </c>
      <c r="B272" s="14" t="s">
        <v>200</v>
      </c>
      <c r="C272" s="14" t="s">
        <v>570</v>
      </c>
      <c r="D272" s="14" t="s">
        <v>571</v>
      </c>
      <c r="E272" s="14" t="s">
        <v>378</v>
      </c>
      <c r="F272" s="22" t="s">
        <v>393</v>
      </c>
      <c r="G272" s="14" t="s">
        <v>390</v>
      </c>
      <c r="H272" s="16">
        <v>41501</v>
      </c>
    </row>
    <row r="273" spans="1:8" ht="15.75" thickBot="1" x14ac:dyDescent="0.3">
      <c r="A273" s="14">
        <v>529</v>
      </c>
      <c r="B273" s="14" t="s">
        <v>201</v>
      </c>
      <c r="C273" s="14" t="s">
        <v>570</v>
      </c>
      <c r="D273" s="14" t="s">
        <v>571</v>
      </c>
      <c r="E273" s="14" t="s">
        <v>378</v>
      </c>
      <c r="F273" s="22" t="s">
        <v>393</v>
      </c>
      <c r="G273" s="14" t="s">
        <v>390</v>
      </c>
      <c r="H273" s="16">
        <v>42217</v>
      </c>
    </row>
    <row r="274" spans="1:8" ht="15.75" thickBot="1" x14ac:dyDescent="0.3">
      <c r="A274" s="14">
        <v>530</v>
      </c>
      <c r="B274" s="14" t="s">
        <v>202</v>
      </c>
      <c r="C274" s="14" t="s">
        <v>570</v>
      </c>
      <c r="D274" s="14" t="s">
        <v>571</v>
      </c>
      <c r="E274" s="14" t="s">
        <v>378</v>
      </c>
      <c r="F274" s="22" t="s">
        <v>393</v>
      </c>
      <c r="G274" s="14" t="s">
        <v>390</v>
      </c>
      <c r="H274" s="16">
        <v>40028</v>
      </c>
    </row>
    <row r="275" spans="1:8" ht="26.25" thickBot="1" x14ac:dyDescent="0.3">
      <c r="A275" s="14">
        <v>531</v>
      </c>
      <c r="B275" s="14" t="s">
        <v>333</v>
      </c>
      <c r="C275" s="14" t="s">
        <v>570</v>
      </c>
      <c r="D275" s="14" t="s">
        <v>571</v>
      </c>
      <c r="E275" s="14" t="s">
        <v>378</v>
      </c>
      <c r="F275" s="22" t="s">
        <v>393</v>
      </c>
      <c r="G275" s="28" t="s">
        <v>478</v>
      </c>
      <c r="H275" s="16">
        <v>43311</v>
      </c>
    </row>
    <row r="276" spans="1:8" ht="15.75" thickBot="1" x14ac:dyDescent="0.3">
      <c r="A276" s="14">
        <v>535</v>
      </c>
      <c r="B276" s="14" t="s">
        <v>572</v>
      </c>
      <c r="C276" s="14"/>
      <c r="D276" s="14" t="s">
        <v>692</v>
      </c>
      <c r="E276" s="14" t="s">
        <v>378</v>
      </c>
      <c r="F276" s="21" t="s">
        <v>387</v>
      </c>
      <c r="G276" s="14" t="s">
        <v>375</v>
      </c>
      <c r="H276" s="16">
        <v>39121</v>
      </c>
    </row>
    <row r="277" spans="1:8" ht="15.75" thickBot="1" x14ac:dyDescent="0.3">
      <c r="A277" s="14">
        <v>536</v>
      </c>
      <c r="B277" s="14" t="s">
        <v>693</v>
      </c>
      <c r="C277" s="14"/>
      <c r="D277" s="14" t="s">
        <v>694</v>
      </c>
      <c r="E277" s="14" t="s">
        <v>378</v>
      </c>
      <c r="F277" s="27" t="s">
        <v>462</v>
      </c>
      <c r="G277" s="14" t="s">
        <v>390</v>
      </c>
      <c r="H277" s="16">
        <v>43391</v>
      </c>
    </row>
    <row r="278" spans="1:8" ht="15.75" thickBot="1" x14ac:dyDescent="0.3">
      <c r="A278" s="14">
        <v>544</v>
      </c>
      <c r="B278" s="14" t="s">
        <v>573</v>
      </c>
      <c r="C278" s="14"/>
      <c r="D278" s="14" t="s">
        <v>574</v>
      </c>
      <c r="E278" s="14" t="s">
        <v>378</v>
      </c>
      <c r="F278" s="27" t="s">
        <v>462</v>
      </c>
      <c r="G278" s="14" t="s">
        <v>375</v>
      </c>
      <c r="H278" s="16">
        <v>39121</v>
      </c>
    </row>
    <row r="279" spans="1:8" ht="15.75" thickBot="1" x14ac:dyDescent="0.3">
      <c r="A279" s="14">
        <v>546</v>
      </c>
      <c r="B279" s="14" t="s">
        <v>329</v>
      </c>
      <c r="C279" s="14"/>
      <c r="D279" s="14" t="s">
        <v>575</v>
      </c>
      <c r="E279" s="14" t="s">
        <v>373</v>
      </c>
      <c r="F279" s="27" t="s">
        <v>462</v>
      </c>
      <c r="G279" s="14" t="s">
        <v>375</v>
      </c>
      <c r="H279" s="16">
        <v>40878</v>
      </c>
    </row>
    <row r="280" spans="1:8" ht="15.75" thickBot="1" x14ac:dyDescent="0.3">
      <c r="A280" s="14">
        <v>551</v>
      </c>
      <c r="B280" s="14" t="s">
        <v>330</v>
      </c>
      <c r="C280" s="14"/>
      <c r="D280" s="14" t="s">
        <v>576</v>
      </c>
      <c r="E280" s="14" t="s">
        <v>378</v>
      </c>
      <c r="F280" s="27" t="s">
        <v>462</v>
      </c>
      <c r="G280" s="14" t="s">
        <v>390</v>
      </c>
      <c r="H280" s="16">
        <v>43299</v>
      </c>
    </row>
    <row r="281" spans="1:8" ht="15.75" thickBot="1" x14ac:dyDescent="0.3">
      <c r="A281" s="14">
        <v>552</v>
      </c>
      <c r="B281" s="14" t="s">
        <v>331</v>
      </c>
      <c r="C281" s="14"/>
      <c r="D281" s="14" t="s">
        <v>576</v>
      </c>
      <c r="E281" s="14" t="s">
        <v>378</v>
      </c>
      <c r="F281" s="27" t="s">
        <v>462</v>
      </c>
      <c r="G281" s="14" t="s">
        <v>375</v>
      </c>
      <c r="H281" s="16">
        <v>43312</v>
      </c>
    </row>
    <row r="282" spans="1:8" ht="15.75" thickBot="1" x14ac:dyDescent="0.3">
      <c r="A282" s="14">
        <v>553</v>
      </c>
      <c r="B282" s="14" t="s">
        <v>332</v>
      </c>
      <c r="C282" s="14"/>
      <c r="D282" s="14" t="s">
        <v>576</v>
      </c>
      <c r="E282" s="14" t="s">
        <v>378</v>
      </c>
      <c r="F282" s="21" t="s">
        <v>387</v>
      </c>
      <c r="G282" s="14" t="s">
        <v>390</v>
      </c>
      <c r="H282" s="16">
        <v>43368</v>
      </c>
    </row>
    <row r="283" spans="1:8" ht="15.75" thickBot="1" x14ac:dyDescent="0.3">
      <c r="A283" s="14">
        <v>601</v>
      </c>
      <c r="B283" s="8" t="s">
        <v>204</v>
      </c>
      <c r="C283" s="14" t="s">
        <v>388</v>
      </c>
      <c r="D283" s="14" t="s">
        <v>380</v>
      </c>
      <c r="E283" s="14" t="s">
        <v>378</v>
      </c>
      <c r="F283" s="20" t="s">
        <v>381</v>
      </c>
      <c r="G283" s="14" t="s">
        <v>375</v>
      </c>
      <c r="H283" s="16">
        <v>39121</v>
      </c>
    </row>
    <row r="284" spans="1:8" ht="15.75" thickBot="1" x14ac:dyDescent="0.3">
      <c r="A284" s="14">
        <v>602</v>
      </c>
      <c r="B284" s="8" t="s">
        <v>205</v>
      </c>
      <c r="C284" s="14"/>
      <c r="D284" s="14" t="s">
        <v>392</v>
      </c>
      <c r="E284" s="14" t="s">
        <v>378</v>
      </c>
      <c r="F284" s="21" t="s">
        <v>387</v>
      </c>
      <c r="G284" s="14" t="s">
        <v>375</v>
      </c>
      <c r="H284" s="16">
        <v>39765</v>
      </c>
    </row>
    <row r="285" spans="1:8" ht="15.75" thickBot="1" x14ac:dyDescent="0.3">
      <c r="A285" s="14">
        <v>603</v>
      </c>
      <c r="B285" s="14" t="s">
        <v>206</v>
      </c>
      <c r="C285" s="14"/>
      <c r="D285" s="14" t="s">
        <v>392</v>
      </c>
      <c r="E285" s="14" t="s">
        <v>378</v>
      </c>
      <c r="F285" s="22" t="s">
        <v>393</v>
      </c>
      <c r="G285" s="38" t="s">
        <v>390</v>
      </c>
      <c r="H285" s="16">
        <v>42005</v>
      </c>
    </row>
    <row r="286" spans="1:8" ht="15.75" thickBot="1" x14ac:dyDescent="0.3">
      <c r="A286" s="14">
        <v>604</v>
      </c>
      <c r="B286" s="14" t="s">
        <v>207</v>
      </c>
      <c r="C286" s="14" t="s">
        <v>388</v>
      </c>
      <c r="D286" s="14" t="s">
        <v>380</v>
      </c>
      <c r="E286" s="14" t="s">
        <v>378</v>
      </c>
      <c r="F286" s="21" t="s">
        <v>387</v>
      </c>
      <c r="G286" s="38" t="s">
        <v>390</v>
      </c>
      <c r="H286" s="16">
        <v>41618</v>
      </c>
    </row>
    <row r="287" spans="1:8" ht="15.75" thickBot="1" x14ac:dyDescent="0.3">
      <c r="A287" s="14">
        <v>605</v>
      </c>
      <c r="B287" s="14" t="s">
        <v>208</v>
      </c>
      <c r="C287" s="14" t="s">
        <v>388</v>
      </c>
      <c r="D287" s="14" t="s">
        <v>380</v>
      </c>
      <c r="E287" s="14" t="s">
        <v>378</v>
      </c>
      <c r="F287" s="20" t="s">
        <v>381</v>
      </c>
      <c r="G287" s="14" t="s">
        <v>375</v>
      </c>
      <c r="H287" s="16">
        <v>39121</v>
      </c>
    </row>
    <row r="288" spans="1:8" ht="15.75" thickBot="1" x14ac:dyDescent="0.3">
      <c r="A288" s="14">
        <v>607</v>
      </c>
      <c r="B288" s="14" t="s">
        <v>577</v>
      </c>
      <c r="C288" s="14"/>
      <c r="D288" s="14" t="s">
        <v>691</v>
      </c>
      <c r="E288" s="14" t="s">
        <v>378</v>
      </c>
      <c r="F288" s="21" t="s">
        <v>387</v>
      </c>
      <c r="G288" s="14" t="s">
        <v>375</v>
      </c>
      <c r="H288" s="16">
        <v>39121</v>
      </c>
    </row>
    <row r="289" spans="1:8" ht="15.75" thickBot="1" x14ac:dyDescent="0.3">
      <c r="A289" s="14">
        <v>609</v>
      </c>
      <c r="B289" s="14" t="s">
        <v>578</v>
      </c>
      <c r="C289" s="14"/>
      <c r="D289" s="14" t="s">
        <v>579</v>
      </c>
      <c r="E289" s="14" t="s">
        <v>378</v>
      </c>
      <c r="F289" s="15" t="s">
        <v>379</v>
      </c>
      <c r="G289" s="38" t="s">
        <v>390</v>
      </c>
      <c r="H289" s="16">
        <v>43277</v>
      </c>
    </row>
    <row r="290" spans="1:8" ht="15.75" thickBot="1" x14ac:dyDescent="0.3">
      <c r="A290" s="14">
        <v>613</v>
      </c>
      <c r="B290" s="8" t="s">
        <v>580</v>
      </c>
      <c r="C290" s="14"/>
      <c r="D290" s="14" t="s">
        <v>695</v>
      </c>
      <c r="E290" s="14" t="s">
        <v>378</v>
      </c>
      <c r="F290" s="21" t="s">
        <v>387</v>
      </c>
      <c r="G290" s="14" t="s">
        <v>375</v>
      </c>
      <c r="H290" s="16">
        <v>39121</v>
      </c>
    </row>
    <row r="291" spans="1:8" ht="15.75" thickBot="1" x14ac:dyDescent="0.3">
      <c r="A291" s="14">
        <v>620</v>
      </c>
      <c r="B291" s="14" t="s">
        <v>209</v>
      </c>
      <c r="C291" s="14"/>
      <c r="D291" s="14" t="s">
        <v>581</v>
      </c>
      <c r="E291" s="14" t="s">
        <v>378</v>
      </c>
      <c r="F291" s="15" t="s">
        <v>379</v>
      </c>
      <c r="G291" s="14" t="s">
        <v>375</v>
      </c>
      <c r="H291" s="16">
        <v>39121</v>
      </c>
    </row>
    <row r="292" spans="1:8" ht="15.75" thickBot="1" x14ac:dyDescent="0.3">
      <c r="A292" s="14">
        <v>621</v>
      </c>
      <c r="B292" s="14" t="s">
        <v>210</v>
      </c>
      <c r="C292" s="14"/>
      <c r="D292" s="14" t="s">
        <v>582</v>
      </c>
      <c r="E292" s="14" t="s">
        <v>378</v>
      </c>
      <c r="F292" s="15" t="s">
        <v>379</v>
      </c>
      <c r="G292" s="14" t="s">
        <v>583</v>
      </c>
      <c r="H292" s="16">
        <v>40892</v>
      </c>
    </row>
    <row r="293" spans="1:8" ht="15.75" thickBot="1" x14ac:dyDescent="0.3">
      <c r="A293" s="14">
        <v>622</v>
      </c>
      <c r="B293" s="14" t="s">
        <v>211</v>
      </c>
      <c r="C293" s="14"/>
      <c r="D293" s="14" t="s">
        <v>584</v>
      </c>
      <c r="E293" s="14" t="s">
        <v>378</v>
      </c>
      <c r="F293" s="15" t="s">
        <v>379</v>
      </c>
      <c r="G293" s="14" t="s">
        <v>375</v>
      </c>
      <c r="H293" s="16">
        <v>41261</v>
      </c>
    </row>
    <row r="294" spans="1:8" ht="15.75" thickBot="1" x14ac:dyDescent="0.3">
      <c r="A294" s="14">
        <v>624</v>
      </c>
      <c r="B294" s="14" t="s">
        <v>334</v>
      </c>
      <c r="C294" s="14"/>
      <c r="D294" s="14" t="s">
        <v>585</v>
      </c>
      <c r="E294" s="14" t="s">
        <v>378</v>
      </c>
      <c r="F294" s="15" t="s">
        <v>379</v>
      </c>
      <c r="G294" s="38" t="s">
        <v>390</v>
      </c>
      <c r="H294" s="16">
        <v>43279</v>
      </c>
    </row>
    <row r="295" spans="1:8" ht="15.75" thickBot="1" x14ac:dyDescent="0.3">
      <c r="A295" s="14">
        <v>625</v>
      </c>
      <c r="B295" s="14" t="s">
        <v>586</v>
      </c>
      <c r="C295" s="14"/>
      <c r="D295" s="14" t="s">
        <v>587</v>
      </c>
      <c r="E295" s="14" t="s">
        <v>378</v>
      </c>
      <c r="F295" s="22" t="s">
        <v>393</v>
      </c>
      <c r="G295" s="14" t="s">
        <v>390</v>
      </c>
      <c r="H295" s="16">
        <v>41395</v>
      </c>
    </row>
    <row r="296" spans="1:8" ht="15.75" thickBot="1" x14ac:dyDescent="0.3">
      <c r="A296" s="14">
        <v>700</v>
      </c>
      <c r="B296" s="14" t="s">
        <v>588</v>
      </c>
      <c r="C296" s="14" t="s">
        <v>589</v>
      </c>
      <c r="D296" s="14" t="s">
        <v>672</v>
      </c>
      <c r="E296" s="14" t="s">
        <v>378</v>
      </c>
      <c r="F296" s="15" t="s">
        <v>379</v>
      </c>
      <c r="G296" s="14" t="s">
        <v>375</v>
      </c>
      <c r="H296" s="16">
        <v>41536</v>
      </c>
    </row>
    <row r="297" spans="1:8" ht="15.75" thickBot="1" x14ac:dyDescent="0.3">
      <c r="A297" s="14">
        <v>701</v>
      </c>
      <c r="B297" s="14" t="s">
        <v>212</v>
      </c>
      <c r="C297" s="14" t="s">
        <v>388</v>
      </c>
      <c r="D297" s="14" t="s">
        <v>380</v>
      </c>
      <c r="E297" s="14" t="s">
        <v>590</v>
      </c>
      <c r="F297" s="20" t="s">
        <v>381</v>
      </c>
      <c r="G297" s="14" t="s">
        <v>375</v>
      </c>
      <c r="H297" s="16">
        <v>39121</v>
      </c>
    </row>
    <row r="298" spans="1:8" ht="15.75" thickBot="1" x14ac:dyDescent="0.3">
      <c r="A298" s="14">
        <v>702</v>
      </c>
      <c r="B298" s="14" t="s">
        <v>213</v>
      </c>
      <c r="C298" s="14" t="s">
        <v>388</v>
      </c>
      <c r="D298" s="14" t="s">
        <v>380</v>
      </c>
      <c r="E298" s="14" t="s">
        <v>591</v>
      </c>
      <c r="F298" s="20" t="s">
        <v>381</v>
      </c>
      <c r="G298" s="14" t="s">
        <v>375</v>
      </c>
      <c r="H298" s="16">
        <v>39121</v>
      </c>
    </row>
    <row r="299" spans="1:8" ht="15.75" thickBot="1" x14ac:dyDescent="0.3">
      <c r="A299" s="14">
        <v>703</v>
      </c>
      <c r="B299" s="14" t="s">
        <v>592</v>
      </c>
      <c r="C299" s="14"/>
      <c r="D299" s="14" t="s">
        <v>680</v>
      </c>
      <c r="E299" s="14" t="s">
        <v>378</v>
      </c>
      <c r="F299" s="27" t="s">
        <v>462</v>
      </c>
      <c r="G299" s="14" t="s">
        <v>375</v>
      </c>
      <c r="H299" s="16">
        <v>39121</v>
      </c>
    </row>
    <row r="300" spans="1:8" ht="15.75" thickBot="1" x14ac:dyDescent="0.3">
      <c r="A300" s="14">
        <v>704</v>
      </c>
      <c r="B300" s="14" t="s">
        <v>214</v>
      </c>
      <c r="C300" s="14"/>
      <c r="D300" s="14" t="s">
        <v>691</v>
      </c>
      <c r="E300" s="14" t="s">
        <v>378</v>
      </c>
      <c r="F300" s="15" t="s">
        <v>379</v>
      </c>
      <c r="G300" s="14" t="s">
        <v>375</v>
      </c>
      <c r="H300" s="16">
        <v>39121</v>
      </c>
    </row>
    <row r="301" spans="1:8" ht="15.75" thickBot="1" x14ac:dyDescent="0.3">
      <c r="A301" s="14">
        <v>705</v>
      </c>
      <c r="B301" s="14" t="s">
        <v>215</v>
      </c>
      <c r="C301" s="14" t="s">
        <v>593</v>
      </c>
      <c r="D301" s="14" t="s">
        <v>691</v>
      </c>
      <c r="E301" s="14" t="s">
        <v>378</v>
      </c>
      <c r="F301" s="15" t="s">
        <v>379</v>
      </c>
      <c r="G301" s="14" t="s">
        <v>375</v>
      </c>
      <c r="H301" s="16">
        <v>41730</v>
      </c>
    </row>
    <row r="302" spans="1:8" ht="15.75" thickBot="1" x14ac:dyDescent="0.3">
      <c r="A302" s="14">
        <v>706</v>
      </c>
      <c r="B302" s="14" t="s">
        <v>216</v>
      </c>
      <c r="C302" s="14"/>
      <c r="D302" s="14" t="s">
        <v>691</v>
      </c>
      <c r="E302" s="14" t="s">
        <v>594</v>
      </c>
      <c r="F302" s="15" t="s">
        <v>379</v>
      </c>
      <c r="G302" s="14" t="s">
        <v>375</v>
      </c>
      <c r="H302" s="16">
        <v>40262</v>
      </c>
    </row>
    <row r="303" spans="1:8" ht="15.75" thickBot="1" x14ac:dyDescent="0.3">
      <c r="A303" s="14">
        <v>707</v>
      </c>
      <c r="B303" s="14" t="s">
        <v>217</v>
      </c>
      <c r="C303" s="14"/>
      <c r="D303" s="14" t="s">
        <v>595</v>
      </c>
      <c r="E303" s="14" t="s">
        <v>378</v>
      </c>
      <c r="F303" s="22" t="s">
        <v>393</v>
      </c>
      <c r="G303" s="14" t="s">
        <v>375</v>
      </c>
      <c r="H303" s="16">
        <v>39121</v>
      </c>
    </row>
    <row r="304" spans="1:8" ht="15.75" thickBot="1" x14ac:dyDescent="0.3">
      <c r="A304" s="14">
        <v>710</v>
      </c>
      <c r="B304" s="14" t="s">
        <v>218</v>
      </c>
      <c r="C304" s="14" t="s">
        <v>388</v>
      </c>
      <c r="D304" s="14" t="s">
        <v>380</v>
      </c>
      <c r="E304" s="14" t="s">
        <v>590</v>
      </c>
      <c r="F304" s="21" t="s">
        <v>387</v>
      </c>
      <c r="G304" s="14" t="s">
        <v>390</v>
      </c>
      <c r="H304" s="16">
        <v>41618</v>
      </c>
    </row>
    <row r="305" spans="1:8" ht="15.75" thickBot="1" x14ac:dyDescent="0.3">
      <c r="A305" s="14">
        <v>711</v>
      </c>
      <c r="B305" s="14" t="s">
        <v>219</v>
      </c>
      <c r="C305" s="14" t="s">
        <v>388</v>
      </c>
      <c r="D305" s="14" t="s">
        <v>380</v>
      </c>
      <c r="E305" s="14" t="s">
        <v>591</v>
      </c>
      <c r="F305" s="21" t="s">
        <v>387</v>
      </c>
      <c r="G305" s="14" t="s">
        <v>390</v>
      </c>
      <c r="H305" s="16">
        <v>41618</v>
      </c>
    </row>
    <row r="306" spans="1:8" ht="15.75" thickBot="1" x14ac:dyDescent="0.3">
      <c r="A306" s="14">
        <v>712</v>
      </c>
      <c r="B306" s="14" t="s">
        <v>220</v>
      </c>
      <c r="C306" s="14"/>
      <c r="D306" s="14" t="s">
        <v>696</v>
      </c>
      <c r="E306" s="14" t="s">
        <v>596</v>
      </c>
      <c r="F306" s="26" t="s">
        <v>444</v>
      </c>
      <c r="G306" s="14" t="s">
        <v>375</v>
      </c>
      <c r="H306" s="16">
        <v>39121</v>
      </c>
    </row>
    <row r="307" spans="1:8" ht="15.75" thickBot="1" x14ac:dyDescent="0.3">
      <c r="A307" s="14">
        <v>713</v>
      </c>
      <c r="B307" s="14" t="s">
        <v>597</v>
      </c>
      <c r="C307" s="14" t="s">
        <v>598</v>
      </c>
      <c r="D307" s="14" t="s">
        <v>696</v>
      </c>
      <c r="E307" s="14" t="s">
        <v>599</v>
      </c>
      <c r="F307" s="26" t="s">
        <v>444</v>
      </c>
      <c r="G307" s="14" t="s">
        <v>375</v>
      </c>
      <c r="H307" s="16">
        <v>39121</v>
      </c>
    </row>
    <row r="308" spans="1:8" ht="15.75" thickBot="1" x14ac:dyDescent="0.3">
      <c r="A308" s="14">
        <v>714</v>
      </c>
      <c r="B308" s="14" t="s">
        <v>600</v>
      </c>
      <c r="C308" s="14"/>
      <c r="D308" s="14" t="s">
        <v>696</v>
      </c>
      <c r="E308" s="14" t="s">
        <v>596</v>
      </c>
      <c r="F308" s="22" t="s">
        <v>393</v>
      </c>
      <c r="G308" s="14" t="s">
        <v>390</v>
      </c>
      <c r="H308" s="16">
        <v>41452</v>
      </c>
    </row>
    <row r="309" spans="1:8" ht="15.75" thickBot="1" x14ac:dyDescent="0.3">
      <c r="A309" s="14">
        <v>715</v>
      </c>
      <c r="B309" s="14" t="s">
        <v>221</v>
      </c>
      <c r="C309" s="14"/>
      <c r="D309" s="14" t="s">
        <v>696</v>
      </c>
      <c r="E309" s="14" t="s">
        <v>378</v>
      </c>
      <c r="F309" s="26" t="s">
        <v>444</v>
      </c>
      <c r="G309" s="14" t="s">
        <v>375</v>
      </c>
      <c r="H309" s="16">
        <v>39121</v>
      </c>
    </row>
    <row r="310" spans="1:8" ht="15.75" thickBot="1" x14ac:dyDescent="0.3">
      <c r="A310" s="14">
        <v>716</v>
      </c>
      <c r="B310" s="14" t="s">
        <v>222</v>
      </c>
      <c r="C310" s="14"/>
      <c r="D310" s="14" t="s">
        <v>696</v>
      </c>
      <c r="E310" s="14" t="s">
        <v>596</v>
      </c>
      <c r="F310" s="22" t="s">
        <v>393</v>
      </c>
      <c r="G310" s="14" t="s">
        <v>375</v>
      </c>
      <c r="H310" s="16">
        <v>39308</v>
      </c>
    </row>
    <row r="311" spans="1:8" ht="15.75" thickBot="1" x14ac:dyDescent="0.3">
      <c r="A311" s="14">
        <v>717</v>
      </c>
      <c r="B311" s="14" t="s">
        <v>223</v>
      </c>
      <c r="C311" s="14"/>
      <c r="D311" s="14" t="s">
        <v>696</v>
      </c>
      <c r="E311" s="14" t="s">
        <v>596</v>
      </c>
      <c r="F311" s="26" t="s">
        <v>444</v>
      </c>
      <c r="G311" s="14" t="s">
        <v>375</v>
      </c>
      <c r="H311" s="16">
        <v>39121</v>
      </c>
    </row>
    <row r="312" spans="1:8" ht="15.75" thickBot="1" x14ac:dyDescent="0.3">
      <c r="A312" s="14">
        <v>724</v>
      </c>
      <c r="B312" s="14" t="s">
        <v>224</v>
      </c>
      <c r="C312" s="14"/>
      <c r="D312" s="14" t="s">
        <v>595</v>
      </c>
      <c r="E312" s="14" t="s">
        <v>482</v>
      </c>
      <c r="F312" s="22" t="s">
        <v>393</v>
      </c>
      <c r="G312" s="14" t="s">
        <v>375</v>
      </c>
      <c r="H312" s="16">
        <v>39121</v>
      </c>
    </row>
    <row r="313" spans="1:8" ht="15.75" thickBot="1" x14ac:dyDescent="0.3">
      <c r="A313" s="14">
        <v>725</v>
      </c>
      <c r="B313" s="14" t="s">
        <v>225</v>
      </c>
      <c r="C313" s="14" t="s">
        <v>601</v>
      </c>
      <c r="D313" s="14" t="s">
        <v>595</v>
      </c>
      <c r="E313" s="14" t="s">
        <v>602</v>
      </c>
      <c r="F313" s="22" t="s">
        <v>393</v>
      </c>
      <c r="G313" s="14" t="s">
        <v>375</v>
      </c>
      <c r="H313" s="16">
        <v>39121</v>
      </c>
    </row>
    <row r="314" spans="1:8" ht="15.75" thickBot="1" x14ac:dyDescent="0.3">
      <c r="A314" s="14">
        <v>727</v>
      </c>
      <c r="B314" s="14" t="s">
        <v>226</v>
      </c>
      <c r="C314" s="14"/>
      <c r="D314" s="14" t="s">
        <v>595</v>
      </c>
      <c r="E314" s="14" t="s">
        <v>378</v>
      </c>
      <c r="F314" s="22" t="s">
        <v>393</v>
      </c>
      <c r="G314" s="14" t="s">
        <v>375</v>
      </c>
      <c r="H314" s="16">
        <v>39121</v>
      </c>
    </row>
    <row r="315" spans="1:8" ht="15.75" thickBot="1" x14ac:dyDescent="0.3">
      <c r="A315" s="14">
        <v>730</v>
      </c>
      <c r="B315" s="14" t="s">
        <v>227</v>
      </c>
      <c r="C315" s="14"/>
      <c r="D315" s="14" t="s">
        <v>691</v>
      </c>
      <c r="E315" s="14" t="s">
        <v>378</v>
      </c>
      <c r="F315" s="15" t="s">
        <v>379</v>
      </c>
      <c r="G315" s="14" t="s">
        <v>375</v>
      </c>
      <c r="H315" s="16">
        <v>39121</v>
      </c>
    </row>
    <row r="316" spans="1:8" ht="15.75" thickBot="1" x14ac:dyDescent="0.3">
      <c r="A316" s="14">
        <v>731</v>
      </c>
      <c r="B316" s="14" t="s">
        <v>228</v>
      </c>
      <c r="C316" s="14" t="s">
        <v>603</v>
      </c>
      <c r="D316" s="14" t="s">
        <v>691</v>
      </c>
      <c r="E316" s="14" t="s">
        <v>378</v>
      </c>
      <c r="F316" s="15" t="s">
        <v>379</v>
      </c>
      <c r="G316" s="14" t="s">
        <v>375</v>
      </c>
      <c r="H316" s="16">
        <v>39121</v>
      </c>
    </row>
    <row r="317" spans="1:8" ht="15.75" thickBot="1" x14ac:dyDescent="0.3">
      <c r="A317" s="14">
        <v>732</v>
      </c>
      <c r="B317" s="14" t="s">
        <v>229</v>
      </c>
      <c r="C317" s="14"/>
      <c r="D317" s="14" t="s">
        <v>691</v>
      </c>
      <c r="E317" s="14" t="s">
        <v>378</v>
      </c>
      <c r="F317" s="22" t="s">
        <v>393</v>
      </c>
      <c r="G317" s="14" t="s">
        <v>390</v>
      </c>
      <c r="H317" s="16">
        <v>41291</v>
      </c>
    </row>
    <row r="318" spans="1:8" ht="15.75" thickBot="1" x14ac:dyDescent="0.3">
      <c r="A318" s="14">
        <v>734</v>
      </c>
      <c r="B318" s="14" t="s">
        <v>230</v>
      </c>
      <c r="C318" s="14"/>
      <c r="D318" s="14" t="s">
        <v>677</v>
      </c>
      <c r="E318" s="14" t="s">
        <v>604</v>
      </c>
      <c r="F318" s="21" t="s">
        <v>387</v>
      </c>
      <c r="G318" s="14" t="s">
        <v>375</v>
      </c>
      <c r="H318" s="16">
        <v>39121</v>
      </c>
    </row>
    <row r="319" spans="1:8" ht="15.75" thickBot="1" x14ac:dyDescent="0.3">
      <c r="A319" s="14">
        <v>736</v>
      </c>
      <c r="B319" s="14" t="s">
        <v>335</v>
      </c>
      <c r="C319" s="14"/>
      <c r="D319" s="14" t="s">
        <v>449</v>
      </c>
      <c r="E319" s="14" t="s">
        <v>378</v>
      </c>
      <c r="F319" s="21" t="s">
        <v>387</v>
      </c>
      <c r="G319" s="14" t="s">
        <v>375</v>
      </c>
      <c r="H319" s="16">
        <v>42607</v>
      </c>
    </row>
    <row r="320" spans="1:8" ht="15.75" thickBot="1" x14ac:dyDescent="0.3">
      <c r="A320" s="14">
        <v>737</v>
      </c>
      <c r="B320" s="14" t="s">
        <v>232</v>
      </c>
      <c r="C320" s="14"/>
      <c r="D320" s="14" t="s">
        <v>449</v>
      </c>
      <c r="E320" s="14" t="s">
        <v>378</v>
      </c>
      <c r="F320" s="21" t="s">
        <v>387</v>
      </c>
      <c r="G320" s="14" t="s">
        <v>375</v>
      </c>
      <c r="H320" s="16">
        <v>39366</v>
      </c>
    </row>
    <row r="321" spans="1:8" ht="15.75" thickBot="1" x14ac:dyDescent="0.3">
      <c r="A321" s="14">
        <v>739</v>
      </c>
      <c r="B321" s="14" t="s">
        <v>336</v>
      </c>
      <c r="C321" s="14"/>
      <c r="D321" s="14" t="s">
        <v>541</v>
      </c>
      <c r="E321" s="14" t="s">
        <v>378</v>
      </c>
      <c r="F321" s="22" t="s">
        <v>393</v>
      </c>
      <c r="G321" s="14" t="s">
        <v>390</v>
      </c>
      <c r="H321" s="16">
        <v>43302</v>
      </c>
    </row>
    <row r="322" spans="1:8" ht="15.75" thickBot="1" x14ac:dyDescent="0.3">
      <c r="A322" s="14">
        <v>740</v>
      </c>
      <c r="B322" s="14" t="s">
        <v>233</v>
      </c>
      <c r="C322" s="14"/>
      <c r="D322" s="14" t="s">
        <v>697</v>
      </c>
      <c r="E322" s="14" t="s">
        <v>378</v>
      </c>
      <c r="F322" s="21" t="s">
        <v>387</v>
      </c>
      <c r="G322" s="14" t="s">
        <v>375</v>
      </c>
      <c r="H322" s="16">
        <v>39121</v>
      </c>
    </row>
    <row r="323" spans="1:8" ht="15.75" thickBot="1" x14ac:dyDescent="0.3">
      <c r="A323" s="14">
        <v>741</v>
      </c>
      <c r="B323" s="14" t="s">
        <v>234</v>
      </c>
      <c r="C323" s="14"/>
      <c r="D323" s="14" t="s">
        <v>697</v>
      </c>
      <c r="E323" s="14" t="s">
        <v>378</v>
      </c>
      <c r="F323" s="21" t="s">
        <v>387</v>
      </c>
      <c r="G323" s="14" t="s">
        <v>375</v>
      </c>
      <c r="H323" s="16">
        <v>42551</v>
      </c>
    </row>
    <row r="324" spans="1:8" ht="15.75" thickBot="1" x14ac:dyDescent="0.3">
      <c r="A324" s="14">
        <v>742</v>
      </c>
      <c r="B324" s="14" t="s">
        <v>235</v>
      </c>
      <c r="C324" s="14"/>
      <c r="D324" s="14" t="s">
        <v>697</v>
      </c>
      <c r="E324" s="14" t="s">
        <v>378</v>
      </c>
      <c r="F324" s="21" t="s">
        <v>387</v>
      </c>
      <c r="G324" s="14" t="s">
        <v>375</v>
      </c>
      <c r="H324" s="16">
        <v>42551</v>
      </c>
    </row>
    <row r="325" spans="1:8" ht="15.75" thickBot="1" x14ac:dyDescent="0.3">
      <c r="A325" s="14">
        <v>747</v>
      </c>
      <c r="B325" s="14" t="s">
        <v>236</v>
      </c>
      <c r="C325" s="14"/>
      <c r="D325" s="14" t="s">
        <v>605</v>
      </c>
      <c r="E325" s="14" t="s">
        <v>378</v>
      </c>
      <c r="F325" s="21" t="s">
        <v>387</v>
      </c>
      <c r="G325" s="14" t="s">
        <v>375</v>
      </c>
      <c r="H325" s="16">
        <v>39121</v>
      </c>
    </row>
    <row r="326" spans="1:8" ht="15.75" thickBot="1" x14ac:dyDescent="0.3">
      <c r="A326" s="14">
        <v>748</v>
      </c>
      <c r="B326" s="14" t="s">
        <v>237</v>
      </c>
      <c r="C326" s="14"/>
      <c r="D326" s="14" t="s">
        <v>605</v>
      </c>
      <c r="E326" s="14" t="s">
        <v>378</v>
      </c>
      <c r="F326" s="21" t="s">
        <v>387</v>
      </c>
      <c r="G326" s="14" t="s">
        <v>375</v>
      </c>
      <c r="H326" s="16">
        <v>41380</v>
      </c>
    </row>
    <row r="327" spans="1:8" ht="15.75" thickBot="1" x14ac:dyDescent="0.3">
      <c r="A327" s="14">
        <v>755</v>
      </c>
      <c r="B327" s="14" t="s">
        <v>238</v>
      </c>
      <c r="C327" s="14"/>
      <c r="D327" s="14" t="s">
        <v>606</v>
      </c>
      <c r="E327" s="14" t="s">
        <v>378</v>
      </c>
      <c r="F327" s="21" t="s">
        <v>387</v>
      </c>
      <c r="G327" s="14" t="s">
        <v>375</v>
      </c>
      <c r="H327" s="16">
        <v>39121</v>
      </c>
    </row>
    <row r="328" spans="1:8" ht="15.75" thickBot="1" x14ac:dyDescent="0.3">
      <c r="A328" s="14">
        <v>756</v>
      </c>
      <c r="B328" s="14" t="s">
        <v>239</v>
      </c>
      <c r="C328" s="14"/>
      <c r="D328" s="14" t="s">
        <v>606</v>
      </c>
      <c r="E328" s="14" t="s">
        <v>378</v>
      </c>
      <c r="F328" s="21" t="s">
        <v>387</v>
      </c>
      <c r="G328" s="14" t="s">
        <v>375</v>
      </c>
      <c r="H328" s="16">
        <v>40427</v>
      </c>
    </row>
    <row r="329" spans="1:8" ht="15.75" thickBot="1" x14ac:dyDescent="0.3">
      <c r="A329" s="14">
        <v>757</v>
      </c>
      <c r="B329" s="14" t="s">
        <v>240</v>
      </c>
      <c r="C329" s="14"/>
      <c r="D329" s="14" t="s">
        <v>607</v>
      </c>
      <c r="E329" s="14" t="s">
        <v>378</v>
      </c>
      <c r="F329" s="21" t="s">
        <v>387</v>
      </c>
      <c r="G329" s="14" t="s">
        <v>375</v>
      </c>
      <c r="H329" s="16">
        <v>41452</v>
      </c>
    </row>
    <row r="330" spans="1:8" ht="15.75" thickBot="1" x14ac:dyDescent="0.3">
      <c r="A330" s="14">
        <v>801</v>
      </c>
      <c r="B330" s="14" t="s">
        <v>337</v>
      </c>
      <c r="C330" s="14" t="s">
        <v>608</v>
      </c>
      <c r="D330" s="14" t="s">
        <v>698</v>
      </c>
      <c r="E330" s="14" t="s">
        <v>378</v>
      </c>
      <c r="F330" s="27" t="s">
        <v>462</v>
      </c>
      <c r="G330" s="14" t="s">
        <v>390</v>
      </c>
      <c r="H330" s="16">
        <v>43405</v>
      </c>
    </row>
    <row r="331" spans="1:8" ht="15.75" thickBot="1" x14ac:dyDescent="0.3">
      <c r="A331" s="14">
        <v>803</v>
      </c>
      <c r="B331" s="14" t="s">
        <v>338</v>
      </c>
      <c r="C331" s="14" t="s">
        <v>608</v>
      </c>
      <c r="D331" s="14" t="s">
        <v>698</v>
      </c>
      <c r="E331" s="14" t="s">
        <v>378</v>
      </c>
      <c r="F331" s="27" t="s">
        <v>462</v>
      </c>
      <c r="G331" s="14" t="s">
        <v>390</v>
      </c>
      <c r="H331" s="16">
        <v>43405</v>
      </c>
    </row>
    <row r="332" spans="1:8" ht="15.75" thickBot="1" x14ac:dyDescent="0.3">
      <c r="A332" s="14">
        <v>804</v>
      </c>
      <c r="B332" s="14" t="s">
        <v>241</v>
      </c>
      <c r="C332" s="14" t="s">
        <v>608</v>
      </c>
      <c r="D332" s="14" t="s">
        <v>699</v>
      </c>
      <c r="E332" s="14" t="s">
        <v>378</v>
      </c>
      <c r="F332" s="27" t="s">
        <v>462</v>
      </c>
      <c r="G332" s="14" t="s">
        <v>583</v>
      </c>
      <c r="H332" s="16">
        <v>42975</v>
      </c>
    </row>
    <row r="333" spans="1:8" ht="26.25" thickBot="1" x14ac:dyDescent="0.3">
      <c r="A333" s="14">
        <v>805</v>
      </c>
      <c r="B333" s="14" t="s">
        <v>609</v>
      </c>
      <c r="C333" s="14" t="s">
        <v>608</v>
      </c>
      <c r="D333" s="14" t="s">
        <v>610</v>
      </c>
      <c r="E333" s="14" t="s">
        <v>378</v>
      </c>
      <c r="F333" s="27" t="s">
        <v>462</v>
      </c>
      <c r="G333" s="14" t="s">
        <v>390</v>
      </c>
      <c r="H333" s="16">
        <v>43346</v>
      </c>
    </row>
    <row r="334" spans="1:8" ht="15.75" thickBot="1" x14ac:dyDescent="0.3">
      <c r="A334" s="14">
        <v>806</v>
      </c>
      <c r="B334" s="14" t="s">
        <v>611</v>
      </c>
      <c r="C334" s="14" t="s">
        <v>608</v>
      </c>
      <c r="D334" s="14" t="s">
        <v>610</v>
      </c>
      <c r="E334" s="14" t="s">
        <v>378</v>
      </c>
      <c r="F334" s="27" t="s">
        <v>462</v>
      </c>
      <c r="G334" s="14" t="s">
        <v>390</v>
      </c>
      <c r="H334" s="16">
        <v>43346</v>
      </c>
    </row>
    <row r="335" spans="1:8" ht="15.75" thickBot="1" x14ac:dyDescent="0.3">
      <c r="A335" s="14">
        <v>807</v>
      </c>
      <c r="B335" s="14" t="s">
        <v>612</v>
      </c>
      <c r="C335" s="14" t="s">
        <v>608</v>
      </c>
      <c r="D335" s="14" t="s">
        <v>610</v>
      </c>
      <c r="E335" s="14" t="s">
        <v>378</v>
      </c>
      <c r="F335" s="15" t="s">
        <v>379</v>
      </c>
      <c r="G335" s="14" t="s">
        <v>583</v>
      </c>
      <c r="H335" s="16">
        <v>41310</v>
      </c>
    </row>
    <row r="336" spans="1:8" ht="15.75" thickBot="1" x14ac:dyDescent="0.3">
      <c r="A336" s="14">
        <v>809</v>
      </c>
      <c r="B336" s="14" t="s">
        <v>341</v>
      </c>
      <c r="C336" s="14" t="s">
        <v>608</v>
      </c>
      <c r="D336" s="14" t="s">
        <v>613</v>
      </c>
      <c r="E336" s="14" t="s">
        <v>378</v>
      </c>
      <c r="F336" s="27" t="s">
        <v>462</v>
      </c>
      <c r="G336" s="14" t="s">
        <v>390</v>
      </c>
      <c r="H336" s="16">
        <v>43346</v>
      </c>
    </row>
    <row r="337" spans="1:8" ht="15.75" thickBot="1" x14ac:dyDescent="0.3">
      <c r="A337" s="14">
        <v>810</v>
      </c>
      <c r="B337" s="14" t="s">
        <v>342</v>
      </c>
      <c r="C337" s="14" t="s">
        <v>608</v>
      </c>
      <c r="D337" s="14" t="s">
        <v>613</v>
      </c>
      <c r="E337" s="14" t="s">
        <v>378</v>
      </c>
      <c r="F337" s="27" t="s">
        <v>462</v>
      </c>
      <c r="G337" s="14" t="s">
        <v>390</v>
      </c>
      <c r="H337" s="16">
        <v>43346</v>
      </c>
    </row>
    <row r="338" spans="1:8" ht="15.75" thickBot="1" x14ac:dyDescent="0.3">
      <c r="A338" s="14">
        <v>811</v>
      </c>
      <c r="B338" s="14" t="s">
        <v>343</v>
      </c>
      <c r="C338" s="14" t="s">
        <v>608</v>
      </c>
      <c r="D338" s="14" t="s">
        <v>613</v>
      </c>
      <c r="E338" s="14" t="s">
        <v>378</v>
      </c>
      <c r="F338" s="15" t="s">
        <v>379</v>
      </c>
      <c r="G338" s="14" t="s">
        <v>583</v>
      </c>
      <c r="H338" s="16">
        <v>42096</v>
      </c>
    </row>
    <row r="339" spans="1:8" ht="15.75" thickBot="1" x14ac:dyDescent="0.3">
      <c r="A339" s="14">
        <v>812</v>
      </c>
      <c r="B339" s="14" t="s">
        <v>344</v>
      </c>
      <c r="C339" s="14" t="s">
        <v>608</v>
      </c>
      <c r="D339" s="14" t="s">
        <v>613</v>
      </c>
      <c r="E339" s="14" t="s">
        <v>378</v>
      </c>
      <c r="F339" s="27" t="s">
        <v>462</v>
      </c>
      <c r="G339" s="14" t="s">
        <v>390</v>
      </c>
      <c r="H339" s="16">
        <v>43346</v>
      </c>
    </row>
    <row r="340" spans="1:8" ht="15.75" thickBot="1" x14ac:dyDescent="0.3">
      <c r="A340" s="14">
        <v>813</v>
      </c>
      <c r="B340" s="14" t="s">
        <v>242</v>
      </c>
      <c r="C340" s="14" t="s">
        <v>608</v>
      </c>
      <c r="D340" s="14" t="s">
        <v>613</v>
      </c>
      <c r="E340" s="14" t="s">
        <v>378</v>
      </c>
      <c r="F340" s="15" t="s">
        <v>379</v>
      </c>
      <c r="G340" s="14" t="s">
        <v>583</v>
      </c>
      <c r="H340" s="16">
        <v>41395</v>
      </c>
    </row>
    <row r="341" spans="1:8" ht="15.75" thickBot="1" x14ac:dyDescent="0.3">
      <c r="A341" s="14">
        <v>815</v>
      </c>
      <c r="B341" s="14" t="s">
        <v>243</v>
      </c>
      <c r="C341" s="14" t="s">
        <v>608</v>
      </c>
      <c r="D341" s="14" t="s">
        <v>614</v>
      </c>
      <c r="E341" s="14" t="s">
        <v>378</v>
      </c>
      <c r="F341" s="27" t="s">
        <v>462</v>
      </c>
      <c r="G341" s="14" t="s">
        <v>375</v>
      </c>
      <c r="H341" s="16">
        <v>39121</v>
      </c>
    </row>
    <row r="342" spans="1:8" ht="15.75" thickBot="1" x14ac:dyDescent="0.3">
      <c r="A342" s="14">
        <v>816</v>
      </c>
      <c r="B342" s="14" t="s">
        <v>244</v>
      </c>
      <c r="C342" s="14" t="s">
        <v>615</v>
      </c>
      <c r="D342" s="14" t="s">
        <v>614</v>
      </c>
      <c r="E342" s="14" t="s">
        <v>378</v>
      </c>
      <c r="F342" s="15" t="s">
        <v>379</v>
      </c>
      <c r="G342" s="14" t="s">
        <v>375</v>
      </c>
      <c r="H342" s="16">
        <v>39121</v>
      </c>
    </row>
    <row r="343" spans="1:8" ht="15.75" thickBot="1" x14ac:dyDescent="0.3">
      <c r="A343" s="14">
        <v>825</v>
      </c>
      <c r="B343" s="14" t="s">
        <v>616</v>
      </c>
      <c r="C343" s="14" t="s">
        <v>617</v>
      </c>
      <c r="D343" s="14" t="s">
        <v>618</v>
      </c>
      <c r="E343" s="14" t="s">
        <v>378</v>
      </c>
      <c r="F343" s="22" t="s">
        <v>393</v>
      </c>
      <c r="G343" s="14" t="s">
        <v>375</v>
      </c>
      <c r="H343" s="16">
        <v>39121</v>
      </c>
    </row>
    <row r="344" spans="1:8" ht="15.75" thickBot="1" x14ac:dyDescent="0.3">
      <c r="A344" s="14">
        <v>826</v>
      </c>
      <c r="B344" s="14" t="s">
        <v>345</v>
      </c>
      <c r="C344" s="14" t="s">
        <v>608</v>
      </c>
      <c r="D344" s="14" t="s">
        <v>700</v>
      </c>
      <c r="E344" s="14" t="s">
        <v>378</v>
      </c>
      <c r="F344" s="15" t="s">
        <v>379</v>
      </c>
      <c r="G344" s="14" t="s">
        <v>583</v>
      </c>
      <c r="H344" s="16">
        <v>40634</v>
      </c>
    </row>
    <row r="345" spans="1:8" ht="15.75" thickBot="1" x14ac:dyDescent="0.3">
      <c r="A345" s="14">
        <v>827</v>
      </c>
      <c r="B345" s="14" t="s">
        <v>619</v>
      </c>
      <c r="C345" s="14" t="s">
        <v>608</v>
      </c>
      <c r="D345" s="14" t="s">
        <v>700</v>
      </c>
      <c r="E345" s="14" t="s">
        <v>378</v>
      </c>
      <c r="F345" s="15" t="s">
        <v>379</v>
      </c>
      <c r="G345" s="14" t="s">
        <v>583</v>
      </c>
      <c r="H345" s="16">
        <v>41256</v>
      </c>
    </row>
    <row r="346" spans="1:8" ht="15.75" thickBot="1" x14ac:dyDescent="0.3">
      <c r="A346" s="14">
        <v>828</v>
      </c>
      <c r="B346" s="14" t="s">
        <v>245</v>
      </c>
      <c r="C346" s="14" t="s">
        <v>608</v>
      </c>
      <c r="D346" s="14" t="s">
        <v>700</v>
      </c>
      <c r="E346" s="14" t="s">
        <v>378</v>
      </c>
      <c r="F346" s="15" t="s">
        <v>379</v>
      </c>
      <c r="G346" s="14" t="s">
        <v>375</v>
      </c>
      <c r="H346" s="16">
        <v>43006</v>
      </c>
    </row>
    <row r="347" spans="1:8" ht="15.75" thickBot="1" x14ac:dyDescent="0.3">
      <c r="A347" s="14">
        <v>829</v>
      </c>
      <c r="B347" s="14" t="s">
        <v>246</v>
      </c>
      <c r="C347" s="14" t="s">
        <v>608</v>
      </c>
      <c r="D347" s="14" t="s">
        <v>582</v>
      </c>
      <c r="E347" s="14" t="s">
        <v>378</v>
      </c>
      <c r="F347" s="27" t="s">
        <v>462</v>
      </c>
      <c r="G347" s="14" t="s">
        <v>583</v>
      </c>
      <c r="H347" s="16">
        <v>41256</v>
      </c>
    </row>
    <row r="348" spans="1:8" ht="15.75" thickBot="1" x14ac:dyDescent="0.3">
      <c r="A348" s="14">
        <v>831</v>
      </c>
      <c r="B348" s="14" t="s">
        <v>247</v>
      </c>
      <c r="C348" s="14" t="s">
        <v>620</v>
      </c>
      <c r="D348" s="14" t="s">
        <v>584</v>
      </c>
      <c r="E348" s="14" t="s">
        <v>378</v>
      </c>
      <c r="F348" s="15" t="s">
        <v>379</v>
      </c>
      <c r="G348" s="14" t="s">
        <v>375</v>
      </c>
      <c r="H348" s="16">
        <v>41261</v>
      </c>
    </row>
    <row r="349" spans="1:8" ht="15.75" thickBot="1" x14ac:dyDescent="0.3">
      <c r="A349" s="14">
        <v>832</v>
      </c>
      <c r="B349" s="14" t="s">
        <v>346</v>
      </c>
      <c r="C349" s="14" t="s">
        <v>617</v>
      </c>
      <c r="D349" s="14" t="s">
        <v>585</v>
      </c>
      <c r="E349" s="14" t="s">
        <v>378</v>
      </c>
      <c r="F349" s="15" t="s">
        <v>379</v>
      </c>
      <c r="G349" s="14" t="s">
        <v>390</v>
      </c>
      <c r="H349" s="16">
        <v>43111</v>
      </c>
    </row>
    <row r="350" spans="1:8" ht="15.75" thickBot="1" x14ac:dyDescent="0.3">
      <c r="A350" s="14">
        <v>833</v>
      </c>
      <c r="B350" s="14" t="s">
        <v>248</v>
      </c>
      <c r="C350" s="14" t="s">
        <v>621</v>
      </c>
      <c r="D350" s="14" t="s">
        <v>622</v>
      </c>
      <c r="E350" s="14" t="s">
        <v>378</v>
      </c>
      <c r="F350" s="15" t="s">
        <v>379</v>
      </c>
      <c r="G350" s="14" t="s">
        <v>583</v>
      </c>
      <c r="H350" s="16">
        <v>41975</v>
      </c>
    </row>
    <row r="351" spans="1:8" ht="15.75" thickBot="1" x14ac:dyDescent="0.3">
      <c r="A351" s="14">
        <v>834</v>
      </c>
      <c r="B351" s="14" t="s">
        <v>11</v>
      </c>
      <c r="C351" s="14" t="s">
        <v>623</v>
      </c>
      <c r="D351" s="14" t="s">
        <v>672</v>
      </c>
      <c r="E351" s="14" t="s">
        <v>378</v>
      </c>
      <c r="F351" s="15" t="s">
        <v>379</v>
      </c>
      <c r="G351" s="14" t="s">
        <v>375</v>
      </c>
      <c r="H351" s="16">
        <v>41984</v>
      </c>
    </row>
    <row r="352" spans="1:8" ht="15.75" thickBot="1" x14ac:dyDescent="0.3">
      <c r="A352" s="14">
        <v>836</v>
      </c>
      <c r="B352" s="14" t="s">
        <v>249</v>
      </c>
      <c r="C352" s="14" t="s">
        <v>608</v>
      </c>
      <c r="D352" s="14" t="s">
        <v>582</v>
      </c>
      <c r="E352" s="14" t="s">
        <v>378</v>
      </c>
      <c r="F352" s="15" t="s">
        <v>379</v>
      </c>
      <c r="G352" s="14" t="s">
        <v>583</v>
      </c>
      <c r="H352" s="16">
        <v>42605</v>
      </c>
    </row>
    <row r="353" spans="1:8" ht="15.75" thickBot="1" x14ac:dyDescent="0.3">
      <c r="A353" s="14">
        <v>837</v>
      </c>
      <c r="B353" s="14" t="s">
        <v>250</v>
      </c>
      <c r="C353" s="14" t="s">
        <v>608</v>
      </c>
      <c r="D353" s="14" t="s">
        <v>582</v>
      </c>
      <c r="E353" s="14" t="s">
        <v>378</v>
      </c>
      <c r="F353" s="27" t="s">
        <v>462</v>
      </c>
      <c r="G353" s="14" t="s">
        <v>583</v>
      </c>
      <c r="H353" s="16">
        <v>42605</v>
      </c>
    </row>
    <row r="354" spans="1:8" ht="15.75" thickBot="1" x14ac:dyDescent="0.3">
      <c r="A354" s="14">
        <v>838</v>
      </c>
      <c r="B354" s="14" t="s">
        <v>347</v>
      </c>
      <c r="C354" s="14"/>
      <c r="D354" s="14" t="s">
        <v>624</v>
      </c>
      <c r="E354" s="14" t="s">
        <v>378</v>
      </c>
      <c r="F354" s="15" t="s">
        <v>379</v>
      </c>
      <c r="G354" s="14" t="s">
        <v>583</v>
      </c>
      <c r="H354" s="16">
        <v>42892</v>
      </c>
    </row>
    <row r="355" spans="1:8" ht="15.75" thickBot="1" x14ac:dyDescent="0.3">
      <c r="A355" s="14">
        <v>839</v>
      </c>
      <c r="B355" s="14" t="s">
        <v>251</v>
      </c>
      <c r="C355" s="14" t="s">
        <v>621</v>
      </c>
      <c r="D355" s="14" t="s">
        <v>625</v>
      </c>
      <c r="E355" s="14" t="s">
        <v>378</v>
      </c>
      <c r="F355" s="15" t="s">
        <v>379</v>
      </c>
      <c r="G355" s="14" t="s">
        <v>375</v>
      </c>
      <c r="H355" s="16">
        <v>42892</v>
      </c>
    </row>
    <row r="356" spans="1:8" ht="15.75" thickBot="1" x14ac:dyDescent="0.3">
      <c r="A356" s="14">
        <v>840</v>
      </c>
      <c r="B356" s="14" t="s">
        <v>626</v>
      </c>
      <c r="C356" s="14"/>
      <c r="D356" s="14" t="s">
        <v>627</v>
      </c>
      <c r="E356" s="14" t="s">
        <v>378</v>
      </c>
      <c r="F356" s="15" t="s">
        <v>379</v>
      </c>
      <c r="G356" s="14" t="s">
        <v>375</v>
      </c>
      <c r="H356" s="16">
        <v>42915</v>
      </c>
    </row>
    <row r="357" spans="1:8" ht="15.75" thickBot="1" x14ac:dyDescent="0.3">
      <c r="A357" s="14">
        <v>841</v>
      </c>
      <c r="B357" s="14" t="s">
        <v>252</v>
      </c>
      <c r="C357" s="14" t="s">
        <v>628</v>
      </c>
      <c r="D357" s="14" t="s">
        <v>701</v>
      </c>
      <c r="E357" s="14" t="s">
        <v>378</v>
      </c>
      <c r="F357" s="15" t="s">
        <v>379</v>
      </c>
      <c r="G357" s="14" t="s">
        <v>375</v>
      </c>
      <c r="H357" s="16">
        <v>43006</v>
      </c>
    </row>
    <row r="358" spans="1:8" ht="15.75" thickBot="1" x14ac:dyDescent="0.3">
      <c r="A358" s="14">
        <v>842</v>
      </c>
      <c r="B358" s="14" t="s">
        <v>629</v>
      </c>
      <c r="C358" s="14"/>
      <c r="D358" s="14" t="s">
        <v>348</v>
      </c>
      <c r="E358" s="14" t="s">
        <v>378</v>
      </c>
      <c r="F358" s="15" t="s">
        <v>379</v>
      </c>
      <c r="G358" s="14" t="s">
        <v>375</v>
      </c>
      <c r="H358" s="16">
        <v>42788</v>
      </c>
    </row>
    <row r="359" spans="1:8" ht="15.75" thickBot="1" x14ac:dyDescent="0.3">
      <c r="A359" s="14">
        <v>851</v>
      </c>
      <c r="B359" s="14" t="s">
        <v>349</v>
      </c>
      <c r="C359" s="14" t="s">
        <v>630</v>
      </c>
      <c r="D359" s="14" t="s">
        <v>380</v>
      </c>
      <c r="E359" s="14" t="s">
        <v>378</v>
      </c>
      <c r="F359" s="20" t="s">
        <v>381</v>
      </c>
      <c r="G359" s="14" t="s">
        <v>375</v>
      </c>
      <c r="H359" s="16">
        <v>39121</v>
      </c>
    </row>
    <row r="360" spans="1:8" ht="15.75" thickBot="1" x14ac:dyDescent="0.3">
      <c r="A360" s="14">
        <v>852</v>
      </c>
      <c r="B360" s="14" t="s">
        <v>350</v>
      </c>
      <c r="C360" s="14" t="s">
        <v>631</v>
      </c>
      <c r="D360" s="14" t="s">
        <v>380</v>
      </c>
      <c r="E360" s="14" t="s">
        <v>378</v>
      </c>
      <c r="F360" s="20" t="s">
        <v>381</v>
      </c>
      <c r="G360" s="14" t="s">
        <v>375</v>
      </c>
      <c r="H360" s="16">
        <v>39121</v>
      </c>
    </row>
    <row r="361" spans="1:8" ht="15.75" thickBot="1" x14ac:dyDescent="0.3">
      <c r="A361" s="14">
        <v>853</v>
      </c>
      <c r="B361" s="14" t="s">
        <v>351</v>
      </c>
      <c r="C361" s="14" t="s">
        <v>630</v>
      </c>
      <c r="D361" s="14" t="s">
        <v>702</v>
      </c>
      <c r="E361" s="14" t="s">
        <v>378</v>
      </c>
      <c r="F361" s="20" t="s">
        <v>381</v>
      </c>
      <c r="G361" s="14" t="s">
        <v>375</v>
      </c>
      <c r="H361" s="16">
        <v>39121</v>
      </c>
    </row>
    <row r="362" spans="1:8" ht="15.75" thickBot="1" x14ac:dyDescent="0.3">
      <c r="A362" s="14">
        <v>854</v>
      </c>
      <c r="B362" s="14" t="s">
        <v>352</v>
      </c>
      <c r="C362" s="14" t="s">
        <v>632</v>
      </c>
      <c r="D362" s="14" t="s">
        <v>384</v>
      </c>
      <c r="E362" s="14" t="s">
        <v>378</v>
      </c>
      <c r="F362" s="20" t="s">
        <v>381</v>
      </c>
      <c r="G362" s="14" t="s">
        <v>375</v>
      </c>
      <c r="H362" s="16">
        <v>39121</v>
      </c>
    </row>
    <row r="363" spans="1:8" ht="15.75" thickBot="1" x14ac:dyDescent="0.3">
      <c r="A363" s="14">
        <v>855</v>
      </c>
      <c r="B363" s="14" t="s">
        <v>353</v>
      </c>
      <c r="C363" s="14" t="s">
        <v>632</v>
      </c>
      <c r="D363" s="14" t="s">
        <v>386</v>
      </c>
      <c r="E363" s="14" t="s">
        <v>378</v>
      </c>
      <c r="F363" s="20" t="s">
        <v>381</v>
      </c>
      <c r="G363" s="14" t="s">
        <v>375</v>
      </c>
      <c r="H363" s="16">
        <v>39121</v>
      </c>
    </row>
    <row r="364" spans="1:8" ht="15.75" thickBot="1" x14ac:dyDescent="0.3">
      <c r="A364" s="14">
        <v>856</v>
      </c>
      <c r="B364" s="14" t="s">
        <v>354</v>
      </c>
      <c r="C364" s="14" t="s">
        <v>633</v>
      </c>
      <c r="D364" s="14" t="s">
        <v>435</v>
      </c>
      <c r="E364" s="14" t="s">
        <v>436</v>
      </c>
      <c r="F364" s="20" t="s">
        <v>381</v>
      </c>
      <c r="G364" s="14" t="s">
        <v>375</v>
      </c>
      <c r="H364" s="16">
        <v>39121</v>
      </c>
    </row>
    <row r="365" spans="1:8" ht="15.75" thickBot="1" x14ac:dyDescent="0.3">
      <c r="A365" s="14">
        <v>858</v>
      </c>
      <c r="B365" s="14" t="s">
        <v>12</v>
      </c>
      <c r="C365" s="14" t="s">
        <v>634</v>
      </c>
      <c r="D365" s="14" t="s">
        <v>380</v>
      </c>
      <c r="E365" s="14" t="s">
        <v>378</v>
      </c>
      <c r="F365" s="21" t="s">
        <v>387</v>
      </c>
      <c r="G365" s="14" t="s">
        <v>375</v>
      </c>
      <c r="H365" s="16">
        <v>39121</v>
      </c>
    </row>
    <row r="366" spans="1:8" ht="15.75" thickBot="1" x14ac:dyDescent="0.3">
      <c r="A366" s="14">
        <v>861</v>
      </c>
      <c r="B366" s="14" t="s">
        <v>635</v>
      </c>
      <c r="C366" s="14"/>
      <c r="D366" s="14" t="s">
        <v>380</v>
      </c>
      <c r="E366" s="14" t="s">
        <v>378</v>
      </c>
      <c r="F366" s="21" t="s">
        <v>387</v>
      </c>
      <c r="G366" s="14" t="s">
        <v>375</v>
      </c>
      <c r="H366" s="16">
        <v>39121</v>
      </c>
    </row>
    <row r="367" spans="1:8" ht="15.75" thickBot="1" x14ac:dyDescent="0.3">
      <c r="A367" s="14">
        <v>862</v>
      </c>
      <c r="B367" s="14" t="s">
        <v>253</v>
      </c>
      <c r="C367" s="14"/>
      <c r="D367" s="14" t="s">
        <v>380</v>
      </c>
      <c r="E367" s="14" t="s">
        <v>378</v>
      </c>
      <c r="F367" s="21" t="s">
        <v>387</v>
      </c>
      <c r="G367" s="14" t="s">
        <v>375</v>
      </c>
      <c r="H367" s="16">
        <v>39121</v>
      </c>
    </row>
    <row r="368" spans="1:8" ht="15.75" thickBot="1" x14ac:dyDescent="0.3">
      <c r="A368" s="14">
        <v>863</v>
      </c>
      <c r="B368" s="14" t="s">
        <v>636</v>
      </c>
      <c r="C368" s="14"/>
      <c r="D368" s="14" t="s">
        <v>380</v>
      </c>
      <c r="E368" s="14" t="s">
        <v>378</v>
      </c>
      <c r="F368" s="21" t="s">
        <v>387</v>
      </c>
      <c r="G368" s="14" t="s">
        <v>375</v>
      </c>
      <c r="H368" s="16">
        <v>39121</v>
      </c>
    </row>
    <row r="369" spans="1:8" ht="15.75" thickBot="1" x14ac:dyDescent="0.3">
      <c r="A369" s="14">
        <v>864</v>
      </c>
      <c r="B369" s="14" t="s">
        <v>254</v>
      </c>
      <c r="C369" s="14"/>
      <c r="D369" s="14" t="s">
        <v>380</v>
      </c>
      <c r="E369" s="14" t="s">
        <v>378</v>
      </c>
      <c r="F369" s="21" t="s">
        <v>387</v>
      </c>
      <c r="G369" s="14" t="s">
        <v>375</v>
      </c>
      <c r="H369" s="16">
        <v>39121</v>
      </c>
    </row>
    <row r="370" spans="1:8" ht="15.75" thickBot="1" x14ac:dyDescent="0.3">
      <c r="A370" s="14">
        <v>865</v>
      </c>
      <c r="B370" s="14" t="s">
        <v>255</v>
      </c>
      <c r="C370" s="14"/>
      <c r="D370" s="14" t="s">
        <v>380</v>
      </c>
      <c r="E370" s="14" t="s">
        <v>378</v>
      </c>
      <c r="F370" s="21" t="s">
        <v>387</v>
      </c>
      <c r="G370" s="14" t="s">
        <v>375</v>
      </c>
      <c r="H370" s="16">
        <v>39121</v>
      </c>
    </row>
    <row r="371" spans="1:8" ht="15.75" thickBot="1" x14ac:dyDescent="0.3">
      <c r="A371" s="14">
        <v>870</v>
      </c>
      <c r="B371" s="14" t="s">
        <v>13</v>
      </c>
      <c r="C371" s="14" t="s">
        <v>634</v>
      </c>
      <c r="D371" s="14" t="s">
        <v>702</v>
      </c>
      <c r="E371" s="14" t="s">
        <v>378</v>
      </c>
      <c r="F371" s="21" t="s">
        <v>387</v>
      </c>
      <c r="G371" s="14" t="s">
        <v>375</v>
      </c>
      <c r="H371" s="16">
        <v>39121</v>
      </c>
    </row>
    <row r="372" spans="1:8" ht="15.75" thickBot="1" x14ac:dyDescent="0.3">
      <c r="A372" s="14">
        <v>871</v>
      </c>
      <c r="B372" s="14" t="s">
        <v>13</v>
      </c>
      <c r="C372" s="14" t="s">
        <v>634</v>
      </c>
      <c r="D372" s="14" t="s">
        <v>702</v>
      </c>
      <c r="E372" s="14" t="s">
        <v>378</v>
      </c>
      <c r="F372" s="21" t="s">
        <v>387</v>
      </c>
      <c r="G372" s="14" t="s">
        <v>375</v>
      </c>
      <c r="H372" s="16">
        <v>39121</v>
      </c>
    </row>
    <row r="373" spans="1:8" ht="15.75" thickBot="1" x14ac:dyDescent="0.3">
      <c r="A373" s="14">
        <v>875</v>
      </c>
      <c r="B373" s="14" t="s">
        <v>282</v>
      </c>
      <c r="C373" s="14" t="s">
        <v>637</v>
      </c>
      <c r="D373" s="14" t="s">
        <v>638</v>
      </c>
      <c r="E373" s="14" t="s">
        <v>378</v>
      </c>
      <c r="F373" s="21" t="s">
        <v>387</v>
      </c>
      <c r="G373" s="14" t="s">
        <v>375</v>
      </c>
      <c r="H373" s="16">
        <v>39121</v>
      </c>
    </row>
    <row r="374" spans="1:8" ht="15.75" thickBot="1" x14ac:dyDescent="0.3">
      <c r="A374" s="14">
        <v>876</v>
      </c>
      <c r="B374" s="14" t="s">
        <v>639</v>
      </c>
      <c r="C374" s="14" t="s">
        <v>637</v>
      </c>
      <c r="D374" s="14" t="s">
        <v>638</v>
      </c>
      <c r="E374" s="14" t="s">
        <v>378</v>
      </c>
      <c r="F374" s="21" t="s">
        <v>387</v>
      </c>
      <c r="G374" s="14" t="s">
        <v>375</v>
      </c>
      <c r="H374" s="16">
        <v>39121</v>
      </c>
    </row>
    <row r="375" spans="1:8" ht="15.75" thickBot="1" x14ac:dyDescent="0.3">
      <c r="A375" s="14">
        <v>877</v>
      </c>
      <c r="B375" s="14" t="s">
        <v>283</v>
      </c>
      <c r="C375" s="14" t="s">
        <v>637</v>
      </c>
      <c r="D375" s="14" t="s">
        <v>640</v>
      </c>
      <c r="E375" s="14" t="s">
        <v>378</v>
      </c>
      <c r="F375" s="21" t="s">
        <v>387</v>
      </c>
      <c r="G375" s="14" t="s">
        <v>375</v>
      </c>
      <c r="H375" s="16">
        <v>39121</v>
      </c>
    </row>
    <row r="376" spans="1:8" ht="15.75" thickBot="1" x14ac:dyDescent="0.3">
      <c r="A376" s="14">
        <v>901</v>
      </c>
      <c r="B376" s="14" t="s">
        <v>256</v>
      </c>
      <c r="C376" s="14" t="s">
        <v>641</v>
      </c>
      <c r="D376" s="14" t="s">
        <v>380</v>
      </c>
      <c r="E376" s="14" t="s">
        <v>378</v>
      </c>
      <c r="F376" s="20" t="s">
        <v>381</v>
      </c>
      <c r="G376" s="16">
        <v>39121</v>
      </c>
    </row>
    <row r="377" spans="1:8" ht="15.75" thickBot="1" x14ac:dyDescent="0.3">
      <c r="A377" s="14">
        <v>902</v>
      </c>
      <c r="B377" s="14" t="s">
        <v>257</v>
      </c>
      <c r="C377" s="14" t="s">
        <v>641</v>
      </c>
      <c r="D377" s="14" t="s">
        <v>380</v>
      </c>
      <c r="E377" s="14" t="s">
        <v>378</v>
      </c>
      <c r="F377" s="20" t="s">
        <v>381</v>
      </c>
      <c r="G377" s="16">
        <v>39121</v>
      </c>
    </row>
    <row r="378" spans="1:8" ht="15.75" thickBot="1" x14ac:dyDescent="0.3">
      <c r="A378" s="14">
        <v>903</v>
      </c>
      <c r="B378" s="14" t="s">
        <v>258</v>
      </c>
      <c r="C378" s="14" t="s">
        <v>641</v>
      </c>
      <c r="D378" s="14" t="s">
        <v>380</v>
      </c>
      <c r="E378" s="14" t="s">
        <v>378</v>
      </c>
      <c r="F378" s="20" t="s">
        <v>381</v>
      </c>
      <c r="G378" s="16">
        <v>39121</v>
      </c>
    </row>
    <row r="379" spans="1:8" ht="15.75" thickBot="1" x14ac:dyDescent="0.3">
      <c r="A379" s="14">
        <v>904</v>
      </c>
      <c r="B379" s="14" t="s">
        <v>355</v>
      </c>
      <c r="C379" s="14" t="s">
        <v>641</v>
      </c>
      <c r="D379" s="14" t="s">
        <v>380</v>
      </c>
      <c r="E379" s="14" t="s">
        <v>378</v>
      </c>
      <c r="F379" s="20" t="s">
        <v>381</v>
      </c>
      <c r="G379" s="16">
        <v>39121</v>
      </c>
    </row>
    <row r="380" spans="1:8" ht="15.75" thickBot="1" x14ac:dyDescent="0.3">
      <c r="A380" s="14">
        <v>905</v>
      </c>
      <c r="B380" s="14" t="s">
        <v>259</v>
      </c>
      <c r="C380" s="14" t="s">
        <v>641</v>
      </c>
      <c r="D380" s="14" t="s">
        <v>380</v>
      </c>
      <c r="E380" s="14" t="s">
        <v>378</v>
      </c>
      <c r="F380" s="20" t="s">
        <v>381</v>
      </c>
      <c r="G380" s="16">
        <v>39121</v>
      </c>
    </row>
    <row r="381" spans="1:8" ht="15.75" thickBot="1" x14ac:dyDescent="0.3">
      <c r="A381" s="14">
        <v>906</v>
      </c>
      <c r="B381" s="14" t="s">
        <v>260</v>
      </c>
      <c r="C381" s="14"/>
      <c r="D381" s="14" t="s">
        <v>380</v>
      </c>
      <c r="E381" s="14" t="s">
        <v>378</v>
      </c>
      <c r="F381" s="20" t="s">
        <v>381</v>
      </c>
      <c r="G381" s="16">
        <v>39121</v>
      </c>
    </row>
    <row r="382" spans="1:8" ht="15.75" thickBot="1" x14ac:dyDescent="0.3">
      <c r="A382" s="14">
        <v>907</v>
      </c>
      <c r="B382" s="14" t="s">
        <v>642</v>
      </c>
      <c r="C382" s="14" t="s">
        <v>641</v>
      </c>
      <c r="D382" s="14" t="s">
        <v>380</v>
      </c>
      <c r="E382" s="14" t="s">
        <v>378</v>
      </c>
      <c r="F382" s="20" t="s">
        <v>381</v>
      </c>
      <c r="G382" s="16">
        <v>39121</v>
      </c>
    </row>
    <row r="383" spans="1:8" ht="15.75" thickBot="1" x14ac:dyDescent="0.3">
      <c r="A383" s="14">
        <v>908</v>
      </c>
      <c r="B383" s="14" t="s">
        <v>643</v>
      </c>
      <c r="C383" s="14" t="s">
        <v>641</v>
      </c>
      <c r="D383" s="14" t="s">
        <v>380</v>
      </c>
      <c r="E383" s="14" t="s">
        <v>378</v>
      </c>
      <c r="F383" s="20" t="s">
        <v>381</v>
      </c>
      <c r="G383" s="16">
        <v>39121</v>
      </c>
    </row>
    <row r="384" spans="1:8" ht="15.75" thickBot="1" x14ac:dyDescent="0.3">
      <c r="A384" s="14">
        <v>909</v>
      </c>
      <c r="B384" s="14" t="s">
        <v>261</v>
      </c>
      <c r="C384" s="14" t="s">
        <v>641</v>
      </c>
      <c r="D384" s="14" t="s">
        <v>380</v>
      </c>
      <c r="E384" s="14" t="s">
        <v>378</v>
      </c>
      <c r="F384" s="20" t="s">
        <v>381</v>
      </c>
      <c r="G384" s="16">
        <v>39121</v>
      </c>
    </row>
    <row r="385" spans="1:7" ht="15.75" thickBot="1" x14ac:dyDescent="0.3">
      <c r="A385" s="14">
        <v>910</v>
      </c>
      <c r="B385" s="14" t="s">
        <v>262</v>
      </c>
      <c r="C385" s="14" t="s">
        <v>641</v>
      </c>
      <c r="D385" s="14" t="s">
        <v>380</v>
      </c>
      <c r="E385" s="14" t="s">
        <v>378</v>
      </c>
      <c r="F385" s="20" t="s">
        <v>381</v>
      </c>
      <c r="G385" s="16">
        <v>39121</v>
      </c>
    </row>
    <row r="386" spans="1:7" ht="15.75" thickBot="1" x14ac:dyDescent="0.3">
      <c r="A386" s="14">
        <v>911</v>
      </c>
      <c r="B386" s="14" t="s">
        <v>356</v>
      </c>
      <c r="C386" s="14" t="s">
        <v>641</v>
      </c>
      <c r="D386" s="14" t="s">
        <v>380</v>
      </c>
      <c r="E386" s="14" t="s">
        <v>378</v>
      </c>
      <c r="F386" s="20" t="s">
        <v>381</v>
      </c>
      <c r="G386" s="16">
        <v>39121</v>
      </c>
    </row>
    <row r="387" spans="1:7" ht="15.75" thickBot="1" x14ac:dyDescent="0.3">
      <c r="A387" s="14">
        <v>912</v>
      </c>
      <c r="B387" s="14" t="s">
        <v>263</v>
      </c>
      <c r="C387" s="14" t="s">
        <v>641</v>
      </c>
      <c r="D387" s="14" t="s">
        <v>380</v>
      </c>
      <c r="E387" s="14" t="s">
        <v>378</v>
      </c>
      <c r="F387" s="20" t="s">
        <v>381</v>
      </c>
      <c r="G387" s="16">
        <v>39121</v>
      </c>
    </row>
    <row r="388" spans="1:7" ht="15.75" thickBot="1" x14ac:dyDescent="0.3">
      <c r="A388" s="14">
        <v>915</v>
      </c>
      <c r="B388" s="14" t="s">
        <v>264</v>
      </c>
      <c r="C388" s="14"/>
      <c r="D388" s="14" t="s">
        <v>644</v>
      </c>
      <c r="E388" s="14" t="s">
        <v>378</v>
      </c>
      <c r="F388" s="20" t="s">
        <v>381</v>
      </c>
      <c r="G388" s="16">
        <v>39121</v>
      </c>
    </row>
    <row r="389" spans="1:7" ht="15.75" thickBot="1" x14ac:dyDescent="0.3">
      <c r="A389" s="14">
        <v>916</v>
      </c>
      <c r="B389" s="14" t="s">
        <v>265</v>
      </c>
      <c r="C389" s="14"/>
      <c r="D389" s="14" t="s">
        <v>645</v>
      </c>
      <c r="E389" s="14" t="s">
        <v>378</v>
      </c>
      <c r="F389" s="20" t="s">
        <v>381</v>
      </c>
      <c r="G389" s="16">
        <v>39121</v>
      </c>
    </row>
    <row r="390" spans="1:7" ht="15.75" thickBot="1" x14ac:dyDescent="0.3">
      <c r="A390" s="14">
        <v>917</v>
      </c>
      <c r="B390" s="14" t="s">
        <v>646</v>
      </c>
      <c r="C390" s="14"/>
      <c r="D390" s="14" t="s">
        <v>638</v>
      </c>
      <c r="E390" s="14" t="s">
        <v>378</v>
      </c>
      <c r="F390" s="20" t="s">
        <v>381</v>
      </c>
      <c r="G390" s="16">
        <v>39121</v>
      </c>
    </row>
    <row r="391" spans="1:7" ht="15.75" thickBot="1" x14ac:dyDescent="0.3">
      <c r="A391" s="14">
        <v>918</v>
      </c>
      <c r="B391" s="14" t="s">
        <v>647</v>
      </c>
      <c r="C391" s="14"/>
      <c r="D391" s="14" t="s">
        <v>645</v>
      </c>
      <c r="E391" s="14" t="s">
        <v>378</v>
      </c>
      <c r="F391" s="20" t="s">
        <v>381</v>
      </c>
      <c r="G391" s="16">
        <v>39121</v>
      </c>
    </row>
    <row r="392" spans="1:7" ht="15.75" thickBot="1" x14ac:dyDescent="0.3">
      <c r="A392" s="14">
        <v>919</v>
      </c>
      <c r="B392" s="14" t="s">
        <v>357</v>
      </c>
      <c r="C392" s="14"/>
      <c r="D392" s="14" t="s">
        <v>645</v>
      </c>
      <c r="E392" s="14" t="s">
        <v>378</v>
      </c>
      <c r="F392" s="20" t="s">
        <v>381</v>
      </c>
      <c r="G392" s="16">
        <v>39310</v>
      </c>
    </row>
    <row r="393" spans="1:7" ht="15.75" thickBot="1" x14ac:dyDescent="0.3">
      <c r="A393" s="14">
        <v>920</v>
      </c>
      <c r="B393" s="14" t="s">
        <v>648</v>
      </c>
      <c r="C393" s="14"/>
      <c r="D393" s="14" t="s">
        <v>648</v>
      </c>
      <c r="E393" s="14" t="s">
        <v>378</v>
      </c>
      <c r="F393" s="20" t="s">
        <v>381</v>
      </c>
      <c r="G393" s="16">
        <v>39121</v>
      </c>
    </row>
    <row r="394" spans="1:7" ht="15.75" thickBot="1" x14ac:dyDescent="0.3">
      <c r="A394" s="14">
        <v>921</v>
      </c>
      <c r="B394" s="14" t="s">
        <v>266</v>
      </c>
      <c r="C394" s="14"/>
      <c r="D394" s="14" t="s">
        <v>645</v>
      </c>
      <c r="E394" s="14" t="s">
        <v>378</v>
      </c>
      <c r="F394" s="20" t="s">
        <v>381</v>
      </c>
      <c r="G394" s="16">
        <v>42808</v>
      </c>
    </row>
    <row r="395" spans="1:7" ht="15.75" thickBot="1" x14ac:dyDescent="0.3">
      <c r="A395" s="14">
        <v>922</v>
      </c>
      <c r="B395" s="14" t="s">
        <v>267</v>
      </c>
      <c r="C395" s="14"/>
      <c r="D395" s="14" t="s">
        <v>645</v>
      </c>
      <c r="E395" s="14" t="s">
        <v>378</v>
      </c>
      <c r="F395" s="20" t="s">
        <v>381</v>
      </c>
      <c r="G395" s="16">
        <v>39121</v>
      </c>
    </row>
    <row r="396" spans="1:7" ht="15.75" thickBot="1" x14ac:dyDescent="0.3">
      <c r="A396" s="14">
        <v>923</v>
      </c>
      <c r="B396" s="14" t="s">
        <v>29</v>
      </c>
      <c r="C396" s="14"/>
      <c r="D396" s="14" t="s">
        <v>645</v>
      </c>
      <c r="E396" s="14" t="s">
        <v>378</v>
      </c>
      <c r="F396" s="20" t="s">
        <v>381</v>
      </c>
      <c r="G396" s="16">
        <v>39121</v>
      </c>
    </row>
    <row r="397" spans="1:7" ht="15.75" thickBot="1" x14ac:dyDescent="0.3">
      <c r="A397" s="14">
        <v>924</v>
      </c>
      <c r="B397" s="14" t="s">
        <v>268</v>
      </c>
      <c r="C397" s="14"/>
      <c r="D397" s="14" t="s">
        <v>644</v>
      </c>
      <c r="E397" s="14" t="s">
        <v>378</v>
      </c>
      <c r="F397" s="20" t="s">
        <v>381</v>
      </c>
      <c r="G397" s="16">
        <v>39121</v>
      </c>
    </row>
    <row r="398" spans="1:7" ht="15.75" thickBot="1" x14ac:dyDescent="0.3">
      <c r="A398" s="14">
        <v>927</v>
      </c>
      <c r="B398" s="14" t="s">
        <v>269</v>
      </c>
      <c r="C398" s="14"/>
      <c r="D398" s="14" t="s">
        <v>649</v>
      </c>
      <c r="E398" s="14" t="s">
        <v>378</v>
      </c>
      <c r="F398" s="20" t="s">
        <v>381</v>
      </c>
      <c r="G398" s="16">
        <v>39121</v>
      </c>
    </row>
    <row r="399" spans="1:7" ht="15.75" thickBot="1" x14ac:dyDescent="0.3">
      <c r="A399" s="14">
        <v>928</v>
      </c>
      <c r="B399" s="14" t="s">
        <v>147</v>
      </c>
      <c r="C399" s="14"/>
      <c r="D399" s="14" t="s">
        <v>644</v>
      </c>
      <c r="E399" s="14" t="s">
        <v>378</v>
      </c>
      <c r="F399" s="20" t="s">
        <v>381</v>
      </c>
      <c r="G399" s="16">
        <v>39121</v>
      </c>
    </row>
    <row r="400" spans="1:7" ht="15.75" thickBot="1" x14ac:dyDescent="0.3">
      <c r="A400" s="14">
        <v>930</v>
      </c>
      <c r="B400" s="14" t="s">
        <v>270</v>
      </c>
      <c r="C400" s="14" t="s">
        <v>641</v>
      </c>
      <c r="D400" s="14" t="s">
        <v>380</v>
      </c>
      <c r="E400" s="14" t="s">
        <v>378</v>
      </c>
      <c r="F400" s="20" t="s">
        <v>381</v>
      </c>
      <c r="G400" s="16">
        <v>39121</v>
      </c>
    </row>
    <row r="401" spans="1:8" ht="15.75" thickBot="1" x14ac:dyDescent="0.3">
      <c r="A401" s="14">
        <v>931</v>
      </c>
      <c r="B401" s="14" t="s">
        <v>271</v>
      </c>
      <c r="C401" s="14" t="s">
        <v>641</v>
      </c>
      <c r="D401" s="14" t="s">
        <v>380</v>
      </c>
      <c r="E401" s="14" t="s">
        <v>378</v>
      </c>
      <c r="F401" s="20" t="s">
        <v>381</v>
      </c>
      <c r="G401" s="16">
        <v>39121</v>
      </c>
    </row>
    <row r="402" spans="1:8" ht="15.75" thickBot="1" x14ac:dyDescent="0.3">
      <c r="A402" s="14">
        <v>932</v>
      </c>
      <c r="B402" s="14" t="s">
        <v>272</v>
      </c>
      <c r="C402" s="14" t="s">
        <v>650</v>
      </c>
      <c r="D402" s="14" t="s">
        <v>380</v>
      </c>
      <c r="E402" s="14" t="s">
        <v>378</v>
      </c>
      <c r="F402" s="20" t="s">
        <v>381</v>
      </c>
      <c r="G402" s="16">
        <v>39121</v>
      </c>
    </row>
    <row r="403" spans="1:8" ht="15.75" thickBot="1" x14ac:dyDescent="0.3">
      <c r="A403" s="14">
        <v>933</v>
      </c>
      <c r="B403" s="14" t="s">
        <v>358</v>
      </c>
      <c r="C403" s="14" t="s">
        <v>641</v>
      </c>
      <c r="D403" s="14" t="s">
        <v>380</v>
      </c>
      <c r="E403" s="14" t="s">
        <v>378</v>
      </c>
      <c r="F403" s="20" t="s">
        <v>381</v>
      </c>
      <c r="G403" s="16">
        <v>42292</v>
      </c>
    </row>
    <row r="404" spans="1:8" ht="15.75" thickBot="1" x14ac:dyDescent="0.3">
      <c r="A404" s="14">
        <v>934</v>
      </c>
      <c r="B404" s="14" t="s">
        <v>651</v>
      </c>
      <c r="C404" s="14" t="s">
        <v>652</v>
      </c>
      <c r="D404" s="14" t="s">
        <v>380</v>
      </c>
      <c r="E404" s="14" t="s">
        <v>378</v>
      </c>
      <c r="F404" s="20" t="s">
        <v>381</v>
      </c>
      <c r="G404" s="16">
        <v>39121</v>
      </c>
    </row>
    <row r="405" spans="1:8" ht="15.75" thickBot="1" x14ac:dyDescent="0.3">
      <c r="A405" s="14">
        <v>936</v>
      </c>
      <c r="B405" s="14" t="s">
        <v>273</v>
      </c>
      <c r="C405" s="14" t="s">
        <v>653</v>
      </c>
      <c r="D405" s="14" t="s">
        <v>380</v>
      </c>
      <c r="E405" s="14" t="s">
        <v>378</v>
      </c>
      <c r="F405" s="20" t="s">
        <v>381</v>
      </c>
      <c r="G405" s="16">
        <v>39121</v>
      </c>
    </row>
    <row r="406" spans="1:8" ht="15.75" thickBot="1" x14ac:dyDescent="0.3">
      <c r="A406" s="14">
        <v>937</v>
      </c>
      <c r="B406" s="14" t="s">
        <v>359</v>
      </c>
      <c r="C406" s="14" t="s">
        <v>641</v>
      </c>
      <c r="D406" s="14" t="s">
        <v>380</v>
      </c>
      <c r="E406" s="14" t="s">
        <v>378</v>
      </c>
      <c r="F406" s="20" t="s">
        <v>381</v>
      </c>
      <c r="G406" s="16">
        <v>39121</v>
      </c>
    </row>
    <row r="407" spans="1:8" ht="15.75" thickBot="1" x14ac:dyDescent="0.3">
      <c r="A407" s="14">
        <v>951</v>
      </c>
      <c r="B407" s="14" t="s">
        <v>360</v>
      </c>
      <c r="C407" s="14"/>
      <c r="D407" s="14" t="s">
        <v>644</v>
      </c>
      <c r="E407" s="14" t="s">
        <v>378</v>
      </c>
      <c r="F407" s="20" t="s">
        <v>381</v>
      </c>
      <c r="G407" s="16">
        <v>40151</v>
      </c>
    </row>
    <row r="408" spans="1:8" ht="15.75" thickBot="1" x14ac:dyDescent="0.3">
      <c r="A408" s="14">
        <v>952</v>
      </c>
      <c r="B408" s="14" t="s">
        <v>274</v>
      </c>
      <c r="C408" s="14"/>
      <c r="D408" s="14" t="s">
        <v>644</v>
      </c>
      <c r="E408" s="14" t="s">
        <v>378</v>
      </c>
      <c r="F408" s="20" t="s">
        <v>381</v>
      </c>
      <c r="G408" s="16">
        <v>39121</v>
      </c>
    </row>
    <row r="409" spans="1:8" ht="15.75" thickBot="1" x14ac:dyDescent="0.3">
      <c r="A409" s="14">
        <v>958</v>
      </c>
      <c r="B409" s="14" t="s">
        <v>654</v>
      </c>
      <c r="C409" s="14"/>
      <c r="D409" s="14" t="s">
        <v>645</v>
      </c>
      <c r="E409" s="14" t="s">
        <v>378</v>
      </c>
      <c r="F409" s="20" t="s">
        <v>381</v>
      </c>
      <c r="G409" s="16">
        <v>39121</v>
      </c>
    </row>
    <row r="410" spans="1:8" ht="15.75" thickBot="1" x14ac:dyDescent="0.3">
      <c r="A410" s="14">
        <v>959</v>
      </c>
      <c r="B410" s="14" t="s">
        <v>655</v>
      </c>
      <c r="C410" s="14"/>
      <c r="D410" s="14" t="s">
        <v>645</v>
      </c>
      <c r="E410" s="14" t="s">
        <v>378</v>
      </c>
      <c r="F410" s="20" t="s">
        <v>381</v>
      </c>
      <c r="G410" s="16">
        <v>39121</v>
      </c>
    </row>
    <row r="411" spans="1:8" ht="15.75" thickBot="1" x14ac:dyDescent="0.3">
      <c r="A411" s="14">
        <v>960</v>
      </c>
      <c r="B411" s="14" t="s">
        <v>276</v>
      </c>
      <c r="C411" s="14"/>
      <c r="D411" s="14" t="s">
        <v>645</v>
      </c>
      <c r="E411" s="14" t="s">
        <v>378</v>
      </c>
      <c r="F411" s="20" t="s">
        <v>381</v>
      </c>
      <c r="G411" s="16">
        <v>39121</v>
      </c>
    </row>
    <row r="412" spans="1:8" ht="15.75" thickBot="1" x14ac:dyDescent="0.3">
      <c r="A412" s="14">
        <v>963</v>
      </c>
      <c r="B412" s="14" t="s">
        <v>146</v>
      </c>
      <c r="C412" s="14"/>
      <c r="D412" s="14" t="s">
        <v>644</v>
      </c>
      <c r="E412" s="14" t="s">
        <v>378</v>
      </c>
      <c r="F412" s="20" t="s">
        <v>381</v>
      </c>
      <c r="G412" s="16">
        <v>39121</v>
      </c>
    </row>
    <row r="413" spans="1:8" ht="15.75" thickBot="1" x14ac:dyDescent="0.3">
      <c r="A413" s="14">
        <v>969</v>
      </c>
      <c r="B413" s="14" t="s">
        <v>656</v>
      </c>
      <c r="C413" s="14"/>
      <c r="D413" s="14" t="s">
        <v>672</v>
      </c>
      <c r="E413" s="14" t="s">
        <v>378</v>
      </c>
      <c r="F413" s="21" t="s">
        <v>387</v>
      </c>
      <c r="G413" s="14" t="s">
        <v>375</v>
      </c>
      <c r="H413" s="16">
        <v>39121</v>
      </c>
    </row>
    <row r="414" spans="1:8" ht="26.25" thickBot="1" x14ac:dyDescent="0.3">
      <c r="A414" s="14">
        <v>970</v>
      </c>
      <c r="B414" s="14" t="s">
        <v>657</v>
      </c>
      <c r="C414" s="14"/>
      <c r="D414" s="14" t="s">
        <v>658</v>
      </c>
      <c r="E414" s="14" t="s">
        <v>378</v>
      </c>
      <c r="F414" s="39" t="s">
        <v>374</v>
      </c>
      <c r="G414" s="14" t="s">
        <v>375</v>
      </c>
      <c r="H414" s="16">
        <v>39121</v>
      </c>
    </row>
    <row r="415" spans="1:8" ht="26.25" thickBot="1" x14ac:dyDescent="0.3">
      <c r="A415" s="14">
        <v>971</v>
      </c>
      <c r="B415" s="14" t="s">
        <v>703</v>
      </c>
      <c r="C415" s="14"/>
      <c r="D415" s="14" t="s">
        <v>660</v>
      </c>
      <c r="E415" s="14" t="s">
        <v>378</v>
      </c>
      <c r="F415" s="39" t="s">
        <v>374</v>
      </c>
      <c r="G415" s="14" t="s">
        <v>375</v>
      </c>
      <c r="H415" s="16">
        <v>43418</v>
      </c>
    </row>
    <row r="416" spans="1:8" ht="26.25" thickBot="1" x14ac:dyDescent="0.3">
      <c r="A416" s="14">
        <v>972</v>
      </c>
      <c r="B416" s="14" t="s">
        <v>659</v>
      </c>
      <c r="C416" s="14"/>
      <c r="D416" s="14" t="s">
        <v>660</v>
      </c>
      <c r="E416" s="14" t="s">
        <v>378</v>
      </c>
      <c r="F416" s="39" t="s">
        <v>374</v>
      </c>
      <c r="G416" s="14" t="s">
        <v>375</v>
      </c>
      <c r="H416" s="16">
        <v>39121</v>
      </c>
    </row>
    <row r="417" spans="1:8" ht="26.25" thickBot="1" x14ac:dyDescent="0.3">
      <c r="A417" s="14">
        <v>973</v>
      </c>
      <c r="B417" s="14" t="s">
        <v>661</v>
      </c>
      <c r="C417" s="14"/>
      <c r="D417" s="14" t="s">
        <v>660</v>
      </c>
      <c r="E417" s="14" t="s">
        <v>378</v>
      </c>
      <c r="F417" s="39" t="s">
        <v>374</v>
      </c>
      <c r="G417" s="14" t="s">
        <v>375</v>
      </c>
      <c r="H417" s="16">
        <v>42675</v>
      </c>
    </row>
    <row r="418" spans="1:8" ht="26.25" thickBot="1" x14ac:dyDescent="0.3">
      <c r="A418" s="14">
        <v>974</v>
      </c>
      <c r="B418" s="14" t="s">
        <v>662</v>
      </c>
      <c r="C418" s="14"/>
      <c r="D418" s="14" t="s">
        <v>658</v>
      </c>
      <c r="E418" s="14" t="s">
        <v>378</v>
      </c>
      <c r="F418" s="39" t="s">
        <v>374</v>
      </c>
      <c r="G418" s="14" t="s">
        <v>375</v>
      </c>
      <c r="H418" s="16">
        <v>41061</v>
      </c>
    </row>
    <row r="419" spans="1:8" ht="26.25" thickBot="1" x14ac:dyDescent="0.3">
      <c r="A419" s="14">
        <v>975</v>
      </c>
      <c r="B419" s="14" t="s">
        <v>663</v>
      </c>
      <c r="C419" s="14"/>
      <c r="D419" s="14" t="s">
        <v>658</v>
      </c>
      <c r="E419" s="14" t="s">
        <v>378</v>
      </c>
      <c r="F419" s="39" t="s">
        <v>374</v>
      </c>
      <c r="G419" s="14" t="s">
        <v>375</v>
      </c>
      <c r="H419" s="16">
        <v>42989</v>
      </c>
    </row>
    <row r="420" spans="1:8" ht="26.25" thickBot="1" x14ac:dyDescent="0.3">
      <c r="A420" s="14">
        <v>976</v>
      </c>
      <c r="B420" s="14" t="s">
        <v>664</v>
      </c>
      <c r="C420" s="14"/>
      <c r="D420" s="14" t="s">
        <v>658</v>
      </c>
      <c r="E420" s="14" t="s">
        <v>378</v>
      </c>
      <c r="F420" s="39" t="s">
        <v>374</v>
      </c>
      <c r="G420" s="14" t="s">
        <v>375</v>
      </c>
      <c r="H420" s="16">
        <v>42792</v>
      </c>
    </row>
    <row r="421" spans="1:8" ht="15.75" thickBot="1" x14ac:dyDescent="0.3">
      <c r="A421" s="14">
        <v>978</v>
      </c>
      <c r="B421" s="14" t="s">
        <v>278</v>
      </c>
      <c r="C421" s="14"/>
      <c r="D421" s="14" t="s">
        <v>658</v>
      </c>
      <c r="E421" s="14" t="s">
        <v>665</v>
      </c>
      <c r="F421" s="27" t="s">
        <v>462</v>
      </c>
      <c r="G421" s="14" t="s">
        <v>375</v>
      </c>
      <c r="H421" s="16">
        <v>39121</v>
      </c>
    </row>
    <row r="422" spans="1:8" ht="15.75" thickBot="1" x14ac:dyDescent="0.3">
      <c r="A422" s="14">
        <v>979</v>
      </c>
      <c r="B422" s="14" t="s">
        <v>666</v>
      </c>
      <c r="C422" s="14"/>
      <c r="D422" s="14" t="s">
        <v>660</v>
      </c>
      <c r="E422" s="14" t="s">
        <v>378</v>
      </c>
      <c r="F422" s="27" t="s">
        <v>462</v>
      </c>
      <c r="G422" s="14" t="s">
        <v>375</v>
      </c>
      <c r="H422" s="16">
        <v>43287</v>
      </c>
    </row>
    <row r="423" spans="1:8" ht="15.75" thickBot="1" x14ac:dyDescent="0.3">
      <c r="A423" s="14">
        <v>980</v>
      </c>
      <c r="B423" s="14" t="s">
        <v>277</v>
      </c>
      <c r="C423" s="14"/>
      <c r="D423" s="14" t="s">
        <v>660</v>
      </c>
      <c r="E423" s="14" t="s">
        <v>665</v>
      </c>
      <c r="F423" s="27" t="s">
        <v>462</v>
      </c>
      <c r="G423" s="14" t="s">
        <v>375</v>
      </c>
      <c r="H423" s="16">
        <v>39121</v>
      </c>
    </row>
    <row r="424" spans="1:8" ht="15.75" thickBot="1" x14ac:dyDescent="0.3">
      <c r="A424" s="14">
        <v>981</v>
      </c>
      <c r="B424" s="14" t="s">
        <v>667</v>
      </c>
      <c r="C424" s="14"/>
      <c r="D424" s="14" t="s">
        <v>668</v>
      </c>
      <c r="E424" s="14" t="s">
        <v>378</v>
      </c>
      <c r="F424" s="27" t="s">
        <v>462</v>
      </c>
      <c r="G424" s="14" t="s">
        <v>375</v>
      </c>
      <c r="H424" s="16">
        <v>42633</v>
      </c>
    </row>
    <row r="425" spans="1:8" ht="15.75" thickBot="1" x14ac:dyDescent="0.3">
      <c r="A425" s="14">
        <v>968</v>
      </c>
      <c r="B425" s="14" t="s">
        <v>669</v>
      </c>
      <c r="C425" s="14"/>
      <c r="D425" s="14" t="s">
        <v>672</v>
      </c>
      <c r="E425" s="14" t="s">
        <v>378</v>
      </c>
      <c r="F425" s="21" t="s">
        <v>387</v>
      </c>
      <c r="G425" s="14" t="s">
        <v>375</v>
      </c>
      <c r="H425" s="16">
        <v>42178</v>
      </c>
    </row>
    <row r="426" spans="1:8" ht="15.75" thickBot="1" x14ac:dyDescent="0.3">
      <c r="A426" s="14">
        <v>985</v>
      </c>
      <c r="B426" s="14" t="s">
        <v>669</v>
      </c>
      <c r="C426" s="14"/>
      <c r="D426" s="14" t="s">
        <v>672</v>
      </c>
      <c r="E426" s="14" t="s">
        <v>378</v>
      </c>
      <c r="F426" s="21" t="s">
        <v>387</v>
      </c>
      <c r="G426" s="14" t="s">
        <v>375</v>
      </c>
      <c r="H426" s="16">
        <v>42178</v>
      </c>
    </row>
    <row r="427" spans="1:8" ht="15.75" thickBot="1" x14ac:dyDescent="0.3">
      <c r="A427" s="14">
        <v>997</v>
      </c>
      <c r="B427" s="14" t="s">
        <v>670</v>
      </c>
      <c r="C427" s="14"/>
      <c r="D427" s="14" t="s">
        <v>672</v>
      </c>
      <c r="E427" s="14" t="s">
        <v>378</v>
      </c>
      <c r="F427" s="21" t="s">
        <v>387</v>
      </c>
      <c r="G427" s="14" t="s">
        <v>375</v>
      </c>
      <c r="H427" s="16">
        <v>39121</v>
      </c>
    </row>
    <row r="428" spans="1:8" ht="15.75" thickBot="1" x14ac:dyDescent="0.3">
      <c r="A428" s="14">
        <v>998</v>
      </c>
      <c r="B428" s="14" t="s">
        <v>377</v>
      </c>
      <c r="C428" s="14"/>
      <c r="D428" s="14" t="s">
        <v>672</v>
      </c>
      <c r="E428" s="14" t="s">
        <v>378</v>
      </c>
      <c r="F428" s="21" t="s">
        <v>387</v>
      </c>
      <c r="G428" s="14" t="s">
        <v>375</v>
      </c>
      <c r="H428" s="16">
        <v>42425</v>
      </c>
    </row>
    <row r="429" spans="1:8" ht="15.75" thickBot="1" x14ac:dyDescent="0.3">
      <c r="A429" s="14">
        <v>991</v>
      </c>
      <c r="B429" s="14" t="s">
        <v>671</v>
      </c>
      <c r="C429" s="14"/>
      <c r="D429" s="14" t="s">
        <v>380</v>
      </c>
      <c r="E429" s="14" t="s">
        <v>378</v>
      </c>
      <c r="F429" s="21" t="s">
        <v>387</v>
      </c>
      <c r="G429" s="14" t="s">
        <v>375</v>
      </c>
      <c r="H429" s="16">
        <v>41431</v>
      </c>
    </row>
  </sheetData>
  <autoFilter ref="A1:I429"/>
  <sortState ref="A2:I430">
    <sortCondition ref="A2:A430"/>
  </sortState>
  <mergeCells count="8">
    <mergeCell ref="H62:H64"/>
    <mergeCell ref="I62:I64"/>
    <mergeCell ref="A62:A64"/>
    <mergeCell ref="B62:B64"/>
    <mergeCell ref="C62:C64"/>
    <mergeCell ref="D62:D64"/>
    <mergeCell ref="F62:F64"/>
    <mergeCell ref="G62:G64"/>
  </mergeCells>
  <hyperlinks>
    <hyperlink ref="B5" r:id="rId1" display="https://en.wikipedia.org/wiki/ITV_(TV_network)"/>
    <hyperlink ref="B6" r:id="rId2" display="https://en.wikipedia.org/wiki/Channel_4"/>
    <hyperlink ref="B7" r:id="rId3" display="https://en.wikipedia.org/wiki/Channel_5_(UK)"/>
    <hyperlink ref="B283" r:id="rId4" display="https://en.wikipedia.org/wiki/BBC_News_(TV_channel)"/>
    <hyperlink ref="B284" r:id="rId5" display="https://en.wikipedia.org/wiki/Sky_News"/>
    <hyperlink ref="B290" r:id="rId6" display="https://en.wikipedia.org/wiki/CNBC_Europe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7"/>
  <sheetViews>
    <sheetView workbookViewId="0">
      <selection sqref="A1:A7"/>
    </sheetView>
  </sheetViews>
  <sheetFormatPr defaultRowHeight="15" x14ac:dyDescent="0.25"/>
  <sheetData>
    <row r="1" spans="1:1" ht="26.25" thickBot="1" x14ac:dyDescent="0.3">
      <c r="A1" s="9" t="s">
        <v>381</v>
      </c>
    </row>
    <row r="2" spans="1:1" ht="15.75" thickBot="1" x14ac:dyDescent="0.3">
      <c r="A2" s="10" t="s">
        <v>387</v>
      </c>
    </row>
    <row r="3" spans="1:1" ht="15.75" thickBot="1" x14ac:dyDescent="0.3">
      <c r="A3" s="7" t="s">
        <v>379</v>
      </c>
    </row>
    <row r="4" spans="1:1" ht="15.75" thickBot="1" x14ac:dyDescent="0.3">
      <c r="A4" s="12" t="s">
        <v>444</v>
      </c>
    </row>
    <row r="5" spans="1:1" ht="26.25" thickBot="1" x14ac:dyDescent="0.3">
      <c r="A5" s="11" t="s">
        <v>393</v>
      </c>
    </row>
    <row r="6" spans="1:1" ht="15.75" thickBot="1" x14ac:dyDescent="0.3">
      <c r="A6" s="13" t="s">
        <v>462</v>
      </c>
    </row>
    <row r="7" spans="1:1" ht="26.25" thickBot="1" x14ac:dyDescent="0.3">
      <c r="A7" s="6" t="s">
        <v>374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Sheet1</vt:lpstr>
      <vt:lpstr>Sheet3</vt:lpstr>
      <vt:lpstr>Sheet4</vt:lpstr>
      <vt:lpstr>Sheet5</vt:lpstr>
      <vt:lpstr>Sheet6</vt:lpstr>
      <vt:lpstr>CURRENT</vt:lpstr>
      <vt:lpstr>NOV</vt:lpstr>
      <vt:lpstr>PACKAGES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Desy</dc:creator>
  <cp:lastModifiedBy>Desy</cp:lastModifiedBy>
  <dcterms:created xsi:type="dcterms:W3CDTF">2018-06-30T08:06:15Z</dcterms:created>
  <dcterms:modified xsi:type="dcterms:W3CDTF">2018-12-25T11:03:46Z</dcterms:modified>
</cp:coreProperties>
</file>