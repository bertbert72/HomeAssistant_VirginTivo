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20" yWindow="630" windowWidth="19635" windowHeight="6930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nm._FilterDatabase" localSheetId="0" hidden="1">Sheet1!$A$1:$H$412</definedName>
    <definedName name="CURRENT">Sheet1!$A$2:$B$412</definedName>
    <definedName name="NOV">Sheet3!$A$2:$B$402</definedName>
  </definedNames>
  <calcPr calcId="144525"/>
</workbook>
</file>

<file path=xl/calcChain.xml><?xml version="1.0" encoding="utf-8"?>
<calcChain xmlns="http://schemas.openxmlformats.org/spreadsheetml/2006/main">
  <c r="J400" i="1" l="1"/>
  <c r="K400" i="1"/>
  <c r="L400" i="1"/>
  <c r="M400" i="1"/>
  <c r="O400" i="1"/>
  <c r="J382" i="1"/>
  <c r="K382" i="1"/>
  <c r="L382" i="1"/>
  <c r="M382" i="1"/>
  <c r="O382" i="1"/>
  <c r="J303" i="1"/>
  <c r="K303" i="1"/>
  <c r="L303" i="1"/>
  <c r="M303" i="1"/>
  <c r="O303" i="1"/>
  <c r="J262" i="1"/>
  <c r="K262" i="1"/>
  <c r="L262" i="1"/>
  <c r="M262" i="1"/>
  <c r="O262" i="1"/>
  <c r="J263" i="1"/>
  <c r="K263" i="1"/>
  <c r="L263" i="1"/>
  <c r="M263" i="1"/>
  <c r="O263" i="1"/>
  <c r="J264" i="1"/>
  <c r="K264" i="1"/>
  <c r="L264" i="1"/>
  <c r="M264" i="1"/>
  <c r="O264" i="1"/>
  <c r="J187" i="1"/>
  <c r="K187" i="1"/>
  <c r="L187" i="1"/>
  <c r="M187" i="1"/>
  <c r="O187" i="1"/>
  <c r="J164" i="1"/>
  <c r="K164" i="1"/>
  <c r="L164" i="1"/>
  <c r="M164" i="1"/>
  <c r="O164" i="1"/>
  <c r="J165" i="1"/>
  <c r="K165" i="1"/>
  <c r="M165" i="1"/>
  <c r="O165" i="1"/>
  <c r="J166" i="1"/>
  <c r="K166" i="1"/>
  <c r="L166" i="1"/>
  <c r="M166" i="1"/>
  <c r="O166" i="1"/>
  <c r="J167" i="1"/>
  <c r="K167" i="1"/>
  <c r="L167" i="1"/>
  <c r="M167" i="1"/>
  <c r="O167" i="1"/>
  <c r="J168" i="1"/>
  <c r="K168" i="1"/>
  <c r="L168" i="1"/>
  <c r="M168" i="1"/>
  <c r="O168" i="1"/>
  <c r="J146" i="1"/>
  <c r="K146" i="1"/>
  <c r="L146" i="1"/>
  <c r="M146" i="1"/>
  <c r="O146" i="1"/>
  <c r="J120" i="1"/>
  <c r="K120" i="1"/>
  <c r="L120" i="1"/>
  <c r="M120" i="1"/>
  <c r="O120" i="1"/>
  <c r="J117" i="1"/>
  <c r="K117" i="1"/>
  <c r="L117" i="1"/>
  <c r="M117" i="1"/>
  <c r="O117" i="1"/>
  <c r="J118" i="1"/>
  <c r="K118" i="1"/>
  <c r="L118" i="1"/>
  <c r="M118" i="1"/>
  <c r="O118" i="1"/>
  <c r="J119" i="1"/>
  <c r="K119" i="1"/>
  <c r="L119" i="1"/>
  <c r="M119" i="1"/>
  <c r="O119" i="1"/>
  <c r="J121" i="1"/>
  <c r="K121" i="1"/>
  <c r="O121" i="1"/>
  <c r="J88" i="1"/>
  <c r="K88" i="1"/>
  <c r="L88" i="1"/>
  <c r="M88" i="1"/>
  <c r="O88" i="1"/>
  <c r="J89" i="1"/>
  <c r="K89" i="1"/>
  <c r="M89" i="1"/>
  <c r="O89" i="1"/>
  <c r="J90" i="1"/>
  <c r="K90" i="1"/>
  <c r="L90" i="1"/>
  <c r="O90" i="1"/>
  <c r="C3" i="3"/>
  <c r="D3" i="3" s="1"/>
  <c r="C4" i="3"/>
  <c r="D4" i="3" s="1"/>
  <c r="C5" i="3"/>
  <c r="D5" i="3" s="1"/>
  <c r="C6" i="3"/>
  <c r="D6" i="3" s="1"/>
  <c r="C7" i="3"/>
  <c r="D7" i="3" s="1"/>
  <c r="C8" i="3"/>
  <c r="D8" i="3" s="1"/>
  <c r="C9" i="3"/>
  <c r="D9" i="3" s="1"/>
  <c r="C10" i="3"/>
  <c r="D10" i="3" s="1"/>
  <c r="C11" i="3"/>
  <c r="D11" i="3" s="1"/>
  <c r="C12" i="3"/>
  <c r="D12" i="3" s="1"/>
  <c r="C13" i="3"/>
  <c r="D13" i="3" s="1"/>
  <c r="C14" i="3"/>
  <c r="D14" i="3" s="1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3" i="3"/>
  <c r="D23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4" i="3"/>
  <c r="D44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C51" i="3"/>
  <c r="D51" i="3" s="1"/>
  <c r="C52" i="3"/>
  <c r="D52" i="3" s="1"/>
  <c r="C53" i="3"/>
  <c r="D53" i="3" s="1"/>
  <c r="C54" i="3"/>
  <c r="D54" i="3" s="1"/>
  <c r="C55" i="3"/>
  <c r="D55" i="3" s="1"/>
  <c r="C56" i="3"/>
  <c r="D56" i="3" s="1"/>
  <c r="C57" i="3"/>
  <c r="D57" i="3" s="1"/>
  <c r="C58" i="3"/>
  <c r="D58" i="3" s="1"/>
  <c r="C59" i="3"/>
  <c r="D59" i="3" s="1"/>
  <c r="C60" i="3"/>
  <c r="D60" i="3" s="1"/>
  <c r="C61" i="3"/>
  <c r="D61" i="3" s="1"/>
  <c r="C62" i="3"/>
  <c r="D62" i="3" s="1"/>
  <c r="C63" i="3"/>
  <c r="D63" i="3" s="1"/>
  <c r="C64" i="3"/>
  <c r="D64" i="3" s="1"/>
  <c r="C65" i="3"/>
  <c r="D65" i="3" s="1"/>
  <c r="C66" i="3"/>
  <c r="D66" i="3" s="1"/>
  <c r="C67" i="3"/>
  <c r="D67" i="3" s="1"/>
  <c r="C68" i="3"/>
  <c r="D68" i="3" s="1"/>
  <c r="C69" i="3"/>
  <c r="D69" i="3" s="1"/>
  <c r="C70" i="3"/>
  <c r="D70" i="3" s="1"/>
  <c r="C71" i="3"/>
  <c r="D71" i="3" s="1"/>
  <c r="C72" i="3"/>
  <c r="D72" i="3" s="1"/>
  <c r="C73" i="3"/>
  <c r="D73" i="3" s="1"/>
  <c r="C74" i="3"/>
  <c r="D74" i="3" s="1"/>
  <c r="C75" i="3"/>
  <c r="D75" i="3" s="1"/>
  <c r="C76" i="3"/>
  <c r="D76" i="3" s="1"/>
  <c r="C77" i="3"/>
  <c r="D77" i="3" s="1"/>
  <c r="C78" i="3"/>
  <c r="D78" i="3" s="1"/>
  <c r="C79" i="3"/>
  <c r="D79" i="3" s="1"/>
  <c r="C80" i="3"/>
  <c r="D80" i="3" s="1"/>
  <c r="C81" i="3"/>
  <c r="D81" i="3" s="1"/>
  <c r="C82" i="3"/>
  <c r="D82" i="3" s="1"/>
  <c r="C83" i="3"/>
  <c r="D83" i="3" s="1"/>
  <c r="C84" i="3"/>
  <c r="D84" i="3" s="1"/>
  <c r="C85" i="3"/>
  <c r="D85" i="3" s="1"/>
  <c r="C86" i="3"/>
  <c r="D86" i="3" s="1"/>
  <c r="C87" i="3"/>
  <c r="D87" i="3" s="1"/>
  <c r="C88" i="3"/>
  <c r="D88" i="3" s="1"/>
  <c r="C89" i="3"/>
  <c r="D89" i="3" s="1"/>
  <c r="C90" i="3"/>
  <c r="D90" i="3" s="1"/>
  <c r="C91" i="3"/>
  <c r="D91" i="3" s="1"/>
  <c r="C92" i="3"/>
  <c r="D92" i="3" s="1"/>
  <c r="C93" i="3"/>
  <c r="D93" i="3" s="1"/>
  <c r="C94" i="3"/>
  <c r="D94" i="3" s="1"/>
  <c r="C95" i="3"/>
  <c r="D95" i="3" s="1"/>
  <c r="C96" i="3"/>
  <c r="D96" i="3" s="1"/>
  <c r="C97" i="3"/>
  <c r="D97" i="3" s="1"/>
  <c r="C98" i="3"/>
  <c r="D98" i="3" s="1"/>
  <c r="C99" i="3"/>
  <c r="D99" i="3" s="1"/>
  <c r="C100" i="3"/>
  <c r="D100" i="3" s="1"/>
  <c r="C101" i="3"/>
  <c r="D101" i="3" s="1"/>
  <c r="C102" i="3"/>
  <c r="D102" i="3" s="1"/>
  <c r="C103" i="3"/>
  <c r="D103" i="3" s="1"/>
  <c r="C104" i="3"/>
  <c r="D104" i="3" s="1"/>
  <c r="C105" i="3"/>
  <c r="D105" i="3" s="1"/>
  <c r="C106" i="3"/>
  <c r="D106" i="3" s="1"/>
  <c r="C107" i="3"/>
  <c r="D107" i="3" s="1"/>
  <c r="C108" i="3"/>
  <c r="D108" i="3" s="1"/>
  <c r="C109" i="3"/>
  <c r="D109" i="3" s="1"/>
  <c r="C110" i="3"/>
  <c r="D110" i="3" s="1"/>
  <c r="C111" i="3"/>
  <c r="D111" i="3" s="1"/>
  <c r="C112" i="3"/>
  <c r="D112" i="3" s="1"/>
  <c r="C113" i="3"/>
  <c r="D113" i="3" s="1"/>
  <c r="C114" i="3"/>
  <c r="D114" i="3" s="1"/>
  <c r="C115" i="3"/>
  <c r="D115" i="3" s="1"/>
  <c r="C116" i="3"/>
  <c r="D116" i="3" s="1"/>
  <c r="C117" i="3"/>
  <c r="D117" i="3" s="1"/>
  <c r="C118" i="3"/>
  <c r="D118" i="3" s="1"/>
  <c r="C119" i="3"/>
  <c r="D119" i="3" s="1"/>
  <c r="C120" i="3"/>
  <c r="D120" i="3" s="1"/>
  <c r="C121" i="3"/>
  <c r="D121" i="3" s="1"/>
  <c r="C122" i="3"/>
  <c r="D122" i="3" s="1"/>
  <c r="C123" i="3"/>
  <c r="D123" i="3" s="1"/>
  <c r="C124" i="3"/>
  <c r="D124" i="3" s="1"/>
  <c r="C125" i="3"/>
  <c r="D125" i="3" s="1"/>
  <c r="C126" i="3"/>
  <c r="D126" i="3" s="1"/>
  <c r="C127" i="3"/>
  <c r="D127" i="3" s="1"/>
  <c r="C128" i="3"/>
  <c r="D128" i="3" s="1"/>
  <c r="C129" i="3"/>
  <c r="D129" i="3" s="1"/>
  <c r="C130" i="3"/>
  <c r="D130" i="3" s="1"/>
  <c r="C131" i="3"/>
  <c r="D131" i="3" s="1"/>
  <c r="C132" i="3"/>
  <c r="D132" i="3" s="1"/>
  <c r="C133" i="3"/>
  <c r="D133" i="3" s="1"/>
  <c r="C134" i="3"/>
  <c r="D134" i="3" s="1"/>
  <c r="C135" i="3"/>
  <c r="D135" i="3" s="1"/>
  <c r="C136" i="3"/>
  <c r="D136" i="3" s="1"/>
  <c r="C137" i="3"/>
  <c r="D137" i="3" s="1"/>
  <c r="C138" i="3"/>
  <c r="D138" i="3" s="1"/>
  <c r="C139" i="3"/>
  <c r="D139" i="3" s="1"/>
  <c r="C140" i="3"/>
  <c r="D140" i="3" s="1"/>
  <c r="C141" i="3"/>
  <c r="D141" i="3" s="1"/>
  <c r="C142" i="3"/>
  <c r="D142" i="3" s="1"/>
  <c r="C143" i="3"/>
  <c r="D143" i="3" s="1"/>
  <c r="C144" i="3"/>
  <c r="D144" i="3" s="1"/>
  <c r="C145" i="3"/>
  <c r="D145" i="3" s="1"/>
  <c r="C146" i="3"/>
  <c r="D146" i="3" s="1"/>
  <c r="C147" i="3"/>
  <c r="D147" i="3" s="1"/>
  <c r="C148" i="3"/>
  <c r="D148" i="3" s="1"/>
  <c r="C149" i="3"/>
  <c r="D149" i="3" s="1"/>
  <c r="C150" i="3"/>
  <c r="D150" i="3" s="1"/>
  <c r="C151" i="3"/>
  <c r="D151" i="3" s="1"/>
  <c r="C152" i="3"/>
  <c r="D152" i="3" s="1"/>
  <c r="C153" i="3"/>
  <c r="D153" i="3" s="1"/>
  <c r="C154" i="3"/>
  <c r="D154" i="3" s="1"/>
  <c r="C155" i="3"/>
  <c r="D155" i="3" s="1"/>
  <c r="C156" i="3"/>
  <c r="D156" i="3" s="1"/>
  <c r="C157" i="3"/>
  <c r="D157" i="3" s="1"/>
  <c r="C158" i="3"/>
  <c r="D158" i="3" s="1"/>
  <c r="C159" i="3"/>
  <c r="D159" i="3" s="1"/>
  <c r="C160" i="3"/>
  <c r="D160" i="3" s="1"/>
  <c r="C161" i="3"/>
  <c r="D161" i="3" s="1"/>
  <c r="C162" i="3"/>
  <c r="D162" i="3" s="1"/>
  <c r="C163" i="3"/>
  <c r="D163" i="3" s="1"/>
  <c r="C164" i="3"/>
  <c r="D164" i="3" s="1"/>
  <c r="C165" i="3"/>
  <c r="D165" i="3" s="1"/>
  <c r="C166" i="3"/>
  <c r="D166" i="3" s="1"/>
  <c r="C167" i="3"/>
  <c r="D167" i="3" s="1"/>
  <c r="C168" i="3"/>
  <c r="D168" i="3" s="1"/>
  <c r="C169" i="3"/>
  <c r="D169" i="3" s="1"/>
  <c r="C170" i="3"/>
  <c r="D170" i="3" s="1"/>
  <c r="C171" i="3"/>
  <c r="D171" i="3" s="1"/>
  <c r="C172" i="3"/>
  <c r="D172" i="3" s="1"/>
  <c r="C173" i="3"/>
  <c r="D173" i="3" s="1"/>
  <c r="C174" i="3"/>
  <c r="D174" i="3" s="1"/>
  <c r="C175" i="3"/>
  <c r="D175" i="3" s="1"/>
  <c r="C176" i="3"/>
  <c r="D176" i="3" s="1"/>
  <c r="C177" i="3"/>
  <c r="D177" i="3" s="1"/>
  <c r="C178" i="3"/>
  <c r="D178" i="3" s="1"/>
  <c r="C179" i="3"/>
  <c r="D179" i="3" s="1"/>
  <c r="C180" i="3"/>
  <c r="D180" i="3" s="1"/>
  <c r="C181" i="3"/>
  <c r="D181" i="3" s="1"/>
  <c r="C182" i="3"/>
  <c r="D182" i="3" s="1"/>
  <c r="C183" i="3"/>
  <c r="D183" i="3" s="1"/>
  <c r="C184" i="3"/>
  <c r="D184" i="3" s="1"/>
  <c r="C185" i="3"/>
  <c r="D185" i="3" s="1"/>
  <c r="C186" i="3"/>
  <c r="D186" i="3" s="1"/>
  <c r="C187" i="3"/>
  <c r="D187" i="3" s="1"/>
  <c r="C188" i="3"/>
  <c r="D188" i="3" s="1"/>
  <c r="C189" i="3"/>
  <c r="D189" i="3" s="1"/>
  <c r="C190" i="3"/>
  <c r="D190" i="3" s="1"/>
  <c r="C191" i="3"/>
  <c r="D191" i="3" s="1"/>
  <c r="C192" i="3"/>
  <c r="D192" i="3" s="1"/>
  <c r="C193" i="3"/>
  <c r="D193" i="3" s="1"/>
  <c r="C194" i="3"/>
  <c r="D194" i="3" s="1"/>
  <c r="C195" i="3"/>
  <c r="D195" i="3" s="1"/>
  <c r="C196" i="3"/>
  <c r="D196" i="3" s="1"/>
  <c r="C197" i="3"/>
  <c r="D197" i="3" s="1"/>
  <c r="C198" i="3"/>
  <c r="D198" i="3" s="1"/>
  <c r="C199" i="3"/>
  <c r="D199" i="3" s="1"/>
  <c r="C200" i="3"/>
  <c r="D200" i="3" s="1"/>
  <c r="C201" i="3"/>
  <c r="D201" i="3" s="1"/>
  <c r="C202" i="3"/>
  <c r="D202" i="3" s="1"/>
  <c r="C203" i="3"/>
  <c r="D203" i="3" s="1"/>
  <c r="C204" i="3"/>
  <c r="D204" i="3" s="1"/>
  <c r="C205" i="3"/>
  <c r="D205" i="3" s="1"/>
  <c r="C206" i="3"/>
  <c r="D206" i="3" s="1"/>
  <c r="C207" i="3"/>
  <c r="D207" i="3" s="1"/>
  <c r="C208" i="3"/>
  <c r="D208" i="3" s="1"/>
  <c r="C209" i="3"/>
  <c r="D209" i="3" s="1"/>
  <c r="C210" i="3"/>
  <c r="D210" i="3" s="1"/>
  <c r="C211" i="3"/>
  <c r="D211" i="3" s="1"/>
  <c r="C212" i="3"/>
  <c r="D212" i="3" s="1"/>
  <c r="C213" i="3"/>
  <c r="D213" i="3" s="1"/>
  <c r="C214" i="3"/>
  <c r="D214" i="3" s="1"/>
  <c r="C215" i="3"/>
  <c r="D215" i="3" s="1"/>
  <c r="C216" i="3"/>
  <c r="D216" i="3" s="1"/>
  <c r="C217" i="3"/>
  <c r="D217" i="3" s="1"/>
  <c r="C218" i="3"/>
  <c r="D218" i="3" s="1"/>
  <c r="C219" i="3"/>
  <c r="D219" i="3" s="1"/>
  <c r="C220" i="3"/>
  <c r="D220" i="3" s="1"/>
  <c r="C221" i="3"/>
  <c r="D221" i="3" s="1"/>
  <c r="C222" i="3"/>
  <c r="D222" i="3" s="1"/>
  <c r="C223" i="3"/>
  <c r="D223" i="3" s="1"/>
  <c r="C224" i="3"/>
  <c r="D224" i="3" s="1"/>
  <c r="C225" i="3"/>
  <c r="D225" i="3" s="1"/>
  <c r="C226" i="3"/>
  <c r="D226" i="3" s="1"/>
  <c r="C227" i="3"/>
  <c r="D227" i="3" s="1"/>
  <c r="C228" i="3"/>
  <c r="D228" i="3" s="1"/>
  <c r="C229" i="3"/>
  <c r="D229" i="3" s="1"/>
  <c r="C230" i="3"/>
  <c r="D230" i="3" s="1"/>
  <c r="C231" i="3"/>
  <c r="D231" i="3" s="1"/>
  <c r="C232" i="3"/>
  <c r="D232" i="3" s="1"/>
  <c r="C233" i="3"/>
  <c r="D233" i="3" s="1"/>
  <c r="C234" i="3"/>
  <c r="D234" i="3" s="1"/>
  <c r="C235" i="3"/>
  <c r="D235" i="3" s="1"/>
  <c r="C236" i="3"/>
  <c r="D236" i="3" s="1"/>
  <c r="C237" i="3"/>
  <c r="D237" i="3" s="1"/>
  <c r="C238" i="3"/>
  <c r="D238" i="3" s="1"/>
  <c r="C239" i="3"/>
  <c r="D239" i="3" s="1"/>
  <c r="C240" i="3"/>
  <c r="D240" i="3" s="1"/>
  <c r="C241" i="3"/>
  <c r="D241" i="3" s="1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 s="1"/>
  <c r="C249" i="3"/>
  <c r="D249" i="3" s="1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 s="1"/>
  <c r="C256" i="3"/>
  <c r="D256" i="3" s="1"/>
  <c r="C257" i="3"/>
  <c r="D257" i="3" s="1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 s="1"/>
  <c r="C264" i="3"/>
  <c r="D264" i="3" s="1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 s="1"/>
  <c r="C272" i="3"/>
  <c r="D272" i="3" s="1"/>
  <c r="C273" i="3"/>
  <c r="D273" i="3" s="1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 s="1"/>
  <c r="C281" i="3"/>
  <c r="D281" i="3" s="1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 s="1"/>
  <c r="C288" i="3"/>
  <c r="D288" i="3" s="1"/>
  <c r="C289" i="3"/>
  <c r="D289" i="3" s="1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 s="1"/>
  <c r="C296" i="3"/>
  <c r="D296" i="3" s="1"/>
  <c r="C297" i="3"/>
  <c r="D297" i="3" s="1"/>
  <c r="C298" i="3"/>
  <c r="D298" i="3" s="1"/>
  <c r="C299" i="3"/>
  <c r="D299" i="3" s="1"/>
  <c r="C300" i="3"/>
  <c r="D300" i="3" s="1"/>
  <c r="C301" i="3"/>
  <c r="D301" i="3" s="1"/>
  <c r="C302" i="3"/>
  <c r="D302" i="3" s="1"/>
  <c r="C303" i="3"/>
  <c r="D303" i="3" s="1"/>
  <c r="C304" i="3"/>
  <c r="D304" i="3" s="1"/>
  <c r="C305" i="3"/>
  <c r="D305" i="3" s="1"/>
  <c r="C306" i="3"/>
  <c r="D306" i="3" s="1"/>
  <c r="C307" i="3"/>
  <c r="D307" i="3" s="1"/>
  <c r="C308" i="3"/>
  <c r="D308" i="3" s="1"/>
  <c r="C309" i="3"/>
  <c r="D309" i="3" s="1"/>
  <c r="C310" i="3"/>
  <c r="D310" i="3" s="1"/>
  <c r="C311" i="3"/>
  <c r="D311" i="3" s="1"/>
  <c r="C312" i="3"/>
  <c r="D312" i="3" s="1"/>
  <c r="C313" i="3"/>
  <c r="D313" i="3" s="1"/>
  <c r="C314" i="3"/>
  <c r="D314" i="3" s="1"/>
  <c r="C315" i="3"/>
  <c r="D315" i="3" s="1"/>
  <c r="C316" i="3"/>
  <c r="D316" i="3" s="1"/>
  <c r="C317" i="3"/>
  <c r="D317" i="3" s="1"/>
  <c r="C318" i="3"/>
  <c r="D318" i="3" s="1"/>
  <c r="C319" i="3"/>
  <c r="D319" i="3" s="1"/>
  <c r="C320" i="3"/>
  <c r="D320" i="3" s="1"/>
  <c r="C321" i="3"/>
  <c r="D321" i="3" s="1"/>
  <c r="C322" i="3"/>
  <c r="D322" i="3" s="1"/>
  <c r="C323" i="3"/>
  <c r="D323" i="3" s="1"/>
  <c r="C324" i="3"/>
  <c r="D324" i="3" s="1"/>
  <c r="C325" i="3"/>
  <c r="D325" i="3" s="1"/>
  <c r="C326" i="3"/>
  <c r="D326" i="3" s="1"/>
  <c r="C327" i="3"/>
  <c r="D327" i="3" s="1"/>
  <c r="C328" i="3"/>
  <c r="D328" i="3" s="1"/>
  <c r="C329" i="3"/>
  <c r="D329" i="3" s="1"/>
  <c r="C330" i="3"/>
  <c r="D330" i="3" s="1"/>
  <c r="C331" i="3"/>
  <c r="D331" i="3" s="1"/>
  <c r="C332" i="3"/>
  <c r="D332" i="3" s="1"/>
  <c r="C333" i="3"/>
  <c r="D333" i="3" s="1"/>
  <c r="C334" i="3"/>
  <c r="D334" i="3" s="1"/>
  <c r="C335" i="3"/>
  <c r="D335" i="3" s="1"/>
  <c r="C336" i="3"/>
  <c r="D336" i="3" s="1"/>
  <c r="C337" i="3"/>
  <c r="D337" i="3" s="1"/>
  <c r="C338" i="3"/>
  <c r="D338" i="3" s="1"/>
  <c r="C339" i="3"/>
  <c r="D339" i="3" s="1"/>
  <c r="C340" i="3"/>
  <c r="D340" i="3" s="1"/>
  <c r="C341" i="3"/>
  <c r="D341" i="3" s="1"/>
  <c r="C342" i="3"/>
  <c r="D342" i="3" s="1"/>
  <c r="C343" i="3"/>
  <c r="D343" i="3" s="1"/>
  <c r="C344" i="3"/>
  <c r="D344" i="3" s="1"/>
  <c r="C345" i="3"/>
  <c r="D345" i="3" s="1"/>
  <c r="C346" i="3"/>
  <c r="D346" i="3" s="1"/>
  <c r="C347" i="3"/>
  <c r="D347" i="3" s="1"/>
  <c r="C348" i="3"/>
  <c r="D348" i="3" s="1"/>
  <c r="C349" i="3"/>
  <c r="D349" i="3" s="1"/>
  <c r="C350" i="3"/>
  <c r="D350" i="3" s="1"/>
  <c r="C351" i="3"/>
  <c r="D351" i="3" s="1"/>
  <c r="C352" i="3"/>
  <c r="D352" i="3" s="1"/>
  <c r="C353" i="3"/>
  <c r="D353" i="3" s="1"/>
  <c r="C354" i="3"/>
  <c r="D354" i="3" s="1"/>
  <c r="C355" i="3"/>
  <c r="D355" i="3" s="1"/>
  <c r="C356" i="3"/>
  <c r="D356" i="3" s="1"/>
  <c r="C357" i="3"/>
  <c r="D357" i="3" s="1"/>
  <c r="C358" i="3"/>
  <c r="D358" i="3" s="1"/>
  <c r="C359" i="3"/>
  <c r="D359" i="3" s="1"/>
  <c r="C360" i="3"/>
  <c r="D360" i="3" s="1"/>
  <c r="C361" i="3"/>
  <c r="D361" i="3" s="1"/>
  <c r="C362" i="3"/>
  <c r="D362" i="3" s="1"/>
  <c r="C363" i="3"/>
  <c r="D363" i="3" s="1"/>
  <c r="C364" i="3"/>
  <c r="D364" i="3" s="1"/>
  <c r="C365" i="3"/>
  <c r="D365" i="3" s="1"/>
  <c r="C366" i="3"/>
  <c r="D366" i="3" s="1"/>
  <c r="C367" i="3"/>
  <c r="D367" i="3" s="1"/>
  <c r="C368" i="3"/>
  <c r="D368" i="3" s="1"/>
  <c r="C369" i="3"/>
  <c r="D369" i="3" s="1"/>
  <c r="C370" i="3"/>
  <c r="D370" i="3" s="1"/>
  <c r="C371" i="3"/>
  <c r="D371" i="3" s="1"/>
  <c r="C372" i="3"/>
  <c r="D372" i="3" s="1"/>
  <c r="C373" i="3"/>
  <c r="D373" i="3" s="1"/>
  <c r="C374" i="3"/>
  <c r="D374" i="3" s="1"/>
  <c r="C375" i="3"/>
  <c r="D375" i="3" s="1"/>
  <c r="C376" i="3"/>
  <c r="D376" i="3" s="1"/>
  <c r="C377" i="3"/>
  <c r="D377" i="3" s="1"/>
  <c r="C378" i="3"/>
  <c r="D378" i="3" s="1"/>
  <c r="C379" i="3"/>
  <c r="D379" i="3" s="1"/>
  <c r="C380" i="3"/>
  <c r="D380" i="3" s="1"/>
  <c r="C381" i="3"/>
  <c r="D381" i="3" s="1"/>
  <c r="C382" i="3"/>
  <c r="D382" i="3" s="1"/>
  <c r="C383" i="3"/>
  <c r="D383" i="3" s="1"/>
  <c r="C384" i="3"/>
  <c r="D384" i="3" s="1"/>
  <c r="C385" i="3"/>
  <c r="D385" i="3" s="1"/>
  <c r="C386" i="3"/>
  <c r="D386" i="3" s="1"/>
  <c r="C387" i="3"/>
  <c r="D387" i="3" s="1"/>
  <c r="C388" i="3"/>
  <c r="D388" i="3" s="1"/>
  <c r="C389" i="3"/>
  <c r="D389" i="3" s="1"/>
  <c r="C390" i="3"/>
  <c r="D390" i="3" s="1"/>
  <c r="C391" i="3"/>
  <c r="D391" i="3" s="1"/>
  <c r="C392" i="3"/>
  <c r="D392" i="3" s="1"/>
  <c r="C393" i="3"/>
  <c r="D393" i="3" s="1"/>
  <c r="C394" i="3"/>
  <c r="D394" i="3" s="1"/>
  <c r="C395" i="3"/>
  <c r="D395" i="3" s="1"/>
  <c r="C396" i="3"/>
  <c r="D396" i="3" s="1"/>
  <c r="C397" i="3"/>
  <c r="D397" i="3" s="1"/>
  <c r="C398" i="3"/>
  <c r="D398" i="3" s="1"/>
  <c r="C399" i="3"/>
  <c r="D399" i="3" s="1"/>
  <c r="C400" i="3"/>
  <c r="D400" i="3" s="1"/>
  <c r="C401" i="3"/>
  <c r="D401" i="3" s="1"/>
  <c r="C402" i="3"/>
  <c r="D402" i="3" s="1"/>
  <c r="C2" i="3"/>
  <c r="D2" i="3" s="1"/>
  <c r="A383" i="4"/>
  <c r="C383" i="4" s="1"/>
  <c r="B383" i="4"/>
  <c r="A384" i="4"/>
  <c r="C384" i="4" s="1"/>
  <c r="B384" i="4"/>
  <c r="A385" i="4"/>
  <c r="B385" i="4"/>
  <c r="A386" i="4"/>
  <c r="C386" i="4" s="1"/>
  <c r="B386" i="4"/>
  <c r="A387" i="4"/>
  <c r="C387" i="4" s="1"/>
  <c r="B387" i="4"/>
  <c r="A388" i="4"/>
  <c r="C388" i="4" s="1"/>
  <c r="B388" i="4"/>
  <c r="A389" i="4"/>
  <c r="C389" i="4" s="1"/>
  <c r="B389" i="4"/>
  <c r="A390" i="4"/>
  <c r="C390" i="4" s="1"/>
  <c r="B390" i="4"/>
  <c r="A391" i="4"/>
  <c r="C391" i="4" s="1"/>
  <c r="B391" i="4"/>
  <c r="A392" i="4"/>
  <c r="C392" i="4" s="1"/>
  <c r="B392" i="4"/>
  <c r="A393" i="4"/>
  <c r="C393" i="4" s="1"/>
  <c r="B393" i="4"/>
  <c r="A394" i="4"/>
  <c r="C394" i="4" s="1"/>
  <c r="B394" i="4"/>
  <c r="A395" i="4"/>
  <c r="C395" i="4" s="1"/>
  <c r="B395" i="4"/>
  <c r="A396" i="4"/>
  <c r="C396" i="4" s="1"/>
  <c r="B396" i="4"/>
  <c r="A397" i="4"/>
  <c r="C397" i="4" s="1"/>
  <c r="B397" i="4"/>
  <c r="A398" i="4"/>
  <c r="C398" i="4" s="1"/>
  <c r="B398" i="4"/>
  <c r="A399" i="4"/>
  <c r="B399" i="4"/>
  <c r="A400" i="4"/>
  <c r="C400" i="4" s="1"/>
  <c r="B400" i="4"/>
  <c r="A401" i="4"/>
  <c r="C401" i="4" s="1"/>
  <c r="B401" i="4"/>
  <c r="A402" i="4"/>
  <c r="B402" i="4"/>
  <c r="A403" i="4"/>
  <c r="B403" i="4"/>
  <c r="A372" i="4"/>
  <c r="C372" i="4" s="1"/>
  <c r="B372" i="4"/>
  <c r="A373" i="4"/>
  <c r="C373" i="4" s="1"/>
  <c r="B373" i="4"/>
  <c r="A374" i="4"/>
  <c r="C374" i="4" s="1"/>
  <c r="B374" i="4"/>
  <c r="A375" i="4"/>
  <c r="C375" i="4" s="1"/>
  <c r="B375" i="4"/>
  <c r="A376" i="4"/>
  <c r="C376" i="4" s="1"/>
  <c r="B376" i="4"/>
  <c r="A377" i="4"/>
  <c r="B377" i="4"/>
  <c r="A378" i="4"/>
  <c r="C378" i="4" s="1"/>
  <c r="B378" i="4"/>
  <c r="A379" i="4"/>
  <c r="C379" i="4" s="1"/>
  <c r="B379" i="4"/>
  <c r="A380" i="4"/>
  <c r="C380" i="4" s="1"/>
  <c r="B380" i="4"/>
  <c r="A381" i="4"/>
  <c r="C381" i="4" s="1"/>
  <c r="B381" i="4"/>
  <c r="A382" i="4"/>
  <c r="C382" i="4" s="1"/>
  <c r="B382" i="4"/>
  <c r="C385" i="4"/>
  <c r="J392" i="1"/>
  <c r="K392" i="1"/>
  <c r="O392" i="1"/>
  <c r="A348" i="4"/>
  <c r="C348" i="4" s="1"/>
  <c r="B348" i="4"/>
  <c r="A349" i="4"/>
  <c r="C349" i="4" s="1"/>
  <c r="B349" i="4"/>
  <c r="A350" i="4"/>
  <c r="C350" i="4" s="1"/>
  <c r="B350" i="4"/>
  <c r="A351" i="4"/>
  <c r="C351" i="4" s="1"/>
  <c r="B351" i="4"/>
  <c r="A352" i="4"/>
  <c r="C352" i="4" s="1"/>
  <c r="B352" i="4"/>
  <c r="A353" i="4"/>
  <c r="C353" i="4" s="1"/>
  <c r="B353" i="4"/>
  <c r="A354" i="4"/>
  <c r="C354" i="4" s="1"/>
  <c r="B354" i="4"/>
  <c r="A355" i="4"/>
  <c r="C355" i="4" s="1"/>
  <c r="B355" i="4"/>
  <c r="A356" i="4"/>
  <c r="C356" i="4" s="1"/>
  <c r="B356" i="4"/>
  <c r="A357" i="4"/>
  <c r="C357" i="4" s="1"/>
  <c r="B357" i="4"/>
  <c r="A358" i="4"/>
  <c r="B358" i="4"/>
  <c r="A359" i="4"/>
  <c r="C359" i="4" s="1"/>
  <c r="B359" i="4"/>
  <c r="A360" i="4"/>
  <c r="C360" i="4" s="1"/>
  <c r="B360" i="4"/>
  <c r="A361" i="4"/>
  <c r="C361" i="4" s="1"/>
  <c r="B361" i="4"/>
  <c r="A362" i="4"/>
  <c r="C362" i="4" s="1"/>
  <c r="B362" i="4"/>
  <c r="A363" i="4"/>
  <c r="B363" i="4"/>
  <c r="A364" i="4"/>
  <c r="C364" i="4" s="1"/>
  <c r="B364" i="4"/>
  <c r="A365" i="4"/>
  <c r="C365" i="4" s="1"/>
  <c r="B365" i="4"/>
  <c r="A366" i="4"/>
  <c r="C366" i="4" s="1"/>
  <c r="B366" i="4"/>
  <c r="A367" i="4"/>
  <c r="C367" i="4" s="1"/>
  <c r="B367" i="4"/>
  <c r="A368" i="4"/>
  <c r="C368" i="4" s="1"/>
  <c r="B368" i="4"/>
  <c r="A369" i="4"/>
  <c r="C369" i="4" s="1"/>
  <c r="B369" i="4"/>
  <c r="A370" i="4"/>
  <c r="C370" i="4" s="1"/>
  <c r="B370" i="4"/>
  <c r="A371" i="4"/>
  <c r="C371" i="4" s="1"/>
  <c r="B371" i="4"/>
  <c r="A315" i="4"/>
  <c r="C315" i="4" s="1"/>
  <c r="B315" i="4"/>
  <c r="A316" i="4"/>
  <c r="C316" i="4" s="1"/>
  <c r="B316" i="4"/>
  <c r="A317" i="4"/>
  <c r="C317" i="4" s="1"/>
  <c r="B317" i="4"/>
  <c r="A318" i="4"/>
  <c r="C318" i="4" s="1"/>
  <c r="B318" i="4"/>
  <c r="A319" i="4"/>
  <c r="B319" i="4"/>
  <c r="A320" i="4"/>
  <c r="C320" i="4" s="1"/>
  <c r="B320" i="4"/>
  <c r="A321" i="4"/>
  <c r="C321" i="4" s="1"/>
  <c r="B321" i="4"/>
  <c r="A322" i="4"/>
  <c r="C322" i="4" s="1"/>
  <c r="B322" i="4"/>
  <c r="A323" i="4"/>
  <c r="C323" i="4" s="1"/>
  <c r="B323" i="4"/>
  <c r="A324" i="4"/>
  <c r="C324" i="4" s="1"/>
  <c r="B324" i="4"/>
  <c r="A325" i="4"/>
  <c r="C325" i="4" s="1"/>
  <c r="B325" i="4"/>
  <c r="A326" i="4"/>
  <c r="C326" i="4" s="1"/>
  <c r="B326" i="4"/>
  <c r="A327" i="4"/>
  <c r="B327" i="4"/>
  <c r="A328" i="4"/>
  <c r="C328" i="4" s="1"/>
  <c r="B328" i="4"/>
  <c r="A329" i="4"/>
  <c r="C329" i="4" s="1"/>
  <c r="B329" i="4"/>
  <c r="A330" i="4"/>
  <c r="C330" i="4" s="1"/>
  <c r="B330" i="4"/>
  <c r="A331" i="4"/>
  <c r="C331" i="4" s="1"/>
  <c r="B331" i="4"/>
  <c r="A332" i="4"/>
  <c r="C332" i="4" s="1"/>
  <c r="B332" i="4"/>
  <c r="A333" i="4"/>
  <c r="C333" i="4" s="1"/>
  <c r="B333" i="4"/>
  <c r="A334" i="4"/>
  <c r="C334" i="4" s="1"/>
  <c r="B334" i="4"/>
  <c r="A335" i="4"/>
  <c r="B335" i="4"/>
  <c r="A336" i="4"/>
  <c r="C336" i="4" s="1"/>
  <c r="B336" i="4"/>
  <c r="A337" i="4"/>
  <c r="C337" i="4" s="1"/>
  <c r="B337" i="4"/>
  <c r="A338" i="4"/>
  <c r="C338" i="4" s="1"/>
  <c r="B338" i="4"/>
  <c r="A339" i="4"/>
  <c r="C339" i="4" s="1"/>
  <c r="B339" i="4"/>
  <c r="A340" i="4"/>
  <c r="C340" i="4" s="1"/>
  <c r="B340" i="4"/>
  <c r="A341" i="4"/>
  <c r="C341" i="4" s="1"/>
  <c r="B341" i="4"/>
  <c r="A342" i="4"/>
  <c r="C342" i="4" s="1"/>
  <c r="B342" i="4"/>
  <c r="A343" i="4"/>
  <c r="B343" i="4"/>
  <c r="A344" i="4"/>
  <c r="C344" i="4" s="1"/>
  <c r="B344" i="4"/>
  <c r="A345" i="4"/>
  <c r="C345" i="4" s="1"/>
  <c r="B345" i="4"/>
  <c r="A346" i="4"/>
  <c r="C346" i="4" s="1"/>
  <c r="B346" i="4"/>
  <c r="A347" i="4"/>
  <c r="C347" i="4" s="1"/>
  <c r="B347" i="4"/>
  <c r="A311" i="4"/>
  <c r="C311" i="4" s="1"/>
  <c r="B311" i="4"/>
  <c r="A312" i="4"/>
  <c r="C312" i="4" s="1"/>
  <c r="B312" i="4"/>
  <c r="A313" i="4"/>
  <c r="C313" i="4" s="1"/>
  <c r="B313" i="4"/>
  <c r="A314" i="4"/>
  <c r="C314" i="4" s="1"/>
  <c r="B314" i="4"/>
  <c r="A294" i="4"/>
  <c r="C294" i="4" s="1"/>
  <c r="B294" i="4"/>
  <c r="A295" i="4"/>
  <c r="C295" i="4" s="1"/>
  <c r="B295" i="4"/>
  <c r="A296" i="4"/>
  <c r="C296" i="4" s="1"/>
  <c r="B296" i="4"/>
  <c r="A297" i="4"/>
  <c r="C297" i="4" s="1"/>
  <c r="B297" i="4"/>
  <c r="A298" i="4"/>
  <c r="C298" i="4" s="1"/>
  <c r="B298" i="4"/>
  <c r="A299" i="4"/>
  <c r="C299" i="4" s="1"/>
  <c r="B299" i="4"/>
  <c r="A300" i="4"/>
  <c r="C300" i="4" s="1"/>
  <c r="B300" i="4"/>
  <c r="A301" i="4"/>
  <c r="C301" i="4" s="1"/>
  <c r="A302" i="4"/>
  <c r="C302" i="4" s="1"/>
  <c r="B302" i="4"/>
  <c r="A303" i="4"/>
  <c r="C303" i="4" s="1"/>
  <c r="B303" i="4"/>
  <c r="A304" i="4"/>
  <c r="C304" i="4" s="1"/>
  <c r="B304" i="4"/>
  <c r="A305" i="4"/>
  <c r="C305" i="4" s="1"/>
  <c r="B305" i="4"/>
  <c r="A306" i="4"/>
  <c r="C306" i="4" s="1"/>
  <c r="B306" i="4"/>
  <c r="A307" i="4"/>
  <c r="B307" i="4"/>
  <c r="A308" i="4"/>
  <c r="C308" i="4" s="1"/>
  <c r="B308" i="4"/>
  <c r="A309" i="4"/>
  <c r="B309" i="4"/>
  <c r="A310" i="4"/>
  <c r="C310" i="4" s="1"/>
  <c r="B310" i="4"/>
  <c r="A283" i="4"/>
  <c r="C283" i="4" s="1"/>
  <c r="B283" i="4"/>
  <c r="A284" i="4"/>
  <c r="C284" i="4" s="1"/>
  <c r="B284" i="4"/>
  <c r="A285" i="4"/>
  <c r="C285" i="4" s="1"/>
  <c r="B285" i="4"/>
  <c r="A286" i="4"/>
  <c r="C286" i="4" s="1"/>
  <c r="B286" i="4"/>
  <c r="A287" i="4"/>
  <c r="C287" i="4" s="1"/>
  <c r="B287" i="4"/>
  <c r="A288" i="4"/>
  <c r="C288" i="4" s="1"/>
  <c r="B288" i="4"/>
  <c r="A289" i="4"/>
  <c r="C289" i="4" s="1"/>
  <c r="B289" i="4"/>
  <c r="A290" i="4"/>
  <c r="C290" i="4" s="1"/>
  <c r="B290" i="4"/>
  <c r="A291" i="4"/>
  <c r="B291" i="4"/>
  <c r="A292" i="4"/>
  <c r="C292" i="4" s="1"/>
  <c r="B292" i="4"/>
  <c r="A293" i="4"/>
  <c r="C293" i="4" s="1"/>
  <c r="B293" i="4"/>
  <c r="A268" i="4"/>
  <c r="C268" i="4" s="1"/>
  <c r="B268" i="4"/>
  <c r="A269" i="4"/>
  <c r="C269" i="4" s="1"/>
  <c r="B269" i="4"/>
  <c r="A270" i="4"/>
  <c r="C270" i="4" s="1"/>
  <c r="B270" i="4"/>
  <c r="A271" i="4"/>
  <c r="C271" i="4" s="1"/>
  <c r="B271" i="4"/>
  <c r="A272" i="4"/>
  <c r="C272" i="4" s="1"/>
  <c r="B272" i="4"/>
  <c r="A273" i="4"/>
  <c r="C273" i="4" s="1"/>
  <c r="B273" i="4"/>
  <c r="A274" i="4"/>
  <c r="C274" i="4" s="1"/>
  <c r="B274" i="4"/>
  <c r="A275" i="4"/>
  <c r="C275" i="4" s="1"/>
  <c r="B275" i="4"/>
  <c r="A276" i="4"/>
  <c r="C276" i="4" s="1"/>
  <c r="B276" i="4"/>
  <c r="A277" i="4"/>
  <c r="C277" i="4" s="1"/>
  <c r="B277" i="4"/>
  <c r="A278" i="4"/>
  <c r="C278" i="4" s="1"/>
  <c r="B278" i="4"/>
  <c r="A279" i="4"/>
  <c r="C279" i="4" s="1"/>
  <c r="B279" i="4"/>
  <c r="A280" i="4"/>
  <c r="C280" i="4" s="1"/>
  <c r="B280" i="4"/>
  <c r="A281" i="4"/>
  <c r="C281" i="4" s="1"/>
  <c r="B281" i="4"/>
  <c r="A282" i="4"/>
  <c r="C282" i="4" s="1"/>
  <c r="B282" i="4"/>
  <c r="A246" i="4"/>
  <c r="C246" i="4" s="1"/>
  <c r="B246" i="4"/>
  <c r="A247" i="4"/>
  <c r="C247" i="4" s="1"/>
  <c r="B247" i="4"/>
  <c r="A248" i="4"/>
  <c r="C248" i="4" s="1"/>
  <c r="B248" i="4"/>
  <c r="A249" i="4"/>
  <c r="C249" i="4" s="1"/>
  <c r="B249" i="4"/>
  <c r="A250" i="4"/>
  <c r="C250" i="4" s="1"/>
  <c r="B250" i="4"/>
  <c r="A251" i="4"/>
  <c r="C251" i="4" s="1"/>
  <c r="B251" i="4"/>
  <c r="A252" i="4"/>
  <c r="C252" i="4" s="1"/>
  <c r="B252" i="4"/>
  <c r="A253" i="4"/>
  <c r="C253" i="4" s="1"/>
  <c r="B253" i="4"/>
  <c r="A254" i="4"/>
  <c r="C254" i="4" s="1"/>
  <c r="B254" i="4"/>
  <c r="A255" i="4"/>
  <c r="C255" i="4" s="1"/>
  <c r="B255" i="4"/>
  <c r="A256" i="4"/>
  <c r="C256" i="4" s="1"/>
  <c r="B256" i="4"/>
  <c r="A257" i="4"/>
  <c r="C257" i="4" s="1"/>
  <c r="B257" i="4"/>
  <c r="A258" i="4"/>
  <c r="C258" i="4" s="1"/>
  <c r="B258" i="4"/>
  <c r="A259" i="4"/>
  <c r="C259" i="4" s="1"/>
  <c r="B259" i="4"/>
  <c r="A260" i="4"/>
  <c r="C260" i="4" s="1"/>
  <c r="B260" i="4"/>
  <c r="A261" i="4"/>
  <c r="C261" i="4" s="1"/>
  <c r="B261" i="4"/>
  <c r="A262" i="4"/>
  <c r="C262" i="4" s="1"/>
  <c r="B262" i="4"/>
  <c r="A263" i="4"/>
  <c r="C263" i="4" s="1"/>
  <c r="B263" i="4"/>
  <c r="A264" i="4"/>
  <c r="C264" i="4" s="1"/>
  <c r="B264" i="4"/>
  <c r="A265" i="4"/>
  <c r="C265" i="4" s="1"/>
  <c r="B265" i="4"/>
  <c r="A266" i="4"/>
  <c r="C266" i="4" s="1"/>
  <c r="B266" i="4"/>
  <c r="A267" i="4"/>
  <c r="C267" i="4" s="1"/>
  <c r="B267" i="4"/>
  <c r="A245" i="4"/>
  <c r="C245" i="4" s="1"/>
  <c r="B245" i="4"/>
  <c r="A171" i="4"/>
  <c r="C171" i="4" s="1"/>
  <c r="B171" i="4"/>
  <c r="A172" i="4"/>
  <c r="C172" i="4" s="1"/>
  <c r="B172" i="4"/>
  <c r="A173" i="4"/>
  <c r="C173" i="4" s="1"/>
  <c r="B173" i="4"/>
  <c r="A174" i="4"/>
  <c r="C174" i="4" s="1"/>
  <c r="B174" i="4"/>
  <c r="A175" i="4"/>
  <c r="C175" i="4" s="1"/>
  <c r="B175" i="4"/>
  <c r="A176" i="4"/>
  <c r="C176" i="4" s="1"/>
  <c r="B176" i="4"/>
  <c r="A177" i="4"/>
  <c r="C177" i="4" s="1"/>
  <c r="B177" i="4"/>
  <c r="A178" i="4"/>
  <c r="C178" i="4" s="1"/>
  <c r="B178" i="4"/>
  <c r="A179" i="4"/>
  <c r="C179" i="4" s="1"/>
  <c r="B179" i="4"/>
  <c r="A180" i="4"/>
  <c r="C180" i="4" s="1"/>
  <c r="B180" i="4"/>
  <c r="A181" i="4"/>
  <c r="C181" i="4" s="1"/>
  <c r="B181" i="4"/>
  <c r="A182" i="4"/>
  <c r="C182" i="4" s="1"/>
  <c r="B182" i="4"/>
  <c r="A183" i="4"/>
  <c r="C183" i="4" s="1"/>
  <c r="B183" i="4"/>
  <c r="A184" i="4"/>
  <c r="C184" i="4" s="1"/>
  <c r="B184" i="4"/>
  <c r="A185" i="4"/>
  <c r="C185" i="4" s="1"/>
  <c r="B185" i="4"/>
  <c r="A186" i="4"/>
  <c r="C186" i="4" s="1"/>
  <c r="B186" i="4"/>
  <c r="A187" i="4"/>
  <c r="C187" i="4" s="1"/>
  <c r="B187" i="4"/>
  <c r="A188" i="4"/>
  <c r="C188" i="4" s="1"/>
  <c r="B188" i="4"/>
  <c r="A189" i="4"/>
  <c r="C189" i="4" s="1"/>
  <c r="B189" i="4"/>
  <c r="A190" i="4"/>
  <c r="C190" i="4" s="1"/>
  <c r="B190" i="4"/>
  <c r="A191" i="4"/>
  <c r="C191" i="4" s="1"/>
  <c r="B191" i="4"/>
  <c r="A192" i="4"/>
  <c r="C192" i="4" s="1"/>
  <c r="B192" i="4"/>
  <c r="A193" i="4"/>
  <c r="C193" i="4" s="1"/>
  <c r="B193" i="4"/>
  <c r="A194" i="4"/>
  <c r="C194" i="4" s="1"/>
  <c r="B194" i="4"/>
  <c r="A195" i="4"/>
  <c r="C195" i="4" s="1"/>
  <c r="B195" i="4"/>
  <c r="A196" i="4"/>
  <c r="C196" i="4" s="1"/>
  <c r="B196" i="4"/>
  <c r="A197" i="4"/>
  <c r="C197" i="4" s="1"/>
  <c r="B197" i="4"/>
  <c r="A198" i="4"/>
  <c r="C198" i="4" s="1"/>
  <c r="B198" i="4"/>
  <c r="A199" i="4"/>
  <c r="C199" i="4" s="1"/>
  <c r="B199" i="4"/>
  <c r="A200" i="4"/>
  <c r="C200" i="4" s="1"/>
  <c r="B200" i="4"/>
  <c r="A201" i="4"/>
  <c r="C201" i="4" s="1"/>
  <c r="B201" i="4"/>
  <c r="A202" i="4"/>
  <c r="C202" i="4" s="1"/>
  <c r="B202" i="4"/>
  <c r="A203" i="4"/>
  <c r="C203" i="4" s="1"/>
  <c r="B203" i="4"/>
  <c r="A204" i="4"/>
  <c r="C204" i="4" s="1"/>
  <c r="B204" i="4"/>
  <c r="A205" i="4"/>
  <c r="C205" i="4" s="1"/>
  <c r="B205" i="4"/>
  <c r="A206" i="4"/>
  <c r="C206" i="4" s="1"/>
  <c r="B206" i="4"/>
  <c r="A207" i="4"/>
  <c r="C207" i="4" s="1"/>
  <c r="B207" i="4"/>
  <c r="A208" i="4"/>
  <c r="C208" i="4" s="1"/>
  <c r="B208" i="4"/>
  <c r="A209" i="4"/>
  <c r="C209" i="4" s="1"/>
  <c r="B209" i="4"/>
  <c r="A210" i="4"/>
  <c r="C210" i="4" s="1"/>
  <c r="B210" i="4"/>
  <c r="A211" i="4"/>
  <c r="C211" i="4" s="1"/>
  <c r="B211" i="4"/>
  <c r="A212" i="4"/>
  <c r="C212" i="4" s="1"/>
  <c r="B212" i="4"/>
  <c r="A213" i="4"/>
  <c r="C213" i="4" s="1"/>
  <c r="B213" i="4"/>
  <c r="A214" i="4"/>
  <c r="C214" i="4" s="1"/>
  <c r="B214" i="4"/>
  <c r="A215" i="4"/>
  <c r="C215" i="4" s="1"/>
  <c r="B215" i="4"/>
  <c r="A216" i="4"/>
  <c r="C216" i="4" s="1"/>
  <c r="B216" i="4"/>
  <c r="A217" i="4"/>
  <c r="C217" i="4" s="1"/>
  <c r="B217" i="4"/>
  <c r="A218" i="4"/>
  <c r="C218" i="4" s="1"/>
  <c r="B218" i="4"/>
  <c r="A219" i="4"/>
  <c r="C219" i="4" s="1"/>
  <c r="B219" i="4"/>
  <c r="A220" i="4"/>
  <c r="C220" i="4" s="1"/>
  <c r="B220" i="4"/>
  <c r="A221" i="4"/>
  <c r="C221" i="4" s="1"/>
  <c r="B221" i="4"/>
  <c r="A222" i="4"/>
  <c r="C222" i="4" s="1"/>
  <c r="B222" i="4"/>
  <c r="A223" i="4"/>
  <c r="C223" i="4" s="1"/>
  <c r="B223" i="4"/>
  <c r="A224" i="4"/>
  <c r="C224" i="4" s="1"/>
  <c r="B224" i="4"/>
  <c r="A225" i="4"/>
  <c r="C225" i="4" s="1"/>
  <c r="B225" i="4"/>
  <c r="A226" i="4"/>
  <c r="C226" i="4" s="1"/>
  <c r="B226" i="4"/>
  <c r="A227" i="4"/>
  <c r="C227" i="4" s="1"/>
  <c r="B227" i="4"/>
  <c r="A228" i="4"/>
  <c r="C228" i="4" s="1"/>
  <c r="B228" i="4"/>
  <c r="A229" i="4"/>
  <c r="C229" i="4" s="1"/>
  <c r="B229" i="4"/>
  <c r="A230" i="4"/>
  <c r="C230" i="4" s="1"/>
  <c r="B230" i="4"/>
  <c r="A231" i="4"/>
  <c r="C231" i="4" s="1"/>
  <c r="B231" i="4"/>
  <c r="A232" i="4"/>
  <c r="C232" i="4" s="1"/>
  <c r="B232" i="4"/>
  <c r="A233" i="4"/>
  <c r="C233" i="4" s="1"/>
  <c r="B233" i="4"/>
  <c r="A234" i="4"/>
  <c r="C234" i="4" s="1"/>
  <c r="B234" i="4"/>
  <c r="A235" i="4"/>
  <c r="C235" i="4" s="1"/>
  <c r="B235" i="4"/>
  <c r="A236" i="4"/>
  <c r="C236" i="4" s="1"/>
  <c r="B236" i="4"/>
  <c r="A237" i="4"/>
  <c r="C237" i="4" s="1"/>
  <c r="B237" i="4"/>
  <c r="A238" i="4"/>
  <c r="C238" i="4" s="1"/>
  <c r="B238" i="4"/>
  <c r="A239" i="4"/>
  <c r="C239" i="4" s="1"/>
  <c r="B239" i="4"/>
  <c r="A240" i="4"/>
  <c r="C240" i="4" s="1"/>
  <c r="B240" i="4"/>
  <c r="A241" i="4"/>
  <c r="C241" i="4" s="1"/>
  <c r="B241" i="4"/>
  <c r="A242" i="4"/>
  <c r="C242" i="4" s="1"/>
  <c r="B242" i="4"/>
  <c r="A243" i="4"/>
  <c r="C243" i="4" s="1"/>
  <c r="B243" i="4"/>
  <c r="A244" i="4"/>
  <c r="C244" i="4" s="1"/>
  <c r="B244" i="4"/>
  <c r="B23" i="4"/>
  <c r="B13" i="4"/>
  <c r="A3" i="4"/>
  <c r="B3" i="4"/>
  <c r="A4" i="4"/>
  <c r="C4" i="4" s="1"/>
  <c r="B4" i="4"/>
  <c r="A5" i="4"/>
  <c r="C5" i="4" s="1"/>
  <c r="B5" i="4"/>
  <c r="A6" i="4"/>
  <c r="C6" i="4" s="1"/>
  <c r="B6" i="4"/>
  <c r="A7" i="4"/>
  <c r="C7" i="4" s="1"/>
  <c r="B7" i="4"/>
  <c r="A8" i="4"/>
  <c r="C8" i="4" s="1"/>
  <c r="B8" i="4"/>
  <c r="A9" i="4"/>
  <c r="C9" i="4" s="1"/>
  <c r="B9" i="4"/>
  <c r="A10" i="4"/>
  <c r="C10" i="4" s="1"/>
  <c r="B10" i="4"/>
  <c r="A11" i="4"/>
  <c r="C11" i="4" s="1"/>
  <c r="B11" i="4"/>
  <c r="A12" i="4"/>
  <c r="C12" i="4" s="1"/>
  <c r="B12" i="4"/>
  <c r="A13" i="4"/>
  <c r="C13" i="4" s="1"/>
  <c r="A14" i="4"/>
  <c r="C14" i="4" s="1"/>
  <c r="B14" i="4"/>
  <c r="A15" i="4"/>
  <c r="C15" i="4" s="1"/>
  <c r="B15" i="4"/>
  <c r="A16" i="4"/>
  <c r="C16" i="4" s="1"/>
  <c r="B16" i="4"/>
  <c r="A17" i="4"/>
  <c r="C17" i="4" s="1"/>
  <c r="B17" i="4"/>
  <c r="A18" i="4"/>
  <c r="C18" i="4" s="1"/>
  <c r="B18" i="4"/>
  <c r="A19" i="4"/>
  <c r="C19" i="4" s="1"/>
  <c r="B19" i="4"/>
  <c r="A20" i="4"/>
  <c r="C20" i="4" s="1"/>
  <c r="B20" i="4"/>
  <c r="A21" i="4"/>
  <c r="C21" i="4" s="1"/>
  <c r="B21" i="4"/>
  <c r="A22" i="4"/>
  <c r="C22" i="4" s="1"/>
  <c r="B22" i="4"/>
  <c r="A23" i="4"/>
  <c r="C23" i="4" s="1"/>
  <c r="A24" i="4"/>
  <c r="C24" i="4" s="1"/>
  <c r="B24" i="4"/>
  <c r="A25" i="4"/>
  <c r="C25" i="4" s="1"/>
  <c r="B25" i="4"/>
  <c r="A26" i="4"/>
  <c r="C26" i="4" s="1"/>
  <c r="B26" i="4"/>
  <c r="A27" i="4"/>
  <c r="C27" i="4" s="1"/>
  <c r="B27" i="4"/>
  <c r="A28" i="4"/>
  <c r="C28" i="4" s="1"/>
  <c r="B28" i="4"/>
  <c r="A29" i="4"/>
  <c r="C29" i="4" s="1"/>
  <c r="B29" i="4"/>
  <c r="A30" i="4"/>
  <c r="C30" i="4" s="1"/>
  <c r="B30" i="4"/>
  <c r="A31" i="4"/>
  <c r="C31" i="4" s="1"/>
  <c r="B31" i="4"/>
  <c r="A32" i="4"/>
  <c r="C32" i="4" s="1"/>
  <c r="B32" i="4"/>
  <c r="A33" i="4"/>
  <c r="C33" i="4" s="1"/>
  <c r="B33" i="4"/>
  <c r="A34" i="4"/>
  <c r="C34" i="4" s="1"/>
  <c r="B34" i="4"/>
  <c r="A35" i="4"/>
  <c r="C35" i="4" s="1"/>
  <c r="B35" i="4"/>
  <c r="A36" i="4"/>
  <c r="C36" i="4" s="1"/>
  <c r="B36" i="4"/>
  <c r="A37" i="4"/>
  <c r="C37" i="4" s="1"/>
  <c r="B37" i="4"/>
  <c r="A38" i="4"/>
  <c r="C38" i="4" s="1"/>
  <c r="B38" i="4"/>
  <c r="A39" i="4"/>
  <c r="C39" i="4" s="1"/>
  <c r="B39" i="4"/>
  <c r="A40" i="4"/>
  <c r="C40" i="4" s="1"/>
  <c r="B40" i="4"/>
  <c r="A41" i="4"/>
  <c r="C41" i="4" s="1"/>
  <c r="B41" i="4"/>
  <c r="A42" i="4"/>
  <c r="C42" i="4" s="1"/>
  <c r="B42" i="4"/>
  <c r="A43" i="4"/>
  <c r="C43" i="4" s="1"/>
  <c r="B43" i="4"/>
  <c r="A44" i="4"/>
  <c r="C44" i="4" s="1"/>
  <c r="B44" i="4"/>
  <c r="A45" i="4"/>
  <c r="C45" i="4" s="1"/>
  <c r="B45" i="4"/>
  <c r="A46" i="4"/>
  <c r="C46" i="4" s="1"/>
  <c r="B46" i="4"/>
  <c r="A47" i="4"/>
  <c r="C47" i="4" s="1"/>
  <c r="B47" i="4"/>
  <c r="A48" i="4"/>
  <c r="C48" i="4" s="1"/>
  <c r="B48" i="4"/>
  <c r="A49" i="4"/>
  <c r="C49" i="4" s="1"/>
  <c r="B49" i="4"/>
  <c r="A50" i="4"/>
  <c r="C50" i="4" s="1"/>
  <c r="B50" i="4"/>
  <c r="A51" i="4"/>
  <c r="C51" i="4" s="1"/>
  <c r="B51" i="4"/>
  <c r="A52" i="4"/>
  <c r="C52" i="4" s="1"/>
  <c r="B52" i="4"/>
  <c r="A53" i="4"/>
  <c r="C53" i="4" s="1"/>
  <c r="B53" i="4"/>
  <c r="A54" i="4"/>
  <c r="C54" i="4" s="1"/>
  <c r="B54" i="4"/>
  <c r="A55" i="4"/>
  <c r="C55" i="4" s="1"/>
  <c r="B55" i="4"/>
  <c r="A56" i="4"/>
  <c r="C56" i="4" s="1"/>
  <c r="B56" i="4"/>
  <c r="A57" i="4"/>
  <c r="C57" i="4" s="1"/>
  <c r="B57" i="4"/>
  <c r="A58" i="4"/>
  <c r="C58" i="4" s="1"/>
  <c r="B58" i="4"/>
  <c r="A59" i="4"/>
  <c r="C59" i="4" s="1"/>
  <c r="B59" i="4"/>
  <c r="A60" i="4"/>
  <c r="C60" i="4" s="1"/>
  <c r="B60" i="4"/>
  <c r="A61" i="4"/>
  <c r="C61" i="4" s="1"/>
  <c r="B61" i="4"/>
  <c r="A62" i="4"/>
  <c r="C62" i="4" s="1"/>
  <c r="B62" i="4"/>
  <c r="A63" i="4"/>
  <c r="C63" i="4" s="1"/>
  <c r="B63" i="4"/>
  <c r="A64" i="4"/>
  <c r="C64" i="4" s="1"/>
  <c r="B64" i="4"/>
  <c r="A65" i="4"/>
  <c r="C65" i="4" s="1"/>
  <c r="B65" i="4"/>
  <c r="A66" i="4"/>
  <c r="C66" i="4" s="1"/>
  <c r="B66" i="4"/>
  <c r="A67" i="4"/>
  <c r="C67" i="4" s="1"/>
  <c r="B67" i="4"/>
  <c r="A68" i="4"/>
  <c r="C68" i="4" s="1"/>
  <c r="B68" i="4"/>
  <c r="A69" i="4"/>
  <c r="C69" i="4" s="1"/>
  <c r="B69" i="4"/>
  <c r="A70" i="4"/>
  <c r="C70" i="4" s="1"/>
  <c r="B70" i="4"/>
  <c r="A71" i="4"/>
  <c r="C71" i="4" s="1"/>
  <c r="B71" i="4"/>
  <c r="A72" i="4"/>
  <c r="C72" i="4" s="1"/>
  <c r="B72" i="4"/>
  <c r="A73" i="4"/>
  <c r="C73" i="4" s="1"/>
  <c r="B73" i="4"/>
  <c r="A74" i="4"/>
  <c r="C74" i="4" s="1"/>
  <c r="B74" i="4"/>
  <c r="A75" i="4"/>
  <c r="C75" i="4" s="1"/>
  <c r="B75" i="4"/>
  <c r="A76" i="4"/>
  <c r="C76" i="4" s="1"/>
  <c r="B76" i="4"/>
  <c r="A77" i="4"/>
  <c r="C77" i="4" s="1"/>
  <c r="B77" i="4"/>
  <c r="A78" i="4"/>
  <c r="C78" i="4" s="1"/>
  <c r="B78" i="4"/>
  <c r="A79" i="4"/>
  <c r="C79" i="4" s="1"/>
  <c r="B79" i="4"/>
  <c r="A80" i="4"/>
  <c r="C80" i="4" s="1"/>
  <c r="B80" i="4"/>
  <c r="A81" i="4"/>
  <c r="C81" i="4" s="1"/>
  <c r="B81" i="4"/>
  <c r="A82" i="4"/>
  <c r="C82" i="4" s="1"/>
  <c r="B82" i="4"/>
  <c r="A83" i="4"/>
  <c r="C83" i="4" s="1"/>
  <c r="B83" i="4"/>
  <c r="A84" i="4"/>
  <c r="C84" i="4" s="1"/>
  <c r="B84" i="4"/>
  <c r="A85" i="4"/>
  <c r="C85" i="4" s="1"/>
  <c r="B85" i="4"/>
  <c r="A86" i="4"/>
  <c r="C86" i="4" s="1"/>
  <c r="B86" i="4"/>
  <c r="A87" i="4"/>
  <c r="C87" i="4" s="1"/>
  <c r="B87" i="4"/>
  <c r="A88" i="4"/>
  <c r="C88" i="4" s="1"/>
  <c r="B88" i="4"/>
  <c r="A89" i="4"/>
  <c r="C89" i="4" s="1"/>
  <c r="B89" i="4"/>
  <c r="A90" i="4"/>
  <c r="C90" i="4" s="1"/>
  <c r="B90" i="4"/>
  <c r="A91" i="4"/>
  <c r="C91" i="4" s="1"/>
  <c r="B91" i="4"/>
  <c r="A92" i="4"/>
  <c r="C92" i="4" s="1"/>
  <c r="B92" i="4"/>
  <c r="A93" i="4"/>
  <c r="C93" i="4" s="1"/>
  <c r="B93" i="4"/>
  <c r="A94" i="4"/>
  <c r="C94" i="4" s="1"/>
  <c r="B94" i="4"/>
  <c r="A95" i="4"/>
  <c r="C95" i="4" s="1"/>
  <c r="B95" i="4"/>
  <c r="A96" i="4"/>
  <c r="C96" i="4" s="1"/>
  <c r="B96" i="4"/>
  <c r="A97" i="4"/>
  <c r="C97" i="4" s="1"/>
  <c r="B97" i="4"/>
  <c r="A98" i="4"/>
  <c r="C98" i="4" s="1"/>
  <c r="B98" i="4"/>
  <c r="A99" i="4"/>
  <c r="C99" i="4" s="1"/>
  <c r="B99" i="4"/>
  <c r="A100" i="4"/>
  <c r="C100" i="4" s="1"/>
  <c r="B100" i="4"/>
  <c r="A101" i="4"/>
  <c r="C101" i="4" s="1"/>
  <c r="B101" i="4"/>
  <c r="A102" i="4"/>
  <c r="C102" i="4" s="1"/>
  <c r="B102" i="4"/>
  <c r="A103" i="4"/>
  <c r="C103" i="4" s="1"/>
  <c r="B103" i="4"/>
  <c r="A104" i="4"/>
  <c r="C104" i="4" s="1"/>
  <c r="B104" i="4"/>
  <c r="A105" i="4"/>
  <c r="C105" i="4" s="1"/>
  <c r="B105" i="4"/>
  <c r="A106" i="4"/>
  <c r="C106" i="4" s="1"/>
  <c r="B106" i="4"/>
  <c r="A107" i="4"/>
  <c r="C107" i="4" s="1"/>
  <c r="B107" i="4"/>
  <c r="A108" i="4"/>
  <c r="C108" i="4" s="1"/>
  <c r="B108" i="4"/>
  <c r="A109" i="4"/>
  <c r="C109" i="4" s="1"/>
  <c r="B109" i="4"/>
  <c r="A110" i="4"/>
  <c r="C110" i="4" s="1"/>
  <c r="B110" i="4"/>
  <c r="A111" i="4"/>
  <c r="C111" i="4" s="1"/>
  <c r="B111" i="4"/>
  <c r="A112" i="4"/>
  <c r="C112" i="4" s="1"/>
  <c r="B112" i="4"/>
  <c r="A113" i="4"/>
  <c r="C113" i="4" s="1"/>
  <c r="B113" i="4"/>
  <c r="A114" i="4"/>
  <c r="C114" i="4" s="1"/>
  <c r="B114" i="4"/>
  <c r="A115" i="4"/>
  <c r="C115" i="4" s="1"/>
  <c r="B115" i="4"/>
  <c r="A116" i="4"/>
  <c r="C116" i="4" s="1"/>
  <c r="B116" i="4"/>
  <c r="A117" i="4"/>
  <c r="C117" i="4" s="1"/>
  <c r="B117" i="4"/>
  <c r="A118" i="4"/>
  <c r="C118" i="4" s="1"/>
  <c r="B118" i="4"/>
  <c r="A119" i="4"/>
  <c r="C119" i="4" s="1"/>
  <c r="B119" i="4"/>
  <c r="A120" i="4"/>
  <c r="C120" i="4" s="1"/>
  <c r="B120" i="4"/>
  <c r="A121" i="4"/>
  <c r="C121" i="4" s="1"/>
  <c r="B121" i="4"/>
  <c r="A122" i="4"/>
  <c r="C122" i="4" s="1"/>
  <c r="B122" i="4"/>
  <c r="A123" i="4"/>
  <c r="C123" i="4" s="1"/>
  <c r="B123" i="4"/>
  <c r="A124" i="4"/>
  <c r="C124" i="4" s="1"/>
  <c r="B124" i="4"/>
  <c r="A125" i="4"/>
  <c r="C125" i="4" s="1"/>
  <c r="B125" i="4"/>
  <c r="A126" i="4"/>
  <c r="C126" i="4" s="1"/>
  <c r="B126" i="4"/>
  <c r="A127" i="4"/>
  <c r="C127" i="4" s="1"/>
  <c r="B127" i="4"/>
  <c r="A128" i="4"/>
  <c r="C128" i="4" s="1"/>
  <c r="B128" i="4"/>
  <c r="A129" i="4"/>
  <c r="C129" i="4" s="1"/>
  <c r="B129" i="4"/>
  <c r="A130" i="4"/>
  <c r="C130" i="4" s="1"/>
  <c r="B130" i="4"/>
  <c r="A131" i="4"/>
  <c r="C131" i="4" s="1"/>
  <c r="B131" i="4"/>
  <c r="A132" i="4"/>
  <c r="C132" i="4" s="1"/>
  <c r="B132" i="4"/>
  <c r="A133" i="4"/>
  <c r="C133" i="4" s="1"/>
  <c r="B133" i="4"/>
  <c r="A134" i="4"/>
  <c r="C134" i="4" s="1"/>
  <c r="B134" i="4"/>
  <c r="A135" i="4"/>
  <c r="C135" i="4" s="1"/>
  <c r="B135" i="4"/>
  <c r="A136" i="4"/>
  <c r="C136" i="4" s="1"/>
  <c r="B136" i="4"/>
  <c r="A137" i="4"/>
  <c r="C137" i="4" s="1"/>
  <c r="B137" i="4"/>
  <c r="A138" i="4"/>
  <c r="C138" i="4" s="1"/>
  <c r="B138" i="4"/>
  <c r="A139" i="4"/>
  <c r="C139" i="4" s="1"/>
  <c r="B139" i="4"/>
  <c r="A140" i="4"/>
  <c r="C140" i="4" s="1"/>
  <c r="B140" i="4"/>
  <c r="A141" i="4"/>
  <c r="C141" i="4" s="1"/>
  <c r="B141" i="4"/>
  <c r="A142" i="4"/>
  <c r="C142" i="4" s="1"/>
  <c r="B142" i="4"/>
  <c r="A143" i="4"/>
  <c r="C143" i="4" s="1"/>
  <c r="B143" i="4"/>
  <c r="A144" i="4"/>
  <c r="C144" i="4" s="1"/>
  <c r="B144" i="4"/>
  <c r="A145" i="4"/>
  <c r="C145" i="4" s="1"/>
  <c r="B145" i="4"/>
  <c r="A146" i="4"/>
  <c r="C146" i="4" s="1"/>
  <c r="B146" i="4"/>
  <c r="A147" i="4"/>
  <c r="C147" i="4" s="1"/>
  <c r="B147" i="4"/>
  <c r="A148" i="4"/>
  <c r="C148" i="4" s="1"/>
  <c r="B148" i="4"/>
  <c r="A149" i="4"/>
  <c r="C149" i="4" s="1"/>
  <c r="B149" i="4"/>
  <c r="A150" i="4"/>
  <c r="C150" i="4" s="1"/>
  <c r="B150" i="4"/>
  <c r="A151" i="4"/>
  <c r="C151" i="4" s="1"/>
  <c r="B151" i="4"/>
  <c r="A152" i="4"/>
  <c r="C152" i="4" s="1"/>
  <c r="B152" i="4"/>
  <c r="A153" i="4"/>
  <c r="C153" i="4" s="1"/>
  <c r="B153" i="4"/>
  <c r="A154" i="4"/>
  <c r="C154" i="4" s="1"/>
  <c r="B154" i="4"/>
  <c r="A155" i="4"/>
  <c r="C155" i="4" s="1"/>
  <c r="B155" i="4"/>
  <c r="A156" i="4"/>
  <c r="C156" i="4" s="1"/>
  <c r="B156" i="4"/>
  <c r="A157" i="4"/>
  <c r="C157" i="4" s="1"/>
  <c r="B157" i="4"/>
  <c r="A158" i="4"/>
  <c r="C158" i="4" s="1"/>
  <c r="B158" i="4"/>
  <c r="A159" i="4"/>
  <c r="C159" i="4" s="1"/>
  <c r="B159" i="4"/>
  <c r="A160" i="4"/>
  <c r="C160" i="4" s="1"/>
  <c r="B160" i="4"/>
  <c r="A161" i="4"/>
  <c r="C161" i="4" s="1"/>
  <c r="B161" i="4"/>
  <c r="A162" i="4"/>
  <c r="C162" i="4" s="1"/>
  <c r="B162" i="4"/>
  <c r="A163" i="4"/>
  <c r="C163" i="4" s="1"/>
  <c r="B163" i="4"/>
  <c r="A164" i="4"/>
  <c r="C164" i="4" s="1"/>
  <c r="B164" i="4"/>
  <c r="A165" i="4"/>
  <c r="C165" i="4" s="1"/>
  <c r="B165" i="4"/>
  <c r="A166" i="4"/>
  <c r="C166" i="4" s="1"/>
  <c r="B166" i="4"/>
  <c r="A167" i="4"/>
  <c r="C167" i="4" s="1"/>
  <c r="B167" i="4"/>
  <c r="A168" i="4"/>
  <c r="C168" i="4" s="1"/>
  <c r="B168" i="4"/>
  <c r="A169" i="4"/>
  <c r="C169" i="4" s="1"/>
  <c r="B169" i="4"/>
  <c r="A170" i="4"/>
  <c r="C170" i="4" s="1"/>
  <c r="B170" i="4"/>
  <c r="B2" i="4"/>
  <c r="A2" i="4"/>
  <c r="C2" i="4" s="1"/>
  <c r="C3" i="4"/>
  <c r="C291" i="4"/>
  <c r="C307" i="4"/>
  <c r="C309" i="4"/>
  <c r="C319" i="4"/>
  <c r="C327" i="4"/>
  <c r="C335" i="4"/>
  <c r="C343" i="4"/>
  <c r="C358" i="4"/>
  <c r="C363" i="4"/>
  <c r="C377" i="4"/>
  <c r="C399" i="4"/>
  <c r="D164" i="4" l="1"/>
  <c r="D148" i="4"/>
  <c r="D120" i="4"/>
  <c r="D100" i="4"/>
  <c r="D68" i="4"/>
  <c r="D380" i="4"/>
  <c r="D383" i="4"/>
  <c r="D52" i="4"/>
  <c r="D242" i="4"/>
  <c r="D266" i="4"/>
  <c r="D262" i="4"/>
  <c r="D391" i="4"/>
  <c r="D389" i="4"/>
  <c r="D390" i="4"/>
  <c r="D36" i="4"/>
  <c r="D238" i="4"/>
  <c r="D234" i="4"/>
  <c r="D232" i="4"/>
  <c r="D230" i="4"/>
  <c r="D228" i="4"/>
  <c r="D226" i="4"/>
  <c r="D224" i="4"/>
  <c r="D222" i="4"/>
  <c r="D220" i="4"/>
  <c r="D218" i="4"/>
  <c r="D210" i="4"/>
  <c r="D382" i="4"/>
  <c r="D392" i="4"/>
  <c r="D387" i="4"/>
  <c r="D385" i="4"/>
  <c r="D274" i="4"/>
  <c r="D388" i="4"/>
  <c r="D386" i="4"/>
  <c r="D250" i="4"/>
  <c r="D384" i="4"/>
  <c r="D381" i="4"/>
  <c r="D216" i="4"/>
  <c r="D214" i="4"/>
  <c r="D212" i="4"/>
  <c r="D208" i="4"/>
  <c r="D338" i="4"/>
  <c r="D398" i="4"/>
  <c r="D370" i="4"/>
  <c r="D358" i="4"/>
  <c r="D360" i="4"/>
  <c r="D348" i="4"/>
  <c r="D282" i="4"/>
  <c r="D278" i="4"/>
  <c r="D270" i="4"/>
  <c r="D194" i="4"/>
  <c r="D311" i="4"/>
  <c r="D200" i="4"/>
  <c r="D198" i="4"/>
  <c r="D196" i="4"/>
  <c r="D192" i="4"/>
  <c r="D188" i="4"/>
  <c r="D186" i="4"/>
  <c r="D184" i="4"/>
  <c r="D178" i="4"/>
  <c r="D176" i="4"/>
  <c r="D174" i="4"/>
  <c r="D172" i="4"/>
  <c r="D132" i="4"/>
  <c r="D108" i="4"/>
  <c r="D92" i="4"/>
  <c r="D76" i="4"/>
  <c r="D44" i="4"/>
  <c r="D28" i="4"/>
  <c r="D84" i="4"/>
  <c r="D326" i="4"/>
  <c r="D314" i="4"/>
  <c r="D116" i="4"/>
  <c r="D80" i="4"/>
  <c r="D48" i="4"/>
  <c r="D168" i="4"/>
  <c r="D162" i="4"/>
  <c r="D158" i="4"/>
  <c r="D140" i="4"/>
  <c r="D96" i="4"/>
  <c r="D64" i="4"/>
  <c r="D32" i="4"/>
  <c r="D166" i="4"/>
  <c r="D160" i="4"/>
  <c r="D156" i="4"/>
  <c r="D124" i="4"/>
  <c r="D104" i="4"/>
  <c r="D88" i="4"/>
  <c r="D72" i="4"/>
  <c r="D56" i="4"/>
  <c r="D40" i="4"/>
  <c r="D350" i="4"/>
  <c r="D318" i="4"/>
  <c r="D396" i="4"/>
  <c r="D378" i="4"/>
  <c r="D368" i="4"/>
  <c r="D356" i="4"/>
  <c r="D346" i="4"/>
  <c r="D294" i="4"/>
  <c r="D342" i="4"/>
  <c r="D310" i="4"/>
  <c r="D364" i="4"/>
  <c r="D394" i="4"/>
  <c r="D376" i="4"/>
  <c r="D366" i="4"/>
  <c r="D354" i="4"/>
  <c r="D344" i="4"/>
  <c r="D374" i="4"/>
  <c r="D334" i="4"/>
  <c r="D286" i="4"/>
  <c r="D322" i="4"/>
  <c r="D400" i="4"/>
  <c r="D372" i="4"/>
  <c r="D362" i="4"/>
  <c r="D352" i="4"/>
  <c r="D330" i="4"/>
  <c r="D298" i="4"/>
  <c r="D290" i="4"/>
  <c r="D6" i="4"/>
  <c r="D154" i="4"/>
  <c r="D152" i="4"/>
  <c r="D150" i="4"/>
  <c r="D146" i="4"/>
  <c r="D144" i="4"/>
  <c r="D142" i="4"/>
  <c r="D138" i="4"/>
  <c r="D136" i="4"/>
  <c r="D134" i="4"/>
  <c r="D130" i="4"/>
  <c r="D128" i="4"/>
  <c r="D126" i="4"/>
  <c r="D122" i="4"/>
  <c r="D118" i="4"/>
  <c r="D114" i="4"/>
  <c r="D112" i="4"/>
  <c r="D110" i="4"/>
  <c r="D106" i="4"/>
  <c r="D102" i="4"/>
  <c r="D98" i="4"/>
  <c r="D90" i="4"/>
  <c r="D20" i="4"/>
  <c r="D16" i="4"/>
  <c r="D18" i="4"/>
  <c r="D86" i="4"/>
  <c r="D82" i="4"/>
  <c r="D78" i="4"/>
  <c r="D74" i="4"/>
  <c r="D70" i="4"/>
  <c r="D66" i="4"/>
  <c r="D62" i="4"/>
  <c r="D58" i="4"/>
  <c r="D54" i="4"/>
  <c r="D50" i="4"/>
  <c r="D46" i="4"/>
  <c r="D42" i="4"/>
  <c r="D38" i="4"/>
  <c r="D34" i="4"/>
  <c r="D30" i="4"/>
  <c r="D26" i="4"/>
  <c r="D258" i="4"/>
  <c r="D254" i="4"/>
  <c r="D246" i="4"/>
  <c r="D10" i="4"/>
  <c r="D22" i="4"/>
  <c r="D12" i="4"/>
  <c r="D8" i="4"/>
  <c r="D4" i="4"/>
  <c r="D2" i="4"/>
  <c r="D24" i="4"/>
  <c r="D202" i="4"/>
  <c r="D204" i="4"/>
  <c r="D206" i="4"/>
  <c r="D190" i="4"/>
  <c r="D182" i="4"/>
  <c r="D180" i="4"/>
  <c r="D14" i="4"/>
  <c r="D170" i="4"/>
  <c r="D94" i="4"/>
  <c r="D60" i="4"/>
  <c r="D340" i="4"/>
  <c r="D336" i="4"/>
  <c r="D332" i="4"/>
  <c r="D328" i="4"/>
  <c r="D324" i="4"/>
  <c r="D320" i="4"/>
  <c r="D316" i="4"/>
  <c r="D312" i="4"/>
  <c r="D308" i="4"/>
  <c r="D300" i="4"/>
  <c r="D296" i="4"/>
  <c r="D292" i="4"/>
  <c r="D288" i="4"/>
  <c r="D284" i="4"/>
  <c r="D280" i="4"/>
  <c r="D276" i="4"/>
  <c r="D272" i="4"/>
  <c r="D268" i="4"/>
  <c r="D264" i="4"/>
  <c r="D260" i="4"/>
  <c r="D256" i="4"/>
  <c r="D252" i="4"/>
  <c r="D248" i="4"/>
  <c r="D244" i="4"/>
  <c r="D240" i="4"/>
  <c r="D236" i="4"/>
  <c r="D401" i="4"/>
  <c r="D399" i="4"/>
  <c r="D397" i="4"/>
  <c r="D395" i="4"/>
  <c r="D393" i="4"/>
  <c r="D379" i="4"/>
  <c r="D377" i="4"/>
  <c r="D375" i="4"/>
  <c r="D373" i="4"/>
  <c r="D371" i="4"/>
  <c r="D369" i="4"/>
  <c r="D367" i="4"/>
  <c r="D365" i="4"/>
  <c r="D363" i="4"/>
  <c r="D361" i="4"/>
  <c r="D359" i="4"/>
  <c r="D357" i="4"/>
  <c r="D355" i="4"/>
  <c r="D353" i="4"/>
  <c r="D351" i="4"/>
  <c r="D349" i="4"/>
  <c r="D347" i="4"/>
  <c r="D345" i="4"/>
  <c r="D343" i="4"/>
  <c r="D341" i="4"/>
  <c r="D339" i="4"/>
  <c r="D337" i="4"/>
  <c r="D335" i="4"/>
  <c r="D333" i="4"/>
  <c r="D331" i="4"/>
  <c r="D329" i="4"/>
  <c r="D327" i="4"/>
  <c r="D325" i="4"/>
  <c r="D323" i="4"/>
  <c r="D321" i="4"/>
  <c r="D319" i="4"/>
  <c r="D317" i="4"/>
  <c r="D315" i="4"/>
  <c r="D313" i="4"/>
  <c r="D309" i="4"/>
  <c r="D305" i="4"/>
  <c r="D299" i="4"/>
  <c r="D297" i="4"/>
  <c r="D295" i="4"/>
  <c r="D293" i="4"/>
  <c r="D291" i="4"/>
  <c r="D289" i="4"/>
  <c r="D287" i="4"/>
  <c r="D285" i="4"/>
  <c r="D283" i="4"/>
  <c r="D281" i="4"/>
  <c r="D279" i="4"/>
  <c r="D277" i="4"/>
  <c r="D275" i="4"/>
  <c r="D273" i="4"/>
  <c r="D271" i="4"/>
  <c r="D269" i="4"/>
  <c r="D267" i="4"/>
  <c r="D265" i="4"/>
  <c r="D263" i="4"/>
  <c r="D261" i="4"/>
  <c r="D259" i="4"/>
  <c r="D257" i="4"/>
  <c r="D255" i="4"/>
  <c r="D253" i="4"/>
  <c r="D251" i="4"/>
  <c r="D249" i="4"/>
  <c r="D247" i="4"/>
  <c r="D245" i="4"/>
  <c r="D243" i="4"/>
  <c r="D241" i="4"/>
  <c r="D239" i="4"/>
  <c r="D237" i="4"/>
  <c r="D235" i="4"/>
  <c r="D233" i="4"/>
  <c r="D231" i="4"/>
  <c r="D229" i="4"/>
  <c r="D227" i="4"/>
  <c r="D225" i="4"/>
  <c r="D223" i="4"/>
  <c r="D221" i="4"/>
  <c r="D219" i="4"/>
  <c r="D217" i="4"/>
  <c r="D215" i="4"/>
  <c r="D213" i="4"/>
  <c r="D211" i="4"/>
  <c r="D209" i="4"/>
  <c r="D207" i="4"/>
  <c r="D205" i="4"/>
  <c r="D203" i="4"/>
  <c r="D201" i="4"/>
  <c r="D199" i="4"/>
  <c r="D197" i="4"/>
  <c r="D195" i="4"/>
  <c r="D193" i="4"/>
  <c r="D191" i="4"/>
  <c r="D189" i="4"/>
  <c r="D187" i="4"/>
  <c r="D185" i="4"/>
  <c r="D183" i="4"/>
  <c r="D181" i="4"/>
  <c r="D179" i="4"/>
  <c r="D177" i="4"/>
  <c r="D175" i="4"/>
  <c r="D173" i="4"/>
  <c r="D171" i="4"/>
  <c r="D169" i="4"/>
  <c r="D167" i="4"/>
  <c r="D165" i="4"/>
  <c r="D163" i="4"/>
  <c r="D161" i="4"/>
  <c r="D159" i="4"/>
  <c r="D157" i="4"/>
  <c r="D155" i="4"/>
  <c r="D153" i="4"/>
  <c r="D151" i="4"/>
  <c r="D149" i="4"/>
  <c r="D147" i="4"/>
  <c r="D145" i="4"/>
  <c r="D143" i="4"/>
  <c r="D141" i="4"/>
  <c r="D139" i="4"/>
  <c r="D137" i="4"/>
  <c r="D135" i="4"/>
  <c r="D133" i="4"/>
  <c r="D131" i="4"/>
  <c r="D129" i="4"/>
  <c r="D127" i="4"/>
  <c r="D125" i="4"/>
  <c r="D123" i="4"/>
  <c r="D121" i="4"/>
  <c r="D119" i="4"/>
  <c r="D117" i="4"/>
  <c r="D115" i="4"/>
  <c r="D113" i="4"/>
  <c r="D111" i="4"/>
  <c r="D109" i="4"/>
  <c r="D107" i="4"/>
  <c r="D105" i="4"/>
  <c r="D103" i="4"/>
  <c r="D101" i="4"/>
  <c r="D99" i="4"/>
  <c r="D97" i="4"/>
  <c r="D95" i="4"/>
  <c r="D93" i="4"/>
  <c r="D91" i="4"/>
  <c r="D89" i="4"/>
  <c r="D87" i="4"/>
  <c r="D85" i="4"/>
  <c r="D83" i="4"/>
  <c r="D81" i="4"/>
  <c r="D79" i="4"/>
  <c r="D77" i="4"/>
  <c r="D75" i="4"/>
  <c r="D73" i="4"/>
  <c r="D71" i="4"/>
  <c r="D69" i="4"/>
  <c r="D67" i="4"/>
  <c r="D65" i="4"/>
  <c r="D63" i="4"/>
  <c r="D61" i="4"/>
  <c r="D59" i="4"/>
  <c r="D57" i="4"/>
  <c r="D55" i="4"/>
  <c r="D53" i="4"/>
  <c r="D51" i="4"/>
  <c r="D49" i="4"/>
  <c r="D47" i="4"/>
  <c r="D45" i="4"/>
  <c r="D43" i="4"/>
  <c r="D41" i="4"/>
  <c r="D39" i="4"/>
  <c r="D37" i="4"/>
  <c r="D35" i="4"/>
  <c r="D33" i="4"/>
  <c r="D31" i="4"/>
  <c r="D29" i="4"/>
  <c r="D27" i="4"/>
  <c r="D25" i="4"/>
  <c r="D23" i="4"/>
  <c r="D21" i="4"/>
  <c r="D19" i="4"/>
  <c r="D17" i="4"/>
  <c r="D15" i="4"/>
  <c r="D13" i="4"/>
  <c r="D11" i="4"/>
  <c r="D9" i="4"/>
  <c r="D7" i="4"/>
  <c r="D5" i="4"/>
  <c r="D3" i="4"/>
  <c r="O9" i="1"/>
  <c r="O10" i="1"/>
  <c r="O11" i="1"/>
  <c r="O13" i="1"/>
  <c r="O14" i="1"/>
  <c r="O15" i="1"/>
  <c r="O16" i="1"/>
  <c r="O18" i="1"/>
  <c r="O21" i="1"/>
  <c r="O22" i="1"/>
  <c r="O24" i="1"/>
  <c r="O25" i="1"/>
  <c r="O27" i="1"/>
  <c r="O30" i="1"/>
  <c r="O31" i="1"/>
  <c r="O32" i="1"/>
  <c r="O33" i="1"/>
  <c r="O35" i="1"/>
  <c r="O36" i="1"/>
  <c r="O38" i="1"/>
  <c r="O39" i="1"/>
  <c r="O40" i="1"/>
  <c r="O42" i="1"/>
  <c r="O43" i="1"/>
  <c r="O44" i="1"/>
  <c r="O45" i="1"/>
  <c r="O46" i="1"/>
  <c r="O47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3" i="1"/>
  <c r="O384" i="1"/>
  <c r="O385" i="1"/>
  <c r="O386" i="1"/>
  <c r="O387" i="1"/>
  <c r="O388" i="1"/>
  <c r="O389" i="1"/>
  <c r="O390" i="1"/>
  <c r="O391" i="1"/>
  <c r="O393" i="1"/>
  <c r="O394" i="1"/>
  <c r="O395" i="1"/>
  <c r="O396" i="1"/>
  <c r="O397" i="1"/>
  <c r="O398" i="1"/>
  <c r="O399" i="1"/>
  <c r="O401" i="1"/>
  <c r="O402" i="1"/>
  <c r="O403" i="1"/>
  <c r="O404" i="1"/>
  <c r="O405" i="1"/>
  <c r="O407" i="1"/>
  <c r="O2" i="1"/>
  <c r="B320" i="1"/>
  <c r="C353" i="1"/>
  <c r="O353" i="1" s="1"/>
  <c r="C352" i="1"/>
  <c r="O352" i="1" s="1"/>
  <c r="C209" i="1"/>
  <c r="O208" i="1" s="1"/>
  <c r="C48" i="1"/>
  <c r="O48" i="1" s="1"/>
  <c r="C41" i="1"/>
  <c r="O41" i="1" s="1"/>
  <c r="C37" i="1"/>
  <c r="O37" i="1" s="1"/>
  <c r="C34" i="1"/>
  <c r="O34" i="1" s="1"/>
  <c r="C29" i="1"/>
  <c r="O29" i="1" s="1"/>
  <c r="C28" i="1"/>
  <c r="O28" i="1" s="1"/>
  <c r="C26" i="1"/>
  <c r="O26" i="1" s="1"/>
  <c r="C23" i="1"/>
  <c r="O23" i="1" s="1"/>
  <c r="C20" i="1"/>
  <c r="O20" i="1" s="1"/>
  <c r="C19" i="1"/>
  <c r="O19" i="1" s="1"/>
  <c r="C17" i="1"/>
  <c r="O17" i="1" s="1"/>
  <c r="C12" i="1"/>
  <c r="O12" i="1" s="1"/>
  <c r="M3" i="1"/>
  <c r="M1" i="1"/>
  <c r="J2" i="1"/>
  <c r="K2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16" i="1"/>
  <c r="K116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9" i="1"/>
  <c r="K169" i="1"/>
  <c r="J170" i="1"/>
  <c r="K170" i="1"/>
  <c r="J171" i="1"/>
  <c r="K171" i="1"/>
  <c r="J172" i="1"/>
  <c r="K172" i="1"/>
  <c r="J173" i="1"/>
  <c r="K173" i="1"/>
  <c r="J174" i="1"/>
  <c r="K174" i="1"/>
  <c r="J175" i="1"/>
  <c r="K175" i="1"/>
  <c r="J176" i="1"/>
  <c r="K176" i="1"/>
  <c r="J177" i="1"/>
  <c r="K177" i="1"/>
  <c r="J178" i="1"/>
  <c r="K178" i="1"/>
  <c r="J179" i="1"/>
  <c r="K179" i="1"/>
  <c r="J180" i="1"/>
  <c r="K180" i="1"/>
  <c r="J181" i="1"/>
  <c r="K181" i="1"/>
  <c r="J182" i="1"/>
  <c r="K182" i="1"/>
  <c r="J183" i="1"/>
  <c r="K183" i="1"/>
  <c r="J184" i="1"/>
  <c r="K184" i="1"/>
  <c r="J185" i="1"/>
  <c r="K185" i="1"/>
  <c r="J186" i="1"/>
  <c r="K186" i="1"/>
  <c r="J188" i="1"/>
  <c r="K188" i="1"/>
  <c r="J189" i="1"/>
  <c r="K189" i="1"/>
  <c r="J190" i="1"/>
  <c r="K190" i="1"/>
  <c r="J191" i="1"/>
  <c r="K191" i="1"/>
  <c r="J192" i="1"/>
  <c r="K192" i="1"/>
  <c r="J193" i="1"/>
  <c r="K193" i="1"/>
  <c r="J194" i="1"/>
  <c r="K194" i="1"/>
  <c r="J195" i="1"/>
  <c r="K195" i="1"/>
  <c r="J196" i="1"/>
  <c r="K196" i="1"/>
  <c r="J197" i="1"/>
  <c r="K197" i="1"/>
  <c r="J198" i="1"/>
  <c r="K198" i="1"/>
  <c r="J199" i="1"/>
  <c r="K199" i="1"/>
  <c r="J200" i="1"/>
  <c r="K200" i="1"/>
  <c r="J201" i="1"/>
  <c r="K201" i="1"/>
  <c r="J202" i="1"/>
  <c r="K202" i="1"/>
  <c r="J203" i="1"/>
  <c r="K203" i="1"/>
  <c r="J204" i="1"/>
  <c r="K204" i="1"/>
  <c r="J205" i="1"/>
  <c r="K205" i="1"/>
  <c r="J206" i="1"/>
  <c r="K206" i="1"/>
  <c r="J207" i="1"/>
  <c r="K207" i="1"/>
  <c r="J208" i="1"/>
  <c r="K208" i="1"/>
  <c r="J209" i="1"/>
  <c r="K209" i="1"/>
  <c r="J210" i="1"/>
  <c r="K210" i="1"/>
  <c r="J211" i="1"/>
  <c r="K211" i="1"/>
  <c r="J212" i="1"/>
  <c r="K212" i="1"/>
  <c r="J213" i="1"/>
  <c r="K213" i="1"/>
  <c r="J214" i="1"/>
  <c r="K214" i="1"/>
  <c r="J215" i="1"/>
  <c r="K215" i="1"/>
  <c r="J216" i="1"/>
  <c r="K216" i="1"/>
  <c r="J217" i="1"/>
  <c r="K217" i="1"/>
  <c r="J218" i="1"/>
  <c r="K218" i="1"/>
  <c r="J219" i="1"/>
  <c r="K219" i="1"/>
  <c r="J220" i="1"/>
  <c r="K220" i="1"/>
  <c r="J221" i="1"/>
  <c r="K221" i="1"/>
  <c r="J222" i="1"/>
  <c r="K222" i="1"/>
  <c r="J223" i="1"/>
  <c r="K223" i="1"/>
  <c r="J224" i="1"/>
  <c r="K224" i="1"/>
  <c r="J225" i="1"/>
  <c r="K225" i="1"/>
  <c r="J226" i="1"/>
  <c r="K226" i="1"/>
  <c r="J227" i="1"/>
  <c r="K227" i="1"/>
  <c r="J228" i="1"/>
  <c r="K228" i="1"/>
  <c r="J229" i="1"/>
  <c r="K229" i="1"/>
  <c r="J230" i="1"/>
  <c r="K230" i="1"/>
  <c r="J231" i="1"/>
  <c r="K231" i="1"/>
  <c r="J232" i="1"/>
  <c r="K232" i="1"/>
  <c r="J233" i="1"/>
  <c r="K233" i="1"/>
  <c r="J234" i="1"/>
  <c r="K234" i="1"/>
  <c r="J235" i="1"/>
  <c r="K235" i="1"/>
  <c r="J236" i="1"/>
  <c r="K236" i="1"/>
  <c r="J237" i="1"/>
  <c r="K237" i="1"/>
  <c r="J238" i="1"/>
  <c r="K238" i="1"/>
  <c r="J239" i="1"/>
  <c r="K239" i="1"/>
  <c r="J240" i="1"/>
  <c r="K240" i="1"/>
  <c r="J241" i="1"/>
  <c r="K241" i="1"/>
  <c r="J242" i="1"/>
  <c r="K242" i="1"/>
  <c r="J243" i="1"/>
  <c r="K243" i="1"/>
  <c r="J244" i="1"/>
  <c r="K244" i="1"/>
  <c r="J245" i="1"/>
  <c r="K245" i="1"/>
  <c r="J246" i="1"/>
  <c r="K246" i="1"/>
  <c r="J247" i="1"/>
  <c r="K247" i="1"/>
  <c r="J248" i="1"/>
  <c r="K248" i="1"/>
  <c r="J249" i="1"/>
  <c r="K249" i="1"/>
  <c r="J250" i="1"/>
  <c r="K250" i="1"/>
  <c r="J251" i="1"/>
  <c r="K251" i="1"/>
  <c r="J252" i="1"/>
  <c r="K252" i="1"/>
  <c r="J253" i="1"/>
  <c r="K253" i="1"/>
  <c r="J254" i="1"/>
  <c r="K254" i="1"/>
  <c r="J255" i="1"/>
  <c r="K255" i="1"/>
  <c r="J256" i="1"/>
  <c r="K256" i="1"/>
  <c r="J257" i="1"/>
  <c r="K257" i="1"/>
  <c r="J258" i="1"/>
  <c r="K258" i="1"/>
  <c r="J259" i="1"/>
  <c r="K259" i="1"/>
  <c r="J260" i="1"/>
  <c r="K260" i="1"/>
  <c r="J261" i="1"/>
  <c r="K261" i="1"/>
  <c r="J265" i="1"/>
  <c r="K265" i="1"/>
  <c r="J266" i="1"/>
  <c r="K266" i="1"/>
  <c r="J267" i="1"/>
  <c r="K267" i="1"/>
  <c r="J268" i="1"/>
  <c r="K268" i="1"/>
  <c r="J269" i="1"/>
  <c r="K269" i="1"/>
  <c r="J270" i="1"/>
  <c r="K270" i="1"/>
  <c r="J271" i="1"/>
  <c r="K271" i="1"/>
  <c r="J272" i="1"/>
  <c r="K272" i="1"/>
  <c r="J273" i="1"/>
  <c r="K273" i="1"/>
  <c r="J274" i="1"/>
  <c r="K274" i="1"/>
  <c r="J275" i="1"/>
  <c r="K275" i="1"/>
  <c r="J276" i="1"/>
  <c r="K276" i="1"/>
  <c r="J277" i="1"/>
  <c r="K277" i="1"/>
  <c r="J278" i="1"/>
  <c r="K278" i="1"/>
  <c r="J279" i="1"/>
  <c r="K279" i="1"/>
  <c r="J280" i="1"/>
  <c r="K280" i="1"/>
  <c r="J281" i="1"/>
  <c r="K281" i="1"/>
  <c r="J282" i="1"/>
  <c r="K282" i="1"/>
  <c r="J283" i="1"/>
  <c r="K283" i="1"/>
  <c r="J284" i="1"/>
  <c r="K284" i="1"/>
  <c r="J285" i="1"/>
  <c r="K285" i="1"/>
  <c r="J286" i="1"/>
  <c r="K286" i="1"/>
  <c r="J287" i="1"/>
  <c r="K287" i="1"/>
  <c r="J288" i="1"/>
  <c r="K288" i="1"/>
  <c r="J289" i="1"/>
  <c r="K289" i="1"/>
  <c r="J290" i="1"/>
  <c r="K290" i="1"/>
  <c r="J291" i="1"/>
  <c r="K291" i="1"/>
  <c r="J292" i="1"/>
  <c r="K292" i="1"/>
  <c r="J293" i="1"/>
  <c r="K293" i="1"/>
  <c r="J294" i="1"/>
  <c r="K294" i="1"/>
  <c r="J295" i="1"/>
  <c r="K295" i="1"/>
  <c r="J296" i="1"/>
  <c r="K296" i="1"/>
  <c r="J297" i="1"/>
  <c r="K297" i="1"/>
  <c r="J298" i="1"/>
  <c r="K298" i="1"/>
  <c r="J299" i="1"/>
  <c r="K299" i="1"/>
  <c r="J300" i="1"/>
  <c r="K300" i="1"/>
  <c r="J301" i="1"/>
  <c r="K301" i="1"/>
  <c r="J302" i="1"/>
  <c r="K302" i="1"/>
  <c r="J304" i="1"/>
  <c r="K304" i="1"/>
  <c r="J305" i="1"/>
  <c r="K305" i="1"/>
  <c r="J306" i="1"/>
  <c r="K306" i="1"/>
  <c r="J307" i="1"/>
  <c r="K307" i="1"/>
  <c r="J308" i="1"/>
  <c r="K308" i="1"/>
  <c r="J309" i="1"/>
  <c r="K309" i="1"/>
  <c r="J310" i="1"/>
  <c r="K310" i="1"/>
  <c r="J311" i="1"/>
  <c r="K311" i="1"/>
  <c r="J312" i="1"/>
  <c r="K312" i="1"/>
  <c r="J313" i="1"/>
  <c r="K313" i="1"/>
  <c r="J314" i="1"/>
  <c r="K314" i="1"/>
  <c r="J315" i="1"/>
  <c r="K315" i="1"/>
  <c r="J316" i="1"/>
  <c r="K316" i="1"/>
  <c r="J317" i="1"/>
  <c r="K317" i="1"/>
  <c r="J318" i="1"/>
  <c r="K318" i="1"/>
  <c r="J319" i="1"/>
  <c r="K319" i="1"/>
  <c r="J320" i="1"/>
  <c r="K320" i="1"/>
  <c r="J321" i="1"/>
  <c r="K321" i="1"/>
  <c r="J322" i="1"/>
  <c r="K322" i="1"/>
  <c r="J323" i="1"/>
  <c r="K323" i="1"/>
  <c r="J324" i="1"/>
  <c r="K324" i="1"/>
  <c r="J325" i="1"/>
  <c r="K325" i="1"/>
  <c r="J326" i="1"/>
  <c r="K326" i="1"/>
  <c r="J327" i="1"/>
  <c r="K327" i="1"/>
  <c r="J328" i="1"/>
  <c r="K328" i="1"/>
  <c r="J329" i="1"/>
  <c r="K329" i="1"/>
  <c r="J330" i="1"/>
  <c r="K330" i="1"/>
  <c r="J331" i="1"/>
  <c r="K331" i="1"/>
  <c r="J332" i="1"/>
  <c r="K332" i="1"/>
  <c r="J333" i="1"/>
  <c r="K333" i="1"/>
  <c r="J334" i="1"/>
  <c r="K334" i="1"/>
  <c r="J335" i="1"/>
  <c r="K335" i="1"/>
  <c r="J336" i="1"/>
  <c r="K336" i="1"/>
  <c r="J337" i="1"/>
  <c r="K337" i="1"/>
  <c r="J338" i="1"/>
  <c r="K338" i="1"/>
  <c r="J339" i="1"/>
  <c r="K339" i="1"/>
  <c r="J340" i="1"/>
  <c r="K340" i="1"/>
  <c r="J341" i="1"/>
  <c r="K341" i="1"/>
  <c r="J342" i="1"/>
  <c r="K342" i="1"/>
  <c r="J343" i="1"/>
  <c r="K343" i="1"/>
  <c r="J344" i="1"/>
  <c r="K344" i="1"/>
  <c r="J345" i="1"/>
  <c r="K345" i="1"/>
  <c r="J346" i="1"/>
  <c r="K346" i="1"/>
  <c r="J347" i="1"/>
  <c r="K347" i="1"/>
  <c r="J348" i="1"/>
  <c r="K348" i="1"/>
  <c r="J349" i="1"/>
  <c r="K349" i="1"/>
  <c r="J350" i="1"/>
  <c r="K350" i="1"/>
  <c r="J351" i="1"/>
  <c r="K351" i="1"/>
  <c r="J352" i="1"/>
  <c r="K352" i="1"/>
  <c r="J353" i="1"/>
  <c r="K353" i="1"/>
  <c r="J354" i="1"/>
  <c r="K354" i="1"/>
  <c r="J355" i="1"/>
  <c r="K355" i="1"/>
  <c r="J356" i="1"/>
  <c r="K356" i="1"/>
  <c r="J357" i="1"/>
  <c r="K357" i="1"/>
  <c r="J358" i="1"/>
  <c r="K358" i="1"/>
  <c r="J359" i="1"/>
  <c r="K359" i="1"/>
  <c r="J360" i="1"/>
  <c r="K360" i="1"/>
  <c r="J361" i="1"/>
  <c r="K361" i="1"/>
  <c r="J362" i="1"/>
  <c r="K362" i="1"/>
  <c r="J363" i="1"/>
  <c r="K363" i="1"/>
  <c r="J364" i="1"/>
  <c r="K364" i="1"/>
  <c r="J365" i="1"/>
  <c r="K365" i="1"/>
  <c r="J366" i="1"/>
  <c r="K366" i="1"/>
  <c r="J367" i="1"/>
  <c r="K367" i="1"/>
  <c r="J368" i="1"/>
  <c r="K368" i="1"/>
  <c r="J369" i="1"/>
  <c r="K369" i="1"/>
  <c r="J370" i="1"/>
  <c r="K370" i="1"/>
  <c r="J371" i="1"/>
  <c r="K371" i="1"/>
  <c r="J372" i="1"/>
  <c r="K372" i="1"/>
  <c r="J373" i="1"/>
  <c r="K373" i="1"/>
  <c r="J374" i="1"/>
  <c r="K374" i="1"/>
  <c r="J375" i="1"/>
  <c r="K375" i="1"/>
  <c r="J376" i="1"/>
  <c r="K376" i="1"/>
  <c r="J377" i="1"/>
  <c r="K377" i="1"/>
  <c r="J378" i="1"/>
  <c r="K378" i="1"/>
  <c r="J379" i="1"/>
  <c r="K379" i="1"/>
  <c r="J380" i="1"/>
  <c r="K380" i="1"/>
  <c r="J381" i="1"/>
  <c r="K381" i="1"/>
  <c r="J383" i="1"/>
  <c r="K383" i="1"/>
  <c r="J384" i="1"/>
  <c r="K384" i="1"/>
  <c r="J385" i="1"/>
  <c r="K385" i="1"/>
  <c r="J386" i="1"/>
  <c r="K386" i="1"/>
  <c r="J387" i="1"/>
  <c r="K387" i="1"/>
  <c r="J388" i="1"/>
  <c r="K388" i="1"/>
  <c r="J389" i="1"/>
  <c r="K389" i="1"/>
  <c r="J390" i="1"/>
  <c r="K390" i="1"/>
  <c r="J391" i="1"/>
  <c r="K391" i="1"/>
  <c r="J393" i="1"/>
  <c r="K393" i="1"/>
  <c r="J394" i="1"/>
  <c r="K394" i="1"/>
  <c r="J395" i="1"/>
  <c r="K395" i="1"/>
  <c r="J396" i="1"/>
  <c r="K396" i="1"/>
  <c r="J397" i="1"/>
  <c r="K397" i="1"/>
  <c r="J398" i="1"/>
  <c r="K398" i="1"/>
  <c r="J399" i="1"/>
  <c r="K399" i="1"/>
  <c r="J401" i="1"/>
  <c r="K401" i="1"/>
  <c r="J402" i="1"/>
  <c r="K402" i="1"/>
  <c r="J403" i="1"/>
  <c r="K403" i="1"/>
  <c r="J404" i="1"/>
  <c r="K404" i="1"/>
  <c r="J405" i="1"/>
  <c r="K405" i="1"/>
  <c r="J406" i="1"/>
  <c r="K406" i="1"/>
  <c r="J407" i="1"/>
  <c r="K407" i="1"/>
  <c r="J408" i="1"/>
  <c r="K408" i="1"/>
  <c r="J409" i="1"/>
  <c r="K409" i="1"/>
  <c r="J410" i="1"/>
  <c r="K410" i="1"/>
  <c r="J411" i="1"/>
  <c r="K411" i="1"/>
  <c r="J412" i="1"/>
  <c r="K412" i="1"/>
  <c r="C410" i="1"/>
  <c r="O412" i="1" s="1"/>
  <c r="C409" i="1"/>
  <c r="O411" i="1" s="1"/>
  <c r="C408" i="1"/>
  <c r="O410" i="1" s="1"/>
  <c r="C407" i="1"/>
  <c r="O409" i="1" s="1"/>
  <c r="C406" i="1"/>
  <c r="O408" i="1" s="1"/>
  <c r="C404" i="1"/>
  <c r="O406" i="1" s="1"/>
  <c r="L59" i="1"/>
  <c r="L224" i="1"/>
  <c r="L314" i="1"/>
  <c r="L349" i="1"/>
  <c r="L380" i="1"/>
  <c r="L407" i="1"/>
  <c r="C4" i="1"/>
  <c r="O4" i="1" s="1"/>
  <c r="C5" i="1"/>
  <c r="O5" i="1" s="1"/>
  <c r="C6" i="1"/>
  <c r="O6" i="1" s="1"/>
  <c r="C7" i="1"/>
  <c r="O7" i="1" s="1"/>
  <c r="C8" i="1"/>
  <c r="O8" i="1" s="1"/>
  <c r="C3" i="1"/>
  <c r="O3" i="1" s="1"/>
  <c r="L121" i="1" l="1"/>
  <c r="M121" i="1"/>
  <c r="L165" i="1"/>
  <c r="M90" i="1"/>
  <c r="L89" i="1"/>
  <c r="B301" i="4"/>
  <c r="D301" i="4" s="1"/>
  <c r="L392" i="1"/>
  <c r="M392" i="1"/>
  <c r="L376" i="1"/>
  <c r="L345" i="1"/>
  <c r="L298" i="1"/>
  <c r="L157" i="1"/>
  <c r="M333" i="1"/>
  <c r="L365" i="1"/>
  <c r="L330" i="1"/>
  <c r="L293" i="1"/>
  <c r="L136" i="1"/>
  <c r="M302" i="1"/>
  <c r="L394" i="1"/>
  <c r="L389" i="1"/>
  <c r="L361" i="1"/>
  <c r="L319" i="1"/>
  <c r="L252" i="1"/>
  <c r="L76" i="1"/>
  <c r="M96" i="1"/>
  <c r="L385" i="1"/>
  <c r="L372" i="1"/>
  <c r="L357" i="1"/>
  <c r="L341" i="1"/>
  <c r="L327" i="1"/>
  <c r="L310" i="1"/>
  <c r="L288" i="1"/>
  <c r="L195" i="1"/>
  <c r="L112" i="1"/>
  <c r="L40" i="1"/>
  <c r="M383" i="1"/>
  <c r="M251" i="1"/>
  <c r="L411" i="1"/>
  <c r="L397" i="1"/>
  <c r="L384" i="1"/>
  <c r="L368" i="1"/>
  <c r="L353" i="1"/>
  <c r="L337" i="1"/>
  <c r="L323" i="1"/>
  <c r="L305" i="1"/>
  <c r="L277" i="1"/>
  <c r="L178" i="1"/>
  <c r="L95" i="1"/>
  <c r="L10" i="1"/>
  <c r="M361" i="1"/>
  <c r="M183" i="1"/>
  <c r="L375" i="1"/>
  <c r="M56" i="1"/>
  <c r="D302" i="4"/>
  <c r="L379" i="1"/>
  <c r="L371" i="1"/>
  <c r="L367" i="1"/>
  <c r="L364" i="1"/>
  <c r="L360" i="1"/>
  <c r="L356" i="1"/>
  <c r="L352" i="1"/>
  <c r="L348" i="1"/>
  <c r="L344" i="1"/>
  <c r="L340" i="1"/>
  <c r="L336" i="1"/>
  <c r="L333" i="1"/>
  <c r="L326" i="1"/>
  <c r="L322" i="1"/>
  <c r="L318" i="1"/>
  <c r="L313" i="1"/>
  <c r="L309" i="1"/>
  <c r="L302" i="1"/>
  <c r="L297" i="1"/>
  <c r="L292" i="1"/>
  <c r="L286" i="1"/>
  <c r="L273" i="1"/>
  <c r="L248" i="1"/>
  <c r="L209" i="1"/>
  <c r="L191" i="1"/>
  <c r="L174" i="1"/>
  <c r="L153" i="1"/>
  <c r="L132" i="1"/>
  <c r="L107" i="1"/>
  <c r="L91" i="1"/>
  <c r="L72" i="1"/>
  <c r="L54" i="1"/>
  <c r="L32" i="1"/>
  <c r="M399" i="1"/>
  <c r="M377" i="1"/>
  <c r="M356" i="1"/>
  <c r="M326" i="1"/>
  <c r="M292" i="1"/>
  <c r="M235" i="1"/>
  <c r="M162" i="1"/>
  <c r="M77" i="1"/>
  <c r="L410" i="1"/>
  <c r="L401" i="1"/>
  <c r="L393" i="1"/>
  <c r="L409" i="1"/>
  <c r="L405" i="1"/>
  <c r="L403" i="1"/>
  <c r="L399" i="1"/>
  <c r="L391" i="1"/>
  <c r="L383" i="1"/>
  <c r="L374" i="1"/>
  <c r="L363" i="1"/>
  <c r="L359" i="1"/>
  <c r="L355" i="1"/>
  <c r="L351" i="1"/>
  <c r="L347" i="1"/>
  <c r="L343" i="1"/>
  <c r="L339" i="1"/>
  <c r="L335" i="1"/>
  <c r="L332" i="1"/>
  <c r="L329" i="1"/>
  <c r="L325" i="1"/>
  <c r="L321" i="1"/>
  <c r="L317" i="1"/>
  <c r="L307" i="1"/>
  <c r="L301" i="1"/>
  <c r="L296" i="1"/>
  <c r="L290" i="1"/>
  <c r="L284" i="1"/>
  <c r="L269" i="1"/>
  <c r="L232" i="1"/>
  <c r="L204" i="1"/>
  <c r="L186" i="1"/>
  <c r="L170" i="1"/>
  <c r="L148" i="1"/>
  <c r="L126" i="1"/>
  <c r="L103" i="1"/>
  <c r="L84" i="1"/>
  <c r="L67" i="1"/>
  <c r="L50" i="1"/>
  <c r="L25" i="1"/>
  <c r="M411" i="1"/>
  <c r="M371" i="1"/>
  <c r="M348" i="1"/>
  <c r="M318" i="1"/>
  <c r="M283" i="1"/>
  <c r="M219" i="1"/>
  <c r="M141" i="1"/>
  <c r="D304" i="4"/>
  <c r="D303" i="4"/>
  <c r="M4" i="1"/>
  <c r="M12" i="1"/>
  <c r="M18" i="1"/>
  <c r="M25" i="1"/>
  <c r="M32" i="1"/>
  <c r="M38" i="1"/>
  <c r="M44" i="1"/>
  <c r="M51" i="1"/>
  <c r="M57" i="1"/>
  <c r="M63" i="1"/>
  <c r="M67" i="1"/>
  <c r="M74" i="1"/>
  <c r="M78" i="1"/>
  <c r="M82" i="1"/>
  <c r="M86" i="1"/>
  <c r="M93" i="1"/>
  <c r="M97" i="1"/>
  <c r="M101" i="1"/>
  <c r="M105" i="1"/>
  <c r="M109" i="1"/>
  <c r="M114" i="1"/>
  <c r="M125" i="1"/>
  <c r="M131" i="1"/>
  <c r="M137" i="1"/>
  <c r="M142" i="1"/>
  <c r="M148" i="1"/>
  <c r="M153" i="1"/>
  <c r="M159" i="1"/>
  <c r="M163" i="1"/>
  <c r="M172" i="1"/>
  <c r="M176" i="1"/>
  <c r="M180" i="1"/>
  <c r="M184" i="1"/>
  <c r="M189" i="1"/>
  <c r="M193" i="1"/>
  <c r="M197" i="1"/>
  <c r="M202" i="1"/>
  <c r="M206" i="1"/>
  <c r="M212" i="1"/>
  <c r="M216" i="1"/>
  <c r="M220" i="1"/>
  <c r="M224" i="1"/>
  <c r="M228" i="1"/>
  <c r="M232" i="1"/>
  <c r="M236" i="1"/>
  <c r="M240" i="1"/>
  <c r="M244" i="1"/>
  <c r="M248" i="1"/>
  <c r="M252" i="1"/>
  <c r="M256" i="1"/>
  <c r="M260" i="1"/>
  <c r="M267" i="1"/>
  <c r="M271" i="1"/>
  <c r="M275" i="1"/>
  <c r="M9" i="1"/>
  <c r="M13" i="1"/>
  <c r="M22" i="1"/>
  <c r="M29" i="1"/>
  <c r="M33" i="1"/>
  <c r="M40" i="1"/>
  <c r="M45" i="1"/>
  <c r="M53" i="1"/>
  <c r="M59" i="1"/>
  <c r="M64" i="1"/>
  <c r="M69" i="1"/>
  <c r="M75" i="1"/>
  <c r="M79" i="1"/>
  <c r="M83" i="1"/>
  <c r="M87" i="1"/>
  <c r="M94" i="1"/>
  <c r="M98" i="1"/>
  <c r="M102" i="1"/>
  <c r="M106" i="1"/>
  <c r="M110" i="1"/>
  <c r="M115" i="1"/>
  <c r="M126" i="1"/>
  <c r="M132" i="1"/>
  <c r="M138" i="1"/>
  <c r="M143" i="1"/>
  <c r="M149" i="1"/>
  <c r="M154" i="1"/>
  <c r="M160" i="1"/>
  <c r="M169" i="1"/>
  <c r="M173" i="1"/>
  <c r="M177" i="1"/>
  <c r="M181" i="1"/>
  <c r="M185" i="1"/>
  <c r="M190" i="1"/>
  <c r="M194" i="1"/>
  <c r="M198" i="1"/>
  <c r="M203" i="1"/>
  <c r="M207" i="1"/>
  <c r="M213" i="1"/>
  <c r="M217" i="1"/>
  <c r="M221" i="1"/>
  <c r="M225" i="1"/>
  <c r="M229" i="1"/>
  <c r="M233" i="1"/>
  <c r="M237" i="1"/>
  <c r="M241" i="1"/>
  <c r="M245" i="1"/>
  <c r="M249" i="1"/>
  <c r="M253" i="1"/>
  <c r="M257" i="1"/>
  <c r="M261" i="1"/>
  <c r="M268" i="1"/>
  <c r="M272" i="1"/>
  <c r="M276" i="1"/>
  <c r="M280" i="1"/>
  <c r="M286" i="1"/>
  <c r="M290" i="1"/>
  <c r="M295" i="1"/>
  <c r="M300" i="1"/>
  <c r="M305" i="1"/>
  <c r="M309" i="1"/>
  <c r="M316" i="1"/>
  <c r="M320" i="1"/>
  <c r="M324" i="1"/>
  <c r="M328" i="1"/>
  <c r="M331" i="1"/>
  <c r="M334" i="1"/>
  <c r="M338" i="1"/>
  <c r="M342" i="1"/>
  <c r="M346" i="1"/>
  <c r="M350" i="1"/>
  <c r="M354" i="1"/>
  <c r="M10" i="1"/>
  <c r="M15" i="1"/>
  <c r="M23" i="1"/>
  <c r="M30" i="1"/>
  <c r="M35" i="1"/>
  <c r="M42" i="1"/>
  <c r="M46" i="1"/>
  <c r="M55" i="1"/>
  <c r="M60" i="1"/>
  <c r="M65" i="1"/>
  <c r="M70" i="1"/>
  <c r="M76" i="1"/>
  <c r="M80" i="1"/>
  <c r="M84" i="1"/>
  <c r="M91" i="1"/>
  <c r="M95" i="1"/>
  <c r="M99" i="1"/>
  <c r="M103" i="1"/>
  <c r="M107" i="1"/>
  <c r="M111" i="1"/>
  <c r="M116" i="1"/>
  <c r="M128" i="1"/>
  <c r="M134" i="1"/>
  <c r="M139" i="1"/>
  <c r="M145" i="1"/>
  <c r="M150" i="1"/>
  <c r="M156" i="1"/>
  <c r="M161" i="1"/>
  <c r="M170" i="1"/>
  <c r="M174" i="1"/>
  <c r="M178" i="1"/>
  <c r="M182" i="1"/>
  <c r="M186" i="1"/>
  <c r="M191" i="1"/>
  <c r="M195" i="1"/>
  <c r="M199" i="1"/>
  <c r="M204" i="1"/>
  <c r="M209" i="1"/>
  <c r="M214" i="1"/>
  <c r="M218" i="1"/>
  <c r="M222" i="1"/>
  <c r="M226" i="1"/>
  <c r="M230" i="1"/>
  <c r="M234" i="1"/>
  <c r="M238" i="1"/>
  <c r="M242" i="1"/>
  <c r="M246" i="1"/>
  <c r="M250" i="1"/>
  <c r="M254" i="1"/>
  <c r="M258" i="1"/>
  <c r="M265" i="1"/>
  <c r="M269" i="1"/>
  <c r="M273" i="1"/>
  <c r="M277" i="1"/>
  <c r="M281" i="1"/>
  <c r="M287" i="1"/>
  <c r="M291" i="1"/>
  <c r="M296" i="1"/>
  <c r="M301" i="1"/>
  <c r="M306" i="1"/>
  <c r="M310" i="1"/>
  <c r="M313" i="1"/>
  <c r="M317" i="1"/>
  <c r="M321" i="1"/>
  <c r="M325" i="1"/>
  <c r="M329" i="1"/>
  <c r="M332" i="1"/>
  <c r="M335" i="1"/>
  <c r="M339" i="1"/>
  <c r="M343" i="1"/>
  <c r="M347" i="1"/>
  <c r="M351" i="1"/>
  <c r="M355" i="1"/>
  <c r="M359" i="1"/>
  <c r="M363" i="1"/>
  <c r="M370" i="1"/>
  <c r="M374" i="1"/>
  <c r="M379" i="1"/>
  <c r="M384" i="1"/>
  <c r="M388" i="1"/>
  <c r="M393" i="1"/>
  <c r="M396" i="1"/>
  <c r="M401" i="1"/>
  <c r="M11" i="1"/>
  <c r="M36" i="1"/>
  <c r="M62" i="1"/>
  <c r="M81" i="1"/>
  <c r="M100" i="1"/>
  <c r="M123" i="1"/>
  <c r="M147" i="1"/>
  <c r="M171" i="1"/>
  <c r="M188" i="1"/>
  <c r="M205" i="1"/>
  <c r="M223" i="1"/>
  <c r="M239" i="1"/>
  <c r="M255" i="1"/>
  <c r="M274" i="1"/>
  <c r="M284" i="1"/>
  <c r="M293" i="1"/>
  <c r="M304" i="1"/>
  <c r="M312" i="1"/>
  <c r="M319" i="1"/>
  <c r="M327" i="1"/>
  <c r="M341" i="1"/>
  <c r="M349" i="1"/>
  <c r="M357" i="1"/>
  <c r="M362" i="1"/>
  <c r="M367" i="1"/>
  <c r="M372" i="1"/>
  <c r="M378" i="1"/>
  <c r="M385" i="1"/>
  <c r="M390" i="1"/>
  <c r="M395" i="1"/>
  <c r="M404" i="1"/>
  <c r="M408" i="1"/>
  <c r="M412" i="1"/>
  <c r="L11" i="1"/>
  <c r="L18" i="1"/>
  <c r="L26" i="1"/>
  <c r="L33" i="1"/>
  <c r="L41" i="1"/>
  <c r="L46" i="1"/>
  <c r="L51" i="1"/>
  <c r="L55" i="1"/>
  <c r="L60" i="1"/>
  <c r="L64" i="1"/>
  <c r="L69" i="1"/>
  <c r="L73" i="1"/>
  <c r="L77" i="1"/>
  <c r="L81" i="1"/>
  <c r="L85" i="1"/>
  <c r="L92" i="1"/>
  <c r="L96" i="1"/>
  <c r="L100" i="1"/>
  <c r="L104" i="1"/>
  <c r="L109" i="1"/>
  <c r="L113" i="1"/>
  <c r="L122" i="1"/>
  <c r="L128" i="1"/>
  <c r="L133" i="1"/>
  <c r="L137" i="1"/>
  <c r="L143" i="1"/>
  <c r="L149" i="1"/>
  <c r="L154" i="1"/>
  <c r="L158" i="1"/>
  <c r="L162" i="1"/>
  <c r="L171" i="1"/>
  <c r="L175" i="1"/>
  <c r="L179" i="1"/>
  <c r="L183" i="1"/>
  <c r="L188" i="1"/>
  <c r="L192" i="1"/>
  <c r="L196" i="1"/>
  <c r="L201" i="1"/>
  <c r="L205" i="1"/>
  <c r="L210" i="1"/>
  <c r="L225" i="1"/>
  <c r="L229" i="1"/>
  <c r="L233" i="1"/>
  <c r="L249" i="1"/>
  <c r="L257" i="1"/>
  <c r="L261" i="1"/>
  <c r="L270" i="1"/>
  <c r="L274" i="1"/>
  <c r="L278" i="1"/>
  <c r="L285" i="1"/>
  <c r="M16" i="1"/>
  <c r="M43" i="1"/>
  <c r="M66" i="1"/>
  <c r="M85" i="1"/>
  <c r="M104" i="1"/>
  <c r="M129" i="1"/>
  <c r="M151" i="1"/>
  <c r="M175" i="1"/>
  <c r="M192" i="1"/>
  <c r="M210" i="1"/>
  <c r="M227" i="1"/>
  <c r="M243" i="1"/>
  <c r="M259" i="1"/>
  <c r="M278" i="1"/>
  <c r="M288" i="1"/>
  <c r="M298" i="1"/>
  <c r="M307" i="1"/>
  <c r="M314" i="1"/>
  <c r="M322" i="1"/>
  <c r="M336" i="1"/>
  <c r="M344" i="1"/>
  <c r="M352" i="1"/>
  <c r="M358" i="1"/>
  <c r="M364" i="1"/>
  <c r="M368" i="1"/>
  <c r="M373" i="1"/>
  <c r="M380" i="1"/>
  <c r="M386" i="1"/>
  <c r="M391" i="1"/>
  <c r="M397" i="1"/>
  <c r="M402" i="1"/>
  <c r="M405" i="1"/>
  <c r="M409" i="1"/>
  <c r="M2" i="1"/>
  <c r="L13" i="1"/>
  <c r="L22" i="1"/>
  <c r="L30" i="1"/>
  <c r="L35" i="1"/>
  <c r="L42" i="1"/>
  <c r="L47" i="1"/>
  <c r="L52" i="1"/>
  <c r="L56" i="1"/>
  <c r="L61" i="1"/>
  <c r="L65" i="1"/>
  <c r="L70" i="1"/>
  <c r="L74" i="1"/>
  <c r="L78" i="1"/>
  <c r="L82" i="1"/>
  <c r="L86" i="1"/>
  <c r="L93" i="1"/>
  <c r="L97" i="1"/>
  <c r="L101" i="1"/>
  <c r="L105" i="1"/>
  <c r="L110" i="1"/>
  <c r="L114" i="1"/>
  <c r="L123" i="1"/>
  <c r="L129" i="1"/>
  <c r="L134" i="1"/>
  <c r="L139" i="1"/>
  <c r="L144" i="1"/>
  <c r="L150" i="1"/>
  <c r="L155" i="1"/>
  <c r="L159" i="1"/>
  <c r="L163" i="1"/>
  <c r="L172" i="1"/>
  <c r="L176" i="1"/>
  <c r="L180" i="1"/>
  <c r="L184" i="1"/>
  <c r="L189" i="1"/>
  <c r="L193" i="1"/>
  <c r="L197" i="1"/>
  <c r="L202" i="1"/>
  <c r="L206" i="1"/>
  <c r="L212" i="1"/>
  <c r="L226" i="1"/>
  <c r="L230" i="1"/>
  <c r="L244" i="1"/>
  <c r="L250" i="1"/>
  <c r="L258" i="1"/>
  <c r="L267" i="1"/>
  <c r="L271" i="1"/>
  <c r="L275" i="1"/>
  <c r="M24" i="1"/>
  <c r="M47" i="1"/>
  <c r="M72" i="1"/>
  <c r="M92" i="1"/>
  <c r="M108" i="1"/>
  <c r="M135" i="1"/>
  <c r="M158" i="1"/>
  <c r="M179" i="1"/>
  <c r="M196" i="1"/>
  <c r="M215" i="1"/>
  <c r="M231" i="1"/>
  <c r="M247" i="1"/>
  <c r="M266" i="1"/>
  <c r="M279" i="1"/>
  <c r="M289" i="1"/>
  <c r="M299" i="1"/>
  <c r="M308" i="1"/>
  <c r="M315" i="1"/>
  <c r="M323" i="1"/>
  <c r="M330" i="1"/>
  <c r="M337" i="1"/>
  <c r="M345" i="1"/>
  <c r="M353" i="1"/>
  <c r="M360" i="1"/>
  <c r="M365" i="1"/>
  <c r="M369" i="1"/>
  <c r="M376" i="1"/>
  <c r="M381" i="1"/>
  <c r="M387" i="1"/>
  <c r="M394" i="1"/>
  <c r="M398" i="1"/>
  <c r="M403" i="1"/>
  <c r="M406" i="1"/>
  <c r="M410" i="1"/>
  <c r="L15" i="1"/>
  <c r="L23" i="1"/>
  <c r="L31" i="1"/>
  <c r="L38" i="1"/>
  <c r="L43" i="1"/>
  <c r="L49" i="1"/>
  <c r="L53" i="1"/>
  <c r="L57" i="1"/>
  <c r="L62" i="1"/>
  <c r="L66" i="1"/>
  <c r="L71" i="1"/>
  <c r="L75" i="1"/>
  <c r="L79" i="1"/>
  <c r="L83" i="1"/>
  <c r="L87" i="1"/>
  <c r="L94" i="1"/>
  <c r="L98" i="1"/>
  <c r="L102" i="1"/>
  <c r="L106" i="1"/>
  <c r="L111" i="1"/>
  <c r="L115" i="1"/>
  <c r="L125" i="1"/>
  <c r="L131" i="1"/>
  <c r="L135" i="1"/>
  <c r="L141" i="1"/>
  <c r="L145" i="1"/>
  <c r="L151" i="1"/>
  <c r="L156" i="1"/>
  <c r="L160" i="1"/>
  <c r="L169" i="1"/>
  <c r="L173" i="1"/>
  <c r="L177" i="1"/>
  <c r="L181" i="1"/>
  <c r="L185" i="1"/>
  <c r="L190" i="1"/>
  <c r="L194" i="1"/>
  <c r="L198" i="1"/>
  <c r="L203" i="1"/>
  <c r="L207" i="1"/>
  <c r="L223" i="1"/>
  <c r="L227" i="1"/>
  <c r="L231" i="1"/>
  <c r="L245" i="1"/>
  <c r="L251" i="1"/>
  <c r="L259" i="1"/>
  <c r="L268" i="1"/>
  <c r="L272" i="1"/>
  <c r="L276" i="1"/>
  <c r="L283" i="1"/>
  <c r="L287" i="1"/>
  <c r="L291" i="1"/>
  <c r="L295" i="1"/>
  <c r="L299" i="1"/>
  <c r="L304" i="1"/>
  <c r="L308" i="1"/>
  <c r="L312" i="1"/>
  <c r="L315" i="1"/>
  <c r="L406" i="1"/>
  <c r="L396" i="1"/>
  <c r="L388" i="1"/>
  <c r="L2" i="1"/>
  <c r="L395" i="1"/>
  <c r="L387" i="1"/>
  <c r="L378" i="1"/>
  <c r="L370" i="1"/>
  <c r="L412" i="1"/>
  <c r="L408" i="1"/>
  <c r="L404" i="1"/>
  <c r="L402" i="1"/>
  <c r="L398" i="1"/>
  <c r="L390" i="1"/>
  <c r="L386" i="1"/>
  <c r="L381" i="1"/>
  <c r="L377" i="1"/>
  <c r="L373" i="1"/>
  <c r="L369" i="1"/>
  <c r="L366" i="1"/>
  <c r="L362" i="1"/>
  <c r="L358" i="1"/>
  <c r="L354" i="1"/>
  <c r="L350" i="1"/>
  <c r="L346" i="1"/>
  <c r="L342" i="1"/>
  <c r="L338" i="1"/>
  <c r="L334" i="1"/>
  <c r="L331" i="1"/>
  <c r="L328" i="1"/>
  <c r="L324" i="1"/>
  <c r="L320" i="1"/>
  <c r="L316" i="1"/>
  <c r="L311" i="1"/>
  <c r="L306" i="1"/>
  <c r="L300" i="1"/>
  <c r="L294" i="1"/>
  <c r="L289" i="1"/>
  <c r="L281" i="1"/>
  <c r="L260" i="1"/>
  <c r="L228" i="1"/>
  <c r="L199" i="1"/>
  <c r="L182" i="1"/>
  <c r="L161" i="1"/>
  <c r="L142" i="1"/>
  <c r="L116" i="1"/>
  <c r="L99" i="1"/>
  <c r="L80" i="1"/>
  <c r="L63" i="1"/>
  <c r="L44" i="1"/>
  <c r="L16" i="1"/>
  <c r="M407" i="1"/>
  <c r="M389" i="1"/>
  <c r="M366" i="1"/>
  <c r="M340" i="1"/>
  <c r="M311" i="1"/>
  <c r="M270" i="1"/>
  <c r="M201" i="1"/>
  <c r="M112" i="1"/>
  <c r="M31" i="1"/>
  <c r="D307" i="4"/>
  <c r="D306" i="4"/>
  <c r="O320" i="1"/>
  <c r="M48" i="1"/>
  <c r="M73" i="1"/>
  <c r="M6" i="1"/>
  <c r="M5" i="1"/>
  <c r="M211" i="1"/>
  <c r="M133" i="1"/>
  <c r="M37" i="1"/>
  <c r="M21" i="1"/>
  <c r="M61" i="1"/>
  <c r="M49" i="1"/>
  <c r="M41" i="1"/>
  <c r="M17" i="1"/>
  <c r="M294" i="1"/>
  <c r="M157" i="1"/>
  <c r="M144" i="1"/>
  <c r="M140" i="1"/>
  <c r="M136" i="1"/>
  <c r="M124" i="1"/>
  <c r="M68" i="1"/>
  <c r="M52" i="1"/>
  <c r="M28" i="1"/>
  <c r="M20" i="1"/>
  <c r="M8" i="1"/>
  <c r="M297" i="1"/>
  <c r="M282" i="1"/>
  <c r="M152" i="1"/>
  <c r="M127" i="1"/>
  <c r="M71" i="1"/>
  <c r="M39" i="1"/>
  <c r="M27" i="1"/>
  <c r="M19" i="1"/>
  <c r="M7" i="1"/>
  <c r="M285" i="1"/>
  <c r="M208" i="1"/>
  <c r="M200" i="1"/>
  <c r="M155" i="1"/>
  <c r="M130" i="1"/>
  <c r="M122" i="1"/>
  <c r="M113" i="1"/>
  <c r="M58" i="1"/>
  <c r="M54" i="1"/>
  <c r="M50" i="1"/>
  <c r="M34" i="1"/>
  <c r="M26" i="1"/>
  <c r="M14" i="1"/>
  <c r="L5" i="1"/>
  <c r="L4" i="1"/>
  <c r="L243" i="1"/>
  <c r="L219" i="1"/>
  <c r="L215" i="1"/>
  <c r="L211" i="1"/>
  <c r="L108" i="1"/>
  <c r="L45" i="1"/>
  <c r="L29" i="1"/>
  <c r="L279" i="1"/>
  <c r="L242" i="1"/>
  <c r="L234" i="1"/>
  <c r="L218" i="1"/>
  <c r="L214" i="1"/>
  <c r="L68" i="1"/>
  <c r="L48" i="1"/>
  <c r="L36" i="1"/>
  <c r="L28" i="1"/>
  <c r="L24" i="1"/>
  <c r="L20" i="1"/>
  <c r="L12" i="1"/>
  <c r="L8" i="1"/>
  <c r="L282" i="1"/>
  <c r="L266" i="1"/>
  <c r="L253" i="1"/>
  <c r="L241" i="1"/>
  <c r="L237" i="1"/>
  <c r="L221" i="1"/>
  <c r="L217" i="1"/>
  <c r="L213" i="1"/>
  <c r="L152" i="1"/>
  <c r="L127" i="1"/>
  <c r="L39" i="1"/>
  <c r="L27" i="1"/>
  <c r="L19" i="1"/>
  <c r="L7" i="1"/>
  <c r="L3" i="1"/>
  <c r="L280" i="1"/>
  <c r="L255" i="1"/>
  <c r="L247" i="1"/>
  <c r="L239" i="1"/>
  <c r="L235" i="1"/>
  <c r="L37" i="1"/>
  <c r="L21" i="1"/>
  <c r="L17" i="1"/>
  <c r="L9" i="1"/>
  <c r="L254" i="1"/>
  <c r="L246" i="1"/>
  <c r="L238" i="1"/>
  <c r="L222" i="1"/>
  <c r="L140" i="1"/>
  <c r="L124" i="1"/>
  <c r="L265" i="1"/>
  <c r="L256" i="1"/>
  <c r="L240" i="1"/>
  <c r="L236" i="1"/>
  <c r="L220" i="1"/>
  <c r="L216" i="1"/>
  <c r="L208" i="1"/>
  <c r="L200" i="1"/>
  <c r="L147" i="1"/>
  <c r="L138" i="1"/>
  <c r="L130" i="1"/>
  <c r="L58" i="1"/>
  <c r="L34" i="1"/>
  <c r="L14" i="1"/>
  <c r="L6" i="1"/>
</calcChain>
</file>

<file path=xl/sharedStrings.xml><?xml version="1.0" encoding="utf-8"?>
<sst xmlns="http://schemas.openxmlformats.org/spreadsheetml/2006/main" count="1924" uniqueCount="834">
  <si>
    <t>BBC Red Button</t>
  </si>
  <si>
    <t>Name</t>
  </si>
  <si>
    <t>ID</t>
  </si>
  <si>
    <t>Show</t>
  </si>
  <si>
    <t>HD</t>
  </si>
  <si>
    <t>Logo</t>
  </si>
  <si>
    <t>Plus One</t>
  </si>
  <si>
    <t>Target</t>
  </si>
  <si>
    <t>Source</t>
  </si>
  <si>
    <t>Virgin Media Previews</t>
  </si>
  <si>
    <t>hayu</t>
  </si>
  <si>
    <t>Virgin Movies Previews</t>
  </si>
  <si>
    <t>Worldbox</t>
  </si>
  <si>
    <t>BBC One</t>
  </si>
  <si>
    <t>BBC Two</t>
  </si>
  <si>
    <t>ITV</t>
  </si>
  <si>
    <t>Channel 4</t>
  </si>
  <si>
    <t>Channel 5</t>
  </si>
  <si>
    <t>E4</t>
  </si>
  <si>
    <t>BBC Four</t>
  </si>
  <si>
    <t>BBC One HD</t>
  </si>
  <si>
    <t>ITV HD</t>
  </si>
  <si>
    <t>ITV +1</t>
  </si>
  <si>
    <t>ITV2</t>
  </si>
  <si>
    <t>ITV2 +1</t>
  </si>
  <si>
    <t>ITV3</t>
  </si>
  <si>
    <t>ITV4</t>
  </si>
  <si>
    <t>ITVBe</t>
  </si>
  <si>
    <t>ITVBe +1</t>
  </si>
  <si>
    <t>Sky Arts</t>
  </si>
  <si>
    <t>Pick</t>
  </si>
  <si>
    <t>Gold</t>
  </si>
  <si>
    <t>W</t>
  </si>
  <si>
    <t>alibi</t>
  </si>
  <si>
    <t>Dave</t>
  </si>
  <si>
    <t>Drama</t>
  </si>
  <si>
    <t>Really</t>
  </si>
  <si>
    <t>alibi +1</t>
  </si>
  <si>
    <t>W +1</t>
  </si>
  <si>
    <t>Comedy Central</t>
  </si>
  <si>
    <t>Comedy Central +1</t>
  </si>
  <si>
    <t>MTV</t>
  </si>
  <si>
    <t>Syfy</t>
  </si>
  <si>
    <t>Syfy +1</t>
  </si>
  <si>
    <t>Challenge</t>
  </si>
  <si>
    <t>Channel 4 HD</t>
  </si>
  <si>
    <t>Channel 4 +1</t>
  </si>
  <si>
    <t>4seven</t>
  </si>
  <si>
    <t>E4 HD</t>
  </si>
  <si>
    <t>E4 +1</t>
  </si>
  <si>
    <t>More4</t>
  </si>
  <si>
    <t>CBS Reality</t>
  </si>
  <si>
    <t>Horror Channel</t>
  </si>
  <si>
    <t>Channel 5 HD</t>
  </si>
  <si>
    <t>5STAR</t>
  </si>
  <si>
    <t>5 USA</t>
  </si>
  <si>
    <t>Channel 5 +1</t>
  </si>
  <si>
    <t>E!</t>
  </si>
  <si>
    <t>FOX</t>
  </si>
  <si>
    <t>FOX +1</t>
  </si>
  <si>
    <t>Real Lives</t>
  </si>
  <si>
    <t>BBC Alba</t>
  </si>
  <si>
    <t>BBC Two HD</t>
  </si>
  <si>
    <t>BBC Four HD</t>
  </si>
  <si>
    <t>Syfy HD</t>
  </si>
  <si>
    <t>S4C</t>
  </si>
  <si>
    <t>TLC</t>
  </si>
  <si>
    <t>TLC HD</t>
  </si>
  <si>
    <t>TLC +1</t>
  </si>
  <si>
    <t>Investigation Discovery</t>
  </si>
  <si>
    <t>Investigation Discovery +1</t>
  </si>
  <si>
    <t>Quest</t>
  </si>
  <si>
    <t>Quest +1</t>
  </si>
  <si>
    <t>ITV3 +1</t>
  </si>
  <si>
    <t>ITV4 +1</t>
  </si>
  <si>
    <t>ITV2 HD</t>
  </si>
  <si>
    <t>ITV3 HD</t>
  </si>
  <si>
    <t>ITV4 HD</t>
  </si>
  <si>
    <t>ITVBe HD</t>
  </si>
  <si>
    <t>Challenge +1</t>
  </si>
  <si>
    <t>Comedy Central HD</t>
  </si>
  <si>
    <t>Comedy Central Extra</t>
  </si>
  <si>
    <t>MTV HD</t>
  </si>
  <si>
    <t>BET</t>
  </si>
  <si>
    <t>5 USA +1</t>
  </si>
  <si>
    <t>5STAR +1</t>
  </si>
  <si>
    <t>Gold +1</t>
  </si>
  <si>
    <t>W HD</t>
  </si>
  <si>
    <t>CBS Action</t>
  </si>
  <si>
    <t>Sony Crime Channel</t>
  </si>
  <si>
    <t>Dave HD</t>
  </si>
  <si>
    <t>More4 HD</t>
  </si>
  <si>
    <t>CBS Drama</t>
  </si>
  <si>
    <t>YouTube</t>
  </si>
  <si>
    <t>FOX HD</t>
  </si>
  <si>
    <t>alibi HD</t>
  </si>
  <si>
    <t>CBS Reality +1</t>
  </si>
  <si>
    <t>Horror Channel +1</t>
  </si>
  <si>
    <t>4seven HD</t>
  </si>
  <si>
    <t>Netflix</t>
  </si>
  <si>
    <t>Sky Arts HD</t>
  </si>
  <si>
    <t>Real Lives +1</t>
  </si>
  <si>
    <t>Lifetime</t>
  </si>
  <si>
    <t>Lifetime HD</t>
  </si>
  <si>
    <t>Dave ja vu</t>
  </si>
  <si>
    <t>TruTV</t>
  </si>
  <si>
    <t>DMAX</t>
  </si>
  <si>
    <t>DMAX +1</t>
  </si>
  <si>
    <t>Quest Red</t>
  </si>
  <si>
    <t>Blaze</t>
  </si>
  <si>
    <t>Yesterday</t>
  </si>
  <si>
    <t>Yesterday +1</t>
  </si>
  <si>
    <t>Eden</t>
  </si>
  <si>
    <t>Eden +1</t>
  </si>
  <si>
    <t>Eden HD</t>
  </si>
  <si>
    <t>Animal Planet</t>
  </si>
  <si>
    <t>Animal Planet HD</t>
  </si>
  <si>
    <t>Animal Planet +1</t>
  </si>
  <si>
    <t>Discovery Science</t>
  </si>
  <si>
    <t>Discovery Science +1</t>
  </si>
  <si>
    <t>Discovery Turbo</t>
  </si>
  <si>
    <t>Discovery History</t>
  </si>
  <si>
    <t>Discovery History +1</t>
  </si>
  <si>
    <t>Nat Geo Wild</t>
  </si>
  <si>
    <t>Nat Geo Wild HD</t>
  </si>
  <si>
    <t>History</t>
  </si>
  <si>
    <t>History +1</t>
  </si>
  <si>
    <t>H2</t>
  </si>
  <si>
    <t>H2 HD</t>
  </si>
  <si>
    <t>Crime + Investigation</t>
  </si>
  <si>
    <t>PBS America</t>
  </si>
  <si>
    <t>Forces TV</t>
  </si>
  <si>
    <t>Good Food</t>
  </si>
  <si>
    <t>Good Food +1</t>
  </si>
  <si>
    <t>Good Food HD</t>
  </si>
  <si>
    <t>Home</t>
  </si>
  <si>
    <t>Home +1</t>
  </si>
  <si>
    <t>Discovery Home &amp; Health</t>
  </si>
  <si>
    <t>Discovery Home &amp; Health +1</t>
  </si>
  <si>
    <t>Discovery Shed</t>
  </si>
  <si>
    <t>GOD Channel</t>
  </si>
  <si>
    <t>Food Network</t>
  </si>
  <si>
    <t>Travel Channel</t>
  </si>
  <si>
    <t>MTV Music</t>
  </si>
  <si>
    <t>MTV Live HD</t>
  </si>
  <si>
    <t>MTV Hits</t>
  </si>
  <si>
    <t>MTV Base</t>
  </si>
  <si>
    <t>MTV Dance</t>
  </si>
  <si>
    <t>MTV Rocks</t>
  </si>
  <si>
    <t>VH1</t>
  </si>
  <si>
    <t>MTV OMG</t>
  </si>
  <si>
    <t>Box Upfront</t>
  </si>
  <si>
    <t>The Box</t>
  </si>
  <si>
    <t>Box Hits</t>
  </si>
  <si>
    <t>4Music</t>
  </si>
  <si>
    <t>Kiss</t>
  </si>
  <si>
    <t>Magic</t>
  </si>
  <si>
    <t>Vevo</t>
  </si>
  <si>
    <t>Clubland TV</t>
  </si>
  <si>
    <t>Sky Cinema Premiere HD</t>
  </si>
  <si>
    <t>Sky Cinema Hits HD</t>
  </si>
  <si>
    <t>Sky Cinema Greats HD</t>
  </si>
  <si>
    <t>Sky Cinema Disney HD</t>
  </si>
  <si>
    <t>Sky Cinema Family HD</t>
  </si>
  <si>
    <t>Sky Cinema Comedy HD</t>
  </si>
  <si>
    <t>Sky Cinema Select HD</t>
  </si>
  <si>
    <t>TCM</t>
  </si>
  <si>
    <t>TCM HD</t>
  </si>
  <si>
    <t>TCM +1</t>
  </si>
  <si>
    <t>Movies 24</t>
  </si>
  <si>
    <t>Sony Movie Channel</t>
  </si>
  <si>
    <t>Movies4Men</t>
  </si>
  <si>
    <t>Film4</t>
  </si>
  <si>
    <t>Film4 HD</t>
  </si>
  <si>
    <t>Film4 +1</t>
  </si>
  <si>
    <t>Sky Cinema Premiere</t>
  </si>
  <si>
    <t>Sky Cinema Premiere +1</t>
  </si>
  <si>
    <t>Sky Cinema Hits</t>
  </si>
  <si>
    <t>Sky Cinema Greats</t>
  </si>
  <si>
    <t>Sky Cinema Disney</t>
  </si>
  <si>
    <t>Sky Cinema Family</t>
  </si>
  <si>
    <t>Sky Cinema Comedy</t>
  </si>
  <si>
    <t>Sky Cinema Select</t>
  </si>
  <si>
    <t>Talking Pictures TV</t>
  </si>
  <si>
    <t>Sky Sports Main Event HD</t>
  </si>
  <si>
    <t>Sky Sports Premier League HD</t>
  </si>
  <si>
    <t>Sky Sports Football HD</t>
  </si>
  <si>
    <t>Sky Sports Cricket HD</t>
  </si>
  <si>
    <t>Sky Sports Golf HD</t>
  </si>
  <si>
    <t>Sky Sports F1 HD</t>
  </si>
  <si>
    <t>Sky Sports Action HD</t>
  </si>
  <si>
    <t>Sky Sports Arena HD</t>
  </si>
  <si>
    <t>Sky Sports News HD</t>
  </si>
  <si>
    <t>Sky Sports Mix HD</t>
  </si>
  <si>
    <t>Sky Sports Main Event</t>
  </si>
  <si>
    <t>Sky Sports Premier League</t>
  </si>
  <si>
    <t>Sky Sports Football</t>
  </si>
  <si>
    <t>Sky Sports Cricket</t>
  </si>
  <si>
    <t>Sky Sports Golf</t>
  </si>
  <si>
    <t>Sky Sports F1</t>
  </si>
  <si>
    <t>Sky Sports Action</t>
  </si>
  <si>
    <t>Sky Sports Arena</t>
  </si>
  <si>
    <t>Sky Sports News</t>
  </si>
  <si>
    <t>Sky Sports Mix</t>
  </si>
  <si>
    <t>Eurosport 1 HD</t>
  </si>
  <si>
    <t>Eurosport 2 HD</t>
  </si>
  <si>
    <t>Eurosport 1</t>
  </si>
  <si>
    <t>Eurosport 2</t>
  </si>
  <si>
    <t>MUTV</t>
  </si>
  <si>
    <t>BT Sport 1 HD</t>
  </si>
  <si>
    <t>BT Sport 2 HD</t>
  </si>
  <si>
    <t>BT Sport 3 HD</t>
  </si>
  <si>
    <t>BT Sport ESPN HD</t>
  </si>
  <si>
    <t>BT Sport 1</t>
  </si>
  <si>
    <t>BT Sport 2</t>
  </si>
  <si>
    <t>BT Sport 3</t>
  </si>
  <si>
    <t>BT Sport ESPN</t>
  </si>
  <si>
    <t>At The Races</t>
  </si>
  <si>
    <t>Liverpool FC TV</t>
  </si>
  <si>
    <t>BBC News</t>
  </si>
  <si>
    <t>Sky News</t>
  </si>
  <si>
    <t>Sky News HD</t>
  </si>
  <si>
    <t>BBC News HD</t>
  </si>
  <si>
    <t>BBC Parliament</t>
  </si>
  <si>
    <t>Euronews</t>
  </si>
  <si>
    <t>NDTV 24x7</t>
  </si>
  <si>
    <t>Al Jazeera English</t>
  </si>
  <si>
    <t>CBBC</t>
  </si>
  <si>
    <t>CBeebies</t>
  </si>
  <si>
    <t>Cartoon Network</t>
  </si>
  <si>
    <t>Cartoon Network +1</t>
  </si>
  <si>
    <t>Cartoonito</t>
  </si>
  <si>
    <t>Disney XD</t>
  </si>
  <si>
    <t>CBBC HD</t>
  </si>
  <si>
    <t>CBeebies HD</t>
  </si>
  <si>
    <t>Nickelodeon</t>
  </si>
  <si>
    <t>Nick +1</t>
  </si>
  <si>
    <t>Nick HD</t>
  </si>
  <si>
    <t>Nick Jr.</t>
  </si>
  <si>
    <t>Nick Jr. Too</t>
  </si>
  <si>
    <t>Nicktoons</t>
  </si>
  <si>
    <t>Disney Channel</t>
  </si>
  <si>
    <t>Disney Channel +1</t>
  </si>
  <si>
    <t>Disney Junior</t>
  </si>
  <si>
    <t>Boomerang</t>
  </si>
  <si>
    <t>Boomerang +1</t>
  </si>
  <si>
    <t>Cartoon Network HD</t>
  </si>
  <si>
    <t>CITV</t>
  </si>
  <si>
    <t>POP</t>
  </si>
  <si>
    <t>Tiny Pop</t>
  </si>
  <si>
    <t>QVC</t>
  </si>
  <si>
    <t>QVC Beauty</t>
  </si>
  <si>
    <t>QVC Style</t>
  </si>
  <si>
    <t>Ideal World</t>
  </si>
  <si>
    <t>Create and Craft</t>
  </si>
  <si>
    <t>Gems TV</t>
  </si>
  <si>
    <t>Jewellery Maker</t>
  </si>
  <si>
    <t>TJC</t>
  </si>
  <si>
    <t>Star Bharat</t>
  </si>
  <si>
    <t>Zing</t>
  </si>
  <si>
    <t>B4U Movies</t>
  </si>
  <si>
    <t>B4U Music</t>
  </si>
  <si>
    <t>Rishtey Cineplex</t>
  </si>
  <si>
    <t>NDTV Good Times</t>
  </si>
  <si>
    <t>Al Jazeera Arabic</t>
  </si>
  <si>
    <t>Hum Europe</t>
  </si>
  <si>
    <t>NDTV India</t>
  </si>
  <si>
    <t>NDTV Spice</t>
  </si>
  <si>
    <t>Islam Channel Urdu</t>
  </si>
  <si>
    <t>MTV Beats</t>
  </si>
  <si>
    <t>BBC One England</t>
  </si>
  <si>
    <t>BBC One Scotland</t>
  </si>
  <si>
    <t>BBC One Wales</t>
  </si>
  <si>
    <t>BBC Two England</t>
  </si>
  <si>
    <t>BBC Radio 1</t>
  </si>
  <si>
    <t>BBC Radio 2</t>
  </si>
  <si>
    <t>BBC Radio 3</t>
  </si>
  <si>
    <t>BBC Radio 5 Live</t>
  </si>
  <si>
    <t>BBC World Service</t>
  </si>
  <si>
    <t>BBC Radio 6 Music</t>
  </si>
  <si>
    <t>BBC Radio 4 Extra</t>
  </si>
  <si>
    <t>BBC Asian Network</t>
  </si>
  <si>
    <t>Absolute Radio</t>
  </si>
  <si>
    <t>Smooth Radio</t>
  </si>
  <si>
    <t>Heart FM</t>
  </si>
  <si>
    <t>World Radio Network</t>
  </si>
  <si>
    <t>Heart 80s</t>
  </si>
  <si>
    <t>Classic FM</t>
  </si>
  <si>
    <t>Planet Rock</t>
  </si>
  <si>
    <t>Talksport</t>
  </si>
  <si>
    <t>Magic Radio</t>
  </si>
  <si>
    <t>BBC Radio Scotland</t>
  </si>
  <si>
    <t>BBC Radio Wales</t>
  </si>
  <si>
    <t>BBC Radio Ulster</t>
  </si>
  <si>
    <t>BBC Radio Cymru</t>
  </si>
  <si>
    <t>Absolute Classic Rock</t>
  </si>
  <si>
    <t>Capital FM</t>
  </si>
  <si>
    <t>Capital XTRA</t>
  </si>
  <si>
    <t>Radio X</t>
  </si>
  <si>
    <t>Kiss FM</t>
  </si>
  <si>
    <t>Adult Channel</t>
  </si>
  <si>
    <t>Television X</t>
  </si>
  <si>
    <t/>
  </si>
  <si>
    <t>HD Auto</t>
  </si>
  <si>
    <t>Entry</t>
  </si>
  <si>
    <t>RTÉ One</t>
  </si>
  <si>
    <t>RTÉ2</t>
  </si>
  <si>
    <t>TG4</t>
  </si>
  <si>
    <t>media_player.family_room</t>
  </si>
  <si>
    <t>Virgin V6</t>
  </si>
  <si>
    <t>Virgin Tivo</t>
  </si>
  <si>
    <t>CCTV</t>
  </si>
  <si>
    <t>https://www.freeview.co.uk/app/themes/freeview/assets/images/channels/entertainment/rteone.png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</si>
  <si>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</si>
  <si>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</si>
  <si>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</si>
  <si>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</si>
  <si>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</si>
  <si>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</si>
  <si>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</si>
  <si>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</si>
  <si>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</si>
  <si>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</si>
  <si>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Sky One HD</t>
  </si>
  <si>
    <t>110</t>
  </si>
  <si>
    <t>Sky One</t>
  </si>
  <si>
    <t>111</t>
  </si>
  <si>
    <t>Sky Witness HD</t>
  </si>
  <si>
    <t>112</t>
  </si>
  <si>
    <t>Sky Witness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</si>
  <si>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</si>
  <si>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</si>
  <si>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</si>
  <si>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</si>
  <si>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</si>
  <si>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</si>
  <si>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</si>
  <si>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</si>
  <si>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</si>
  <si>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Sky Two</t>
  </si>
  <si>
    <t>122</t>
  </si>
  <si>
    <t>123</t>
  </si>
  <si>
    <t>124</t>
  </si>
  <si>
    <t>Gold HD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</si>
  <si>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</si>
  <si>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</si>
  <si>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</si>
  <si>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</si>
  <si>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</si>
  <si>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</si>
  <si>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</si>
  <si>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</si>
  <si>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</si>
  <si>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</si>
  <si>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</si>
  <si>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SYFY</t>
  </si>
  <si>
    <t>136</t>
  </si>
  <si>
    <t>SYFY +1</t>
  </si>
  <si>
    <t>137</t>
  </si>
  <si>
    <t>Universal TV</t>
  </si>
  <si>
    <t>138</t>
  </si>
  <si>
    <t>Universal TV +1</t>
  </si>
  <si>
    <t>139</t>
  </si>
  <si>
    <t>140</t>
  </si>
  <si>
    <t>Sky Witness +1</t>
  </si>
  <si>
    <t>141</t>
  </si>
  <si>
    <t>142</t>
  </si>
  <si>
    <t>143</t>
  </si>
  <si>
    <t>4Seven</t>
  </si>
  <si>
    <t>145</t>
  </si>
  <si>
    <t>146</t>
  </si>
  <si>
    <t>147</t>
  </si>
  <si>
    <t>148</t>
  </si>
  <si>
    <t>149</t>
  </si>
  <si>
    <t>150</t>
  </si>
  <si>
    <t>151</t>
  </si>
  <si>
    <t>152</t>
  </si>
  <si>
    <t>5Select</t>
  </si>
  <si>
    <t>153</t>
  </si>
  <si>
    <t>154</t>
  </si>
  <si>
    <t>5Spike</t>
  </si>
  <si>
    <t>155</t>
  </si>
  <si>
    <t>156</t>
  </si>
  <si>
    <t>157</t>
  </si>
  <si>
    <t>158</t>
  </si>
  <si>
    <t>159</t>
  </si>
  <si>
    <t>Regional Channels</t>
  </si>
  <si>
    <t>160</t>
  </si>
  <si>
    <t>161</t>
  </si>
  <si>
    <t>162</t>
  </si>
  <si>
    <t>163</t>
  </si>
  <si>
    <t>164</t>
  </si>
  <si>
    <t>Universal TV HD</t>
  </si>
  <si>
    <t>165</t>
  </si>
  <si>
    <t>SYFY HD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</si>
  <si>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</si>
  <si>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</si>
  <si>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</si>
  <si>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</si>
  <si>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</si>
  <si>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</si>
  <si>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</si>
  <si>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</si>
  <si>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</si>
  <si>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</si>
  <si>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</si>
  <si>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</si>
  <si>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</si>
  <si>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</si>
  <si>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</si>
  <si>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</si>
  <si>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</si>
  <si>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</si>
  <si>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</si>
  <si>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</si>
  <si>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</si>
  <si>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</si>
  <si>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Paramount Network HD</t>
  </si>
  <si>
    <t>188</t>
  </si>
  <si>
    <t>Paramount Network</t>
  </si>
  <si>
    <t>189</t>
  </si>
  <si>
    <t>True Entertainment</t>
  </si>
  <si>
    <t>190</t>
  </si>
  <si>
    <t>191</t>
  </si>
  <si>
    <t>192</t>
  </si>
  <si>
    <t>193</t>
  </si>
  <si>
    <t>194</t>
  </si>
  <si>
    <t>195</t>
  </si>
  <si>
    <t>196</t>
  </si>
  <si>
    <t>More4 +1</t>
  </si>
  <si>
    <t>197</t>
  </si>
  <si>
    <t>198</t>
  </si>
  <si>
    <t>199</t>
  </si>
  <si>
    <t>200</t>
  </si>
  <si>
    <t>201</t>
  </si>
  <si>
    <t>202</t>
  </si>
  <si>
    <t>203</t>
  </si>
  <si>
    <t>4Seven HD</t>
  </si>
  <si>
    <t>204</t>
  </si>
  <si>
    <t>206</t>
  </si>
  <si>
    <t>207</t>
  </si>
  <si>
    <t>208</t>
  </si>
  <si>
    <t>209</t>
  </si>
  <si>
    <t>210</t>
  </si>
  <si>
    <t>211</t>
  </si>
  <si>
    <t>212</t>
  </si>
  <si>
    <t>truTV</t>
  </si>
  <si>
    <t>213</t>
  </si>
  <si>
    <t>214</t>
  </si>
  <si>
    <t>215</t>
  </si>
  <si>
    <t>216</t>
  </si>
  <si>
    <t>BLAZE</t>
  </si>
  <si>
    <t>217</t>
  </si>
  <si>
    <t>Quest HD</t>
  </si>
  <si>
    <t>218</t>
  </si>
  <si>
    <t>YourTV</t>
  </si>
  <si>
    <t>219</t>
  </si>
  <si>
    <t>Vice</t>
  </si>
  <si>
    <t>220</t>
  </si>
  <si>
    <t>True Entertainment +1</t>
  </si>
  <si>
    <t>223</t>
  </si>
  <si>
    <t>225</t>
  </si>
  <si>
    <t>Lifetime +1</t>
  </si>
  <si>
    <t>245</t>
  </si>
  <si>
    <t>246</t>
  </si>
  <si>
    <t>247</t>
  </si>
  <si>
    <t>248</t>
  </si>
  <si>
    <t>249</t>
  </si>
  <si>
    <t>250</t>
  </si>
  <si>
    <t>Discovery</t>
  </si>
  <si>
    <t>251</t>
  </si>
  <si>
    <t>Discovery HD</t>
  </si>
  <si>
    <t>252</t>
  </si>
  <si>
    <t>Discovery +1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</si>
  <si>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</si>
  <si>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</si>
  <si>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</si>
  <si>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</si>
  <si>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</si>
  <si>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</si>
  <si>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</si>
  <si>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</si>
  <si>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</si>
  <si>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Nat Geo WILD</t>
  </si>
  <si>
    <t>265</t>
  </si>
  <si>
    <t>Nat Geo WILD HD</t>
  </si>
  <si>
    <t>266</t>
  </si>
  <si>
    <t>National Geographic</t>
  </si>
  <si>
    <t>267</t>
  </si>
  <si>
    <t>National Geographic +1</t>
  </si>
  <si>
    <t>268</t>
  </si>
  <si>
    <t>National Geographic HD</t>
  </si>
  <si>
    <t>269</t>
  </si>
  <si>
    <t>Together</t>
  </si>
  <si>
    <t>270</t>
  </si>
  <si>
    <t>HISTORY</t>
  </si>
  <si>
    <t>271</t>
  </si>
  <si>
    <t>HISTORY +1</t>
  </si>
  <si>
    <t>272</t>
  </si>
  <si>
    <t>Crime + Investigation HD</t>
  </si>
  <si>
    <t>273</t>
  </si>
  <si>
    <t>274</t>
  </si>
  <si>
    <t>276</t>
  </si>
  <si>
    <t>277</t>
  </si>
  <si>
    <t>278</t>
  </si>
  <si>
    <t>279</t>
  </si>
  <si>
    <t>280</t>
  </si>
  <si>
    <t>281</t>
  </si>
  <si>
    <t>282</t>
  </si>
  <si>
    <t>284</t>
  </si>
  <si>
    <t>285</t>
  </si>
  <si>
    <t>286</t>
  </si>
  <si>
    <t>287</t>
  </si>
  <si>
    <t>God Channel</t>
  </si>
  <si>
    <t>290</t>
  </si>
  <si>
    <t>GINX</t>
  </si>
  <si>
    <t>291</t>
  </si>
  <si>
    <t>292</t>
  </si>
  <si>
    <t>293</t>
  </si>
  <si>
    <t>Love Nature HD</t>
  </si>
  <si>
    <t>294</t>
  </si>
  <si>
    <t>Love Nature</t>
  </si>
  <si>
    <t>295</t>
  </si>
  <si>
    <t>Crime + Investigation +1</t>
  </si>
  <si>
    <t>298</t>
  </si>
  <si>
    <t>Horse &amp; Country</t>
  </si>
  <si>
    <t>299</t>
  </si>
  <si>
    <t>HISTORY HD</t>
  </si>
  <si>
    <t>300</t>
  </si>
  <si>
    <t>VM Music</t>
  </si>
  <si>
    <t>310</t>
  </si>
  <si>
    <t>311</t>
  </si>
  <si>
    <t>312</t>
  </si>
  <si>
    <t>313</t>
  </si>
  <si>
    <t>314</t>
  </si>
  <si>
    <t>315</t>
  </si>
  <si>
    <t>316</t>
  </si>
  <si>
    <t>318</t>
  </si>
  <si>
    <t>330</t>
  </si>
  <si>
    <t>335</t>
  </si>
  <si>
    <t>336</t>
  </si>
  <si>
    <t>337</t>
  </si>
  <si>
    <t>338</t>
  </si>
  <si>
    <t>340</t>
  </si>
  <si>
    <t>342</t>
  </si>
  <si>
    <t>Kerrang!</t>
  </si>
  <si>
    <t>344</t>
  </si>
  <si>
    <t>345</t>
  </si>
  <si>
    <t>346</t>
  </si>
  <si>
    <t>Now 80s</t>
  </si>
  <si>
    <t>400</t>
  </si>
  <si>
    <t>401</t>
  </si>
  <si>
    <t>402</t>
  </si>
  <si>
    <t>403</t>
  </si>
  <si>
    <t>404</t>
  </si>
  <si>
    <t>405</t>
  </si>
  <si>
    <t>406</t>
  </si>
  <si>
    <t>407</t>
  </si>
  <si>
    <t>Sky Cinema Action HD</t>
  </si>
  <si>
    <t>408</t>
  </si>
  <si>
    <t>409</t>
  </si>
  <si>
    <t>Sky Cinema Thriller HD</t>
  </si>
  <si>
    <t>410</t>
  </si>
  <si>
    <t>Sky Cinema Drama HD</t>
  </si>
  <si>
    <t>411</t>
  </si>
  <si>
    <t>Sky Cinema Sci-Fi &amp; Horror HD</t>
  </si>
  <si>
    <t>412</t>
  </si>
  <si>
    <t>415</t>
  </si>
  <si>
    <t>416</t>
  </si>
  <si>
    <t>417</t>
  </si>
  <si>
    <t>419</t>
  </si>
  <si>
    <t>420</t>
  </si>
  <si>
    <t>Movies 24 + 1</t>
  </si>
  <si>
    <t>424</t>
  </si>
  <si>
    <t>True Movies</t>
  </si>
  <si>
    <t>425</t>
  </si>
  <si>
    <t>426</t>
  </si>
  <si>
    <t>428</t>
  </si>
  <si>
    <t>429</t>
  </si>
  <si>
    <t>430</t>
  </si>
  <si>
    <t>431</t>
  </si>
  <si>
    <t>433</t>
  </si>
  <si>
    <t>434</t>
  </si>
  <si>
    <t>435</t>
  </si>
  <si>
    <t>436</t>
  </si>
  <si>
    <t>437</t>
  </si>
  <si>
    <t>Sky Cinema Action</t>
  </si>
  <si>
    <t>438</t>
  </si>
  <si>
    <t>439</t>
  </si>
  <si>
    <t>Sky Cinema Thriller</t>
  </si>
  <si>
    <t>440</t>
  </si>
  <si>
    <t>Sky Cinema Drama</t>
  </si>
  <si>
    <t>441</t>
  </si>
  <si>
    <t>Sky Cinema Sci-Fi &amp; Horror</t>
  </si>
  <si>
    <t>442</t>
  </si>
  <si>
    <t>445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</si>
  <si>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</si>
  <si>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</si>
  <si>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</si>
  <si>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</si>
  <si>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</si>
  <si>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</si>
  <si>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</si>
  <si>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</si>
  <si>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</si>
  <si>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</si>
  <si>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</si>
  <si>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</si>
  <si>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</si>
  <si>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</si>
  <si>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</si>
  <si>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</si>
  <si>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</si>
  <si>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</si>
  <si>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</si>
  <si>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</si>
  <si>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</si>
  <si>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</si>
  <si>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</si>
  <si>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</si>
  <si>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</si>
  <si>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</si>
  <si>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</si>
  <si>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</si>
  <si>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</si>
  <si>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</si>
  <si>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</si>
  <si>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</si>
  <si>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</si>
  <si>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</si>
  <si>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</si>
  <si>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Racing UK HD</t>
  </si>
  <si>
    <t>544</t>
  </si>
  <si>
    <t>546</t>
  </si>
  <si>
    <t>BoxNation</t>
  </si>
  <si>
    <t>551</t>
  </si>
  <si>
    <t>Premier Sports 1 HD</t>
  </si>
  <si>
    <t>552</t>
  </si>
  <si>
    <t>Premier Sports 2</t>
  </si>
  <si>
    <t>553</t>
  </si>
  <si>
    <t>FreeSports HD</t>
  </si>
  <si>
    <t>555</t>
  </si>
  <si>
    <t>BT Sport 4K UHD</t>
  </si>
  <si>
    <t>601</t>
  </si>
  <si>
    <t>602</t>
  </si>
  <si>
    <t>603</t>
  </si>
  <si>
    <t>604</t>
  </si>
  <si>
    <t>605</t>
  </si>
  <si>
    <t>607</t>
  </si>
  <si>
    <t>CNN</t>
  </si>
  <si>
    <t>609</t>
  </si>
  <si>
    <t>Bloomberg HD</t>
  </si>
  <si>
    <t>613</t>
  </si>
  <si>
    <t>CNBC</t>
  </si>
  <si>
    <t>620</t>
  </si>
  <si>
    <t>621</t>
  </si>
  <si>
    <t>622</t>
  </si>
  <si>
    <t>624</t>
  </si>
  <si>
    <t>France 24 English HD</t>
  </si>
  <si>
    <t>625</t>
  </si>
  <si>
    <t>NHKworldHD</t>
  </si>
  <si>
    <t>700</t>
  </si>
  <si>
    <t>My Virgin TV Kids</t>
  </si>
  <si>
    <t>701</t>
  </si>
  <si>
    <t>702</t>
  </si>
  <si>
    <t>703</t>
  </si>
  <si>
    <t>Baby TV</t>
  </si>
  <si>
    <t>704</t>
  </si>
  <si>
    <t>705</t>
  </si>
  <si>
    <t>706</t>
  </si>
  <si>
    <t>707</t>
  </si>
  <si>
    <t>710</t>
  </si>
  <si>
    <t>711</t>
  </si>
  <si>
    <t>712</t>
  </si>
  <si>
    <t>713</t>
  </si>
  <si>
    <t>714</t>
  </si>
  <si>
    <t>715</t>
  </si>
  <si>
    <t>716</t>
  </si>
  <si>
    <t>717</t>
  </si>
  <si>
    <t>724</t>
  </si>
  <si>
    <t>725</t>
  </si>
  <si>
    <t>727</t>
  </si>
  <si>
    <t>730</t>
  </si>
  <si>
    <t>731</t>
  </si>
  <si>
    <t>732</t>
  </si>
  <si>
    <t>734</t>
  </si>
  <si>
    <t>736</t>
  </si>
  <si>
    <t>Pop</t>
  </si>
  <si>
    <t>737</t>
  </si>
  <si>
    <t>739</t>
  </si>
  <si>
    <t>ZooMoo HD</t>
  </si>
  <si>
    <t>740</t>
  </si>
  <si>
    <t>741</t>
  </si>
  <si>
    <t>742</t>
  </si>
  <si>
    <t>747</t>
  </si>
  <si>
    <t>748</t>
  </si>
  <si>
    <t>755</t>
  </si>
  <si>
    <t>756</t>
  </si>
  <si>
    <t>757</t>
  </si>
  <si>
    <t>801</t>
  </si>
  <si>
    <t>Star Gold HD</t>
  </si>
  <si>
    <t>803</t>
  </si>
  <si>
    <t>Star Plus HD</t>
  </si>
  <si>
    <t>804</t>
  </si>
  <si>
    <t>805</t>
  </si>
  <si>
    <t>SONY TV Asia HD</t>
  </si>
  <si>
    <t>806</t>
  </si>
  <si>
    <t>SONY Max HD</t>
  </si>
  <si>
    <t>807</t>
  </si>
  <si>
    <t>SONY SAB</t>
  </si>
  <si>
    <t>809</t>
  </si>
  <si>
    <t>Zee TV HD</t>
  </si>
  <si>
    <t>810</t>
  </si>
  <si>
    <t>Zee Cinema HD</t>
  </si>
  <si>
    <t>811</t>
  </si>
  <si>
    <t>&amp;TV</t>
  </si>
  <si>
    <t>812</t>
  </si>
  <si>
    <t>Living Foodz HD</t>
  </si>
  <si>
    <t>813</t>
  </si>
  <si>
    <t>815</t>
  </si>
  <si>
    <t>816</t>
  </si>
  <si>
    <t>825</t>
  </si>
  <si>
    <t>TV5MONDE</t>
  </si>
  <si>
    <t>826</t>
  </si>
  <si>
    <t>Colors</t>
  </si>
  <si>
    <t>827</t>
  </si>
  <si>
    <t>Rishtey Europe</t>
  </si>
  <si>
    <t>828</t>
  </si>
  <si>
    <t>829</t>
  </si>
  <si>
    <t>831</t>
  </si>
  <si>
    <t>832</t>
  </si>
  <si>
    <t>France 24 French HD</t>
  </si>
  <si>
    <t>833</t>
  </si>
  <si>
    <t>834</t>
  </si>
  <si>
    <t>836</t>
  </si>
  <si>
    <t>837</t>
  </si>
  <si>
    <t>838</t>
  </si>
  <si>
    <t>Islam Channel</t>
  </si>
  <si>
    <t>839</t>
  </si>
  <si>
    <t>840</t>
  </si>
  <si>
    <t>BritAsia TV</t>
  </si>
  <si>
    <t>841</t>
  </si>
  <si>
    <t>842</t>
  </si>
  <si>
    <t>ABN</t>
  </si>
  <si>
    <t>851</t>
  </si>
  <si>
    <t>BBC One AD</t>
  </si>
  <si>
    <t>852</t>
  </si>
  <si>
    <t>BBC Two AD</t>
  </si>
  <si>
    <t>853</t>
  </si>
  <si>
    <t>ITV AD</t>
  </si>
  <si>
    <t>854</t>
  </si>
  <si>
    <t>Channel 4 AD</t>
  </si>
  <si>
    <t>855</t>
  </si>
  <si>
    <t>Channel 5 AD</t>
  </si>
  <si>
    <t>856</t>
  </si>
  <si>
    <t>S4C AD</t>
  </si>
  <si>
    <t>861</t>
  </si>
  <si>
    <t>862</t>
  </si>
  <si>
    <t>863</t>
  </si>
  <si>
    <t>BBC One NI</t>
  </si>
  <si>
    <t>864</t>
  </si>
  <si>
    <t>865</t>
  </si>
  <si>
    <t>901</t>
  </si>
  <si>
    <t>902</t>
  </si>
  <si>
    <t>903</t>
  </si>
  <si>
    <t>904</t>
  </si>
  <si>
    <t>BBC Radio 4</t>
  </si>
  <si>
    <t>905</t>
  </si>
  <si>
    <t>906</t>
  </si>
  <si>
    <t>907</t>
  </si>
  <si>
    <t>BBC Radio 1 Xtra</t>
  </si>
  <si>
    <t>908</t>
  </si>
  <si>
    <t>BBC Radio 5 Sports Extra</t>
  </si>
  <si>
    <t>909</t>
  </si>
  <si>
    <t>910</t>
  </si>
  <si>
    <t>911</t>
  </si>
  <si>
    <t>BBC Radio 4 LW</t>
  </si>
  <si>
    <t>912</t>
  </si>
  <si>
    <t>915</t>
  </si>
  <si>
    <t>916</t>
  </si>
  <si>
    <t>917</t>
  </si>
  <si>
    <t>RTE Radio</t>
  </si>
  <si>
    <t>918</t>
  </si>
  <si>
    <t>919</t>
  </si>
  <si>
    <t>LBC</t>
  </si>
  <si>
    <t>920</t>
  </si>
  <si>
    <t>921</t>
  </si>
  <si>
    <t>922</t>
  </si>
  <si>
    <t>923</t>
  </si>
  <si>
    <t>924</t>
  </si>
  <si>
    <t>927</t>
  </si>
  <si>
    <t>talkSPORT</t>
  </si>
  <si>
    <t>928</t>
  </si>
  <si>
    <t>930</t>
  </si>
  <si>
    <t>931</t>
  </si>
  <si>
    <t>932</t>
  </si>
  <si>
    <t>933</t>
  </si>
  <si>
    <t>BBC Radio Foyle</t>
  </si>
  <si>
    <t>934</t>
  </si>
  <si>
    <t>BBC Radio NanGaidheal</t>
  </si>
  <si>
    <t>936</t>
  </si>
  <si>
    <t>937</t>
  </si>
  <si>
    <t>BBC London</t>
  </si>
  <si>
    <t>951</t>
  </si>
  <si>
    <t>Absolute 80s</t>
  </si>
  <si>
    <t>952</t>
  </si>
  <si>
    <t>958</t>
  </si>
  <si>
    <t>959</t>
  </si>
  <si>
    <t>960</t>
  </si>
  <si>
    <t>963</t>
  </si>
  <si>
    <t>969</t>
  </si>
  <si>
    <t>Adult Preview</t>
  </si>
  <si>
    <t>970</t>
  </si>
  <si>
    <t>972</t>
  </si>
  <si>
    <t>973</t>
  </si>
  <si>
    <t>My Ex-Girlfriends Nightly</t>
  </si>
  <si>
    <t>974</t>
  </si>
  <si>
    <t>Filth XXX</t>
  </si>
  <si>
    <t>975</t>
  </si>
  <si>
    <t>Red Hot XXX</t>
  </si>
  <si>
    <t>976</t>
  </si>
  <si>
    <t>Wives XXX</t>
  </si>
  <si>
    <t>977</t>
  </si>
  <si>
    <t>XXX Mums</t>
  </si>
  <si>
    <t>978</t>
  </si>
  <si>
    <t>980</t>
  </si>
  <si>
    <t>981</t>
  </si>
  <si>
    <t>Babe Station</t>
  </si>
  <si>
    <t>991</t>
  </si>
  <si>
    <t>BBC RB 1</t>
  </si>
  <si>
    <t>999</t>
  </si>
  <si>
    <t>Virgin TV Ultra HD</t>
  </si>
  <si>
    <t>PIN Help</t>
  </si>
  <si>
    <t>History 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</si>
</sst>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0" fillId="0" borderId="0" xfId="0" quotePrefix="1"/>
    <xf numFmtId="0" fontId="2" fillId="0" borderId="0" xfId="1"/>
    <xf numFmtId="4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0</xdr:row>
          <xdr:rowOff>28575</xdr:rowOff>
        </xdr:from>
        <xdr:to>
          <xdr:col>15</xdr:col>
          <xdr:colOff>581025</xdr:colOff>
          <xdr:row>0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eeview.co.uk/app/themes/freeview/assets/images/channels/entertainment/rtetwo.png" TargetMode="External"/><Relationship Id="rId1" Type="http://schemas.openxmlformats.org/officeDocument/2006/relationships/hyperlink" Target="https://www.freeview.co.uk/app/themes/freeview/assets/images/channels/entertainment/rteone.pn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3" max="3" width="20.85546875" customWidth="1"/>
  </cols>
  <sheetData>
    <row r="1" spans="1:15" s="1" customFormat="1" x14ac:dyDescent="0.25">
      <c r="A1" s="1" t="s">
        <v>2</v>
      </c>
      <c r="B1" s="1" t="s">
        <v>1</v>
      </c>
      <c r="C1" s="1" t="s">
        <v>3</v>
      </c>
      <c r="D1" s="1" t="s">
        <v>4</v>
      </c>
      <c r="E1" s="1" t="s">
        <v>6</v>
      </c>
      <c r="F1" s="1" t="s">
        <v>5</v>
      </c>
      <c r="G1" s="1" t="s">
        <v>7</v>
      </c>
      <c r="H1" s="1" t="s">
        <v>8</v>
      </c>
      <c r="L1" s="1" t="s">
        <v>303</v>
      </c>
      <c r="M1" s="1" t="str">
        <f>"+1 Auto"</f>
        <v>+1 Auto</v>
      </c>
      <c r="O1" s="1" t="s">
        <v>304</v>
      </c>
    </row>
    <row r="2" spans="1:15" x14ac:dyDescent="0.25">
      <c r="A2">
        <v>100</v>
      </c>
      <c r="B2" t="s">
        <v>9</v>
      </c>
      <c r="E2" t="s">
        <v>302</v>
      </c>
      <c r="J2" t="str">
        <f>B2</f>
        <v>Virgin Media Previews</v>
      </c>
      <c r="K2">
        <f>A2</f>
        <v>100</v>
      </c>
      <c r="L2" t="str">
        <f>IF(NOT(ISERROR(VLOOKUP(B2&amp;" HD",B:B,1,FALSE))),VLOOKUP(B2&amp;" HD",J:K,2,FALSE),"")</f>
        <v/>
      </c>
      <c r="M2" t="str">
        <f>IF(NOT(ISERROR(VLOOKUP(B2&amp;" +1",B:B,1,FALSE))),VLOOKUP(B2&amp;" +1",J:K,2,FALSE),"")</f>
        <v/>
      </c>
      <c r="O2" t="str">
        <f>SUBSTITUTE(CONCATENATE("      ",A2,":","\nname: ",B2,IF(C2&lt;&gt;"","\nshow: "&amp;C2,""),IF(D2&lt;&gt;"","\nhd_channel: "&amp;D2,""),IF(E2&lt;&gt;"","\nplus_one: "&amp;E2,""),IF(F2&lt;&gt;"","\nlogo: "&amp;F2,""),IF(G2&lt;&gt;"","\ntarget: "&amp;G2,""),IF(H2&lt;&gt;"","\nsource: "&amp;H2,"")),"\n",CHAR(10)&amp;"        ")</f>
        <v xml:space="preserve">      100:
        name: Virgin Media Previews</v>
      </c>
    </row>
    <row r="3" spans="1:15" x14ac:dyDescent="0.25">
      <c r="A3">
        <v>101</v>
      </c>
      <c r="B3" t="s">
        <v>13</v>
      </c>
      <c r="C3" t="str">
        <f>"true"</f>
        <v>true</v>
      </c>
      <c r="D3">
        <v>108</v>
      </c>
      <c r="E3" t="s">
        <v>302</v>
      </c>
      <c r="J3" t="str">
        <f t="shared" ref="J3:J66" si="0">B3</f>
        <v>BBC One</v>
      </c>
      <c r="K3">
        <f t="shared" ref="K3:K66" si="1">A3</f>
        <v>101</v>
      </c>
      <c r="L3">
        <f>IF(NOT(ISERROR(VLOOKUP(B3&amp;" HD",B:B,1,FALSE))),VLOOKUP(B3&amp;" HD",J:K,2,FALSE),"")</f>
        <v>108</v>
      </c>
      <c r="M3" t="str">
        <f>IF(NOT(ISERROR(VLOOKUP(B3&amp;" +1",B:B,1,FALSE))),VLOOKUP(B3&amp;" +1",J:K,2,FALSE),"")</f>
        <v/>
      </c>
      <c r="O3" t="str">
        <f t="shared" ref="O3:O66" si="2">SUBSTITUTE(CONCATENATE("      ",A3,":","\nname: ",B3,IF(C3&lt;&gt;"","\nshow: "&amp;C3,""),IF(D3&lt;&gt;"","\nhd_channel: "&amp;D3,""),IF(E3&lt;&gt;"","\nplus_one: "&amp;E3,""),IF(F3&lt;&gt;"","\nlogo: "&amp;F3,""),IF(G3&lt;&gt;"","\ntarget: "&amp;G3,""),IF(H3&lt;&gt;"","\nsource: "&amp;H3,"")),"\n",CHAR(10)&amp;"        ")</f>
        <v xml:space="preserve">      101:
        name: BBC One
        show: true
        hd_channel: 108</v>
      </c>
    </row>
    <row r="4" spans="1:15" x14ac:dyDescent="0.25">
      <c r="A4">
        <v>102</v>
      </c>
      <c r="B4" t="s">
        <v>14</v>
      </c>
      <c r="C4" t="str">
        <f>"true"</f>
        <v>true</v>
      </c>
      <c r="D4">
        <v>162</v>
      </c>
      <c r="E4" t="s">
        <v>302</v>
      </c>
      <c r="J4" t="str">
        <f t="shared" si="0"/>
        <v>BBC Two</v>
      </c>
      <c r="K4">
        <f t="shared" si="1"/>
        <v>102</v>
      </c>
      <c r="L4">
        <f>IF(NOT(ISERROR(VLOOKUP(B4&amp;" HD",B:B,1,FALSE))),VLOOKUP(B4&amp;" HD",J:K,2,FALSE),"")</f>
        <v>162</v>
      </c>
      <c r="M4" t="str">
        <f>IF(NOT(ISERROR(VLOOKUP(B4&amp;" +1",B:B,1,FALSE))),VLOOKUP(B4&amp;" +1",J:K,2,FALSE),"")</f>
        <v/>
      </c>
      <c r="O4" t="str">
        <f t="shared" si="2"/>
        <v xml:space="preserve">      102:
        name: BBC Two
        show: true
        hd_channel: 162</v>
      </c>
    </row>
    <row r="5" spans="1:15" x14ac:dyDescent="0.25">
      <c r="A5">
        <v>103</v>
      </c>
      <c r="B5" t="s">
        <v>15</v>
      </c>
      <c r="C5" t="str">
        <f>"true"</f>
        <v>true</v>
      </c>
      <c r="D5">
        <v>113</v>
      </c>
      <c r="E5">
        <v>114</v>
      </c>
      <c r="J5" t="str">
        <f t="shared" si="0"/>
        <v>ITV</v>
      </c>
      <c r="K5">
        <f t="shared" si="1"/>
        <v>103</v>
      </c>
      <c r="L5">
        <f>IF(NOT(ISERROR(VLOOKUP(B5&amp;" HD",B:B,1,FALSE))),VLOOKUP(B5&amp;" HD",J:K,2,FALSE),"")</f>
        <v>113</v>
      </c>
      <c r="M5">
        <f>IF(NOT(ISERROR(VLOOKUP(B5&amp;" +1",B:B,1,FALSE))),VLOOKUP(B5&amp;" +1",J:K,2,FALSE),"")</f>
        <v>114</v>
      </c>
      <c r="O5" t="str">
        <f t="shared" si="2"/>
        <v xml:space="preserve">      103:
        name: ITV
        show: true
        hd_channel: 113
        plus_one: 114</v>
      </c>
    </row>
    <row r="6" spans="1:15" x14ac:dyDescent="0.25">
      <c r="A6">
        <v>104</v>
      </c>
      <c r="B6" t="s">
        <v>16</v>
      </c>
      <c r="C6" t="str">
        <f>"true"</f>
        <v>true</v>
      </c>
      <c r="D6">
        <v>141</v>
      </c>
      <c r="E6">
        <v>142</v>
      </c>
      <c r="J6" t="str">
        <f t="shared" si="0"/>
        <v>Channel 4</v>
      </c>
      <c r="K6">
        <f t="shared" si="1"/>
        <v>104</v>
      </c>
      <c r="L6">
        <f>IF(NOT(ISERROR(VLOOKUP(B6&amp;" HD",B:B,1,FALSE))),VLOOKUP(B6&amp;" HD",J:K,2,FALSE),"")</f>
        <v>141</v>
      </c>
      <c r="M6">
        <f>IF(NOT(ISERROR(VLOOKUP(B6&amp;" +1",B:B,1,FALSE))),VLOOKUP(B6&amp;" +1",J:K,2,FALSE),"")</f>
        <v>142</v>
      </c>
      <c r="O6" t="str">
        <f t="shared" si="2"/>
        <v xml:space="preserve">      104:
        name: Channel 4
        show: true
        hd_channel: 141
        plus_one: 142</v>
      </c>
    </row>
    <row r="7" spans="1:15" x14ac:dyDescent="0.25">
      <c r="A7">
        <v>105</v>
      </c>
      <c r="B7" t="s">
        <v>17</v>
      </c>
      <c r="C7" t="str">
        <f>"true"</f>
        <v>true</v>
      </c>
      <c r="D7">
        <v>150</v>
      </c>
      <c r="E7">
        <v>155</v>
      </c>
      <c r="J7" t="str">
        <f t="shared" si="0"/>
        <v>Channel 5</v>
      </c>
      <c r="K7">
        <f t="shared" si="1"/>
        <v>105</v>
      </c>
      <c r="L7">
        <f>IF(NOT(ISERROR(VLOOKUP(B7&amp;" HD",B:B,1,FALSE))),VLOOKUP(B7&amp;" HD",J:K,2,FALSE),"")</f>
        <v>150</v>
      </c>
      <c r="M7">
        <f>IF(NOT(ISERROR(VLOOKUP(B7&amp;" +1",B:B,1,FALSE))),VLOOKUP(B7&amp;" +1",J:K,2,FALSE),"")</f>
        <v>155</v>
      </c>
      <c r="O7" t="str">
        <f t="shared" si="2"/>
        <v xml:space="preserve">      105:
        name: Channel 5
        show: true
        hd_channel: 150
        plus_one: 155</v>
      </c>
    </row>
    <row r="8" spans="1:15" x14ac:dyDescent="0.25">
      <c r="A8">
        <v>106</v>
      </c>
      <c r="B8" t="s">
        <v>18</v>
      </c>
      <c r="C8" t="str">
        <f>"true"</f>
        <v>true</v>
      </c>
      <c r="D8">
        <v>145</v>
      </c>
      <c r="E8">
        <v>146</v>
      </c>
      <c r="J8" t="str">
        <f t="shared" si="0"/>
        <v>E4</v>
      </c>
      <c r="K8">
        <f t="shared" si="1"/>
        <v>106</v>
      </c>
      <c r="L8">
        <f>IF(NOT(ISERROR(VLOOKUP(B8&amp;" HD",B:B,1,FALSE))),VLOOKUP(B8&amp;" HD",J:K,2,FALSE),"")</f>
        <v>145</v>
      </c>
      <c r="M8">
        <f>IF(NOT(ISERROR(VLOOKUP(B8&amp;" +1",B:B,1,FALSE))),VLOOKUP(B8&amp;" +1",J:K,2,FALSE),"")</f>
        <v>146</v>
      </c>
      <c r="O8" t="str">
        <f t="shared" si="2"/>
        <v xml:space="preserve">      106:
        name: E4
        show: true
        hd_channel: 145
        plus_one: 146</v>
      </c>
    </row>
    <row r="9" spans="1:15" x14ac:dyDescent="0.25">
      <c r="A9">
        <v>107</v>
      </c>
      <c r="B9" t="s">
        <v>19</v>
      </c>
      <c r="D9">
        <v>163</v>
      </c>
      <c r="E9" t="s">
        <v>302</v>
      </c>
      <c r="J9" t="str">
        <f t="shared" si="0"/>
        <v>BBC Four</v>
      </c>
      <c r="K9">
        <f t="shared" si="1"/>
        <v>107</v>
      </c>
      <c r="L9">
        <f>IF(NOT(ISERROR(VLOOKUP(B9&amp;" HD",B:B,1,FALSE))),VLOOKUP(B9&amp;" HD",J:K,2,FALSE),"")</f>
        <v>163</v>
      </c>
      <c r="M9" t="str">
        <f>IF(NOT(ISERROR(VLOOKUP(B9&amp;" +1",B:B,1,FALSE))),VLOOKUP(B9&amp;" +1",J:K,2,FALSE),"")</f>
        <v/>
      </c>
      <c r="O9" t="str">
        <f t="shared" si="2"/>
        <v xml:space="preserve">      107:
        name: BBC Four
        hd_channel: 163</v>
      </c>
    </row>
    <row r="10" spans="1:15" x14ac:dyDescent="0.25">
      <c r="A10">
        <v>108</v>
      </c>
      <c r="B10" t="s">
        <v>20</v>
      </c>
      <c r="D10" t="s">
        <v>302</v>
      </c>
      <c r="E10" t="s">
        <v>302</v>
      </c>
      <c r="J10" t="str">
        <f t="shared" si="0"/>
        <v>BBC One HD</v>
      </c>
      <c r="K10">
        <f t="shared" si="1"/>
        <v>108</v>
      </c>
      <c r="L10" t="str">
        <f>IF(NOT(ISERROR(VLOOKUP(B10&amp;" HD",B:B,1,FALSE))),VLOOKUP(B10&amp;" HD",J:K,2,FALSE),"")</f>
        <v/>
      </c>
      <c r="M10" t="str">
        <f>IF(NOT(ISERROR(VLOOKUP(B10&amp;" +1",B:B,1,FALSE))),VLOOKUP(B10&amp;" +1",J:K,2,FALSE),"")</f>
        <v/>
      </c>
      <c r="O10" t="str">
        <f t="shared" si="2"/>
        <v xml:space="preserve">      108:
        name: BBC One HD</v>
      </c>
    </row>
    <row r="11" spans="1:15" x14ac:dyDescent="0.25">
      <c r="A11">
        <v>109</v>
      </c>
      <c r="B11" t="s">
        <v>323</v>
      </c>
      <c r="D11" t="s">
        <v>302</v>
      </c>
      <c r="E11" t="s">
        <v>302</v>
      </c>
      <c r="J11" t="str">
        <f t="shared" si="0"/>
        <v>Sky One HD</v>
      </c>
      <c r="K11">
        <f t="shared" si="1"/>
        <v>109</v>
      </c>
      <c r="L11" t="str">
        <f>IF(NOT(ISERROR(VLOOKUP(B11&amp;" HD",B:B,1,FALSE))),VLOOKUP(B11&amp;" HD",J:K,2,FALSE),"")</f>
        <v/>
      </c>
      <c r="M11" t="str">
        <f>IF(NOT(ISERROR(VLOOKUP(B11&amp;" +1",B:B,1,FALSE))),VLOOKUP(B11&amp;" +1",J:K,2,FALSE),"")</f>
        <v/>
      </c>
      <c r="O11" t="str">
        <f t="shared" si="2"/>
        <v xml:space="preserve">      109:
        name: Sky One HD</v>
      </c>
    </row>
    <row r="12" spans="1:15" x14ac:dyDescent="0.25">
      <c r="A12">
        <v>110</v>
      </c>
      <c r="B12" t="s">
        <v>325</v>
      </c>
      <c r="C12" t="str">
        <f>"true"</f>
        <v>true</v>
      </c>
      <c r="D12">
        <v>109</v>
      </c>
      <c r="E12" t="s">
        <v>302</v>
      </c>
      <c r="J12" t="str">
        <f t="shared" si="0"/>
        <v>Sky One</v>
      </c>
      <c r="K12">
        <f t="shared" si="1"/>
        <v>110</v>
      </c>
      <c r="L12">
        <f>IF(NOT(ISERROR(VLOOKUP(B12&amp;" HD",B:B,1,FALSE))),VLOOKUP(B12&amp;" HD",J:K,2,FALSE),"")</f>
        <v>109</v>
      </c>
      <c r="M12" t="str">
        <f>IF(NOT(ISERROR(VLOOKUP(B12&amp;" +1",B:B,1,FALSE))),VLOOKUP(B12&amp;" +1",J:K,2,FALSE),"")</f>
        <v/>
      </c>
      <c r="O12" t="str">
        <f t="shared" si="2"/>
        <v xml:space="preserve">      110:
        name: Sky One
        show: true
        hd_channel: 109</v>
      </c>
    </row>
    <row r="13" spans="1:15" x14ac:dyDescent="0.25">
      <c r="A13">
        <v>111</v>
      </c>
      <c r="B13" t="s">
        <v>327</v>
      </c>
      <c r="D13" t="s">
        <v>302</v>
      </c>
      <c r="E13" t="s">
        <v>302</v>
      </c>
      <c r="J13" t="str">
        <f t="shared" si="0"/>
        <v>Sky Witness HD</v>
      </c>
      <c r="K13">
        <f t="shared" si="1"/>
        <v>111</v>
      </c>
      <c r="L13" t="str">
        <f>IF(NOT(ISERROR(VLOOKUP(B13&amp;" HD",B:B,1,FALSE))),VLOOKUP(B13&amp;" HD",J:K,2,FALSE),"")</f>
        <v/>
      </c>
      <c r="M13" t="str">
        <f>IF(NOT(ISERROR(VLOOKUP(B13&amp;" +1",B:B,1,FALSE))),VLOOKUP(B13&amp;" +1",J:K,2,FALSE),"")</f>
        <v/>
      </c>
      <c r="O13" t="str">
        <f t="shared" si="2"/>
        <v xml:space="preserve">      111:
        name: Sky Witness HD</v>
      </c>
    </row>
    <row r="14" spans="1:15" x14ac:dyDescent="0.25">
      <c r="A14">
        <v>112</v>
      </c>
      <c r="B14" t="s">
        <v>329</v>
      </c>
      <c r="D14">
        <v>111</v>
      </c>
      <c r="E14">
        <v>140</v>
      </c>
      <c r="J14" t="str">
        <f t="shared" si="0"/>
        <v>Sky Witness</v>
      </c>
      <c r="K14">
        <f t="shared" si="1"/>
        <v>112</v>
      </c>
      <c r="L14">
        <f>IF(NOT(ISERROR(VLOOKUP(B14&amp;" HD",B:B,1,FALSE))),VLOOKUP(B14&amp;" HD",J:K,2,FALSE),"")</f>
        <v>111</v>
      </c>
      <c r="M14">
        <f>IF(NOT(ISERROR(VLOOKUP(B14&amp;" +1",B:B,1,FALSE))),VLOOKUP(B14&amp;" +1",J:K,2,FALSE),"")</f>
        <v>140</v>
      </c>
      <c r="O14" t="str">
        <f t="shared" si="2"/>
        <v xml:space="preserve">      112:
        name: Sky Witness
        hd_channel: 111
        plus_one: 140</v>
      </c>
    </row>
    <row r="15" spans="1:15" x14ac:dyDescent="0.25">
      <c r="A15">
        <v>113</v>
      </c>
      <c r="B15" t="s">
        <v>21</v>
      </c>
      <c r="D15" t="s">
        <v>302</v>
      </c>
      <c r="E15" t="s">
        <v>302</v>
      </c>
      <c r="J15" t="str">
        <f t="shared" si="0"/>
        <v>ITV HD</v>
      </c>
      <c r="K15">
        <f t="shared" si="1"/>
        <v>113</v>
      </c>
      <c r="L15" t="str">
        <f>IF(NOT(ISERROR(VLOOKUP(B15&amp;" HD",B:B,1,FALSE))),VLOOKUP(B15&amp;" HD",J:K,2,FALSE),"")</f>
        <v/>
      </c>
      <c r="M15" t="str">
        <f>IF(NOT(ISERROR(VLOOKUP(B15&amp;" +1",B:B,1,FALSE))),VLOOKUP(B15&amp;" +1",J:K,2,FALSE),"")</f>
        <v/>
      </c>
      <c r="O15" t="str">
        <f t="shared" si="2"/>
        <v xml:space="preserve">      113:
        name: ITV HD</v>
      </c>
    </row>
    <row r="16" spans="1:15" x14ac:dyDescent="0.25">
      <c r="A16">
        <v>114</v>
      </c>
      <c r="B16" t="s">
        <v>22</v>
      </c>
      <c r="D16" t="s">
        <v>302</v>
      </c>
      <c r="E16" t="s">
        <v>302</v>
      </c>
      <c r="J16" t="str">
        <f t="shared" si="0"/>
        <v>ITV +1</v>
      </c>
      <c r="K16">
        <f t="shared" si="1"/>
        <v>114</v>
      </c>
      <c r="L16" t="str">
        <f>IF(NOT(ISERROR(VLOOKUP(B16&amp;" HD",B:B,1,FALSE))),VLOOKUP(B16&amp;" HD",J:K,2,FALSE),"")</f>
        <v/>
      </c>
      <c r="M16" t="str">
        <f>IF(NOT(ISERROR(VLOOKUP(B16&amp;" +1",B:B,1,FALSE))),VLOOKUP(B16&amp;" +1",J:K,2,FALSE),"")</f>
        <v/>
      </c>
      <c r="O16" t="str">
        <f t="shared" si="2"/>
        <v xml:space="preserve">      114:
        name: ITV +1</v>
      </c>
    </row>
    <row r="17" spans="1:15" x14ac:dyDescent="0.25">
      <c r="A17">
        <v>115</v>
      </c>
      <c r="B17" t="s">
        <v>23</v>
      </c>
      <c r="C17" t="str">
        <f>"true"</f>
        <v>true</v>
      </c>
      <c r="D17">
        <v>176</v>
      </c>
      <c r="E17">
        <v>116</v>
      </c>
      <c r="J17" t="str">
        <f t="shared" si="0"/>
        <v>ITV2</v>
      </c>
      <c r="K17">
        <f t="shared" si="1"/>
        <v>115</v>
      </c>
      <c r="L17">
        <f>IF(NOT(ISERROR(VLOOKUP(B17&amp;" HD",B:B,1,FALSE))),VLOOKUP(B17&amp;" HD",J:K,2,FALSE),"")</f>
        <v>176</v>
      </c>
      <c r="M17">
        <f>IF(NOT(ISERROR(VLOOKUP(B17&amp;" +1",B:B,1,FALSE))),VLOOKUP(B17&amp;" +1",J:K,2,FALSE),"")</f>
        <v>116</v>
      </c>
      <c r="O17" t="str">
        <f t="shared" si="2"/>
        <v xml:space="preserve">      115:
        name: ITV2
        show: true
        hd_channel: 176
        plus_one: 116</v>
      </c>
    </row>
    <row r="18" spans="1:15" x14ac:dyDescent="0.25">
      <c r="A18">
        <v>116</v>
      </c>
      <c r="B18" t="s">
        <v>24</v>
      </c>
      <c r="D18" t="s">
        <v>302</v>
      </c>
      <c r="E18" t="s">
        <v>302</v>
      </c>
      <c r="J18" t="str">
        <f t="shared" si="0"/>
        <v>ITV2 +1</v>
      </c>
      <c r="K18">
        <f t="shared" si="1"/>
        <v>116</v>
      </c>
      <c r="L18" t="str">
        <f>IF(NOT(ISERROR(VLOOKUP(B18&amp;" HD",B:B,1,FALSE))),VLOOKUP(B18&amp;" HD",J:K,2,FALSE),"")</f>
        <v/>
      </c>
      <c r="M18" t="str">
        <f>IF(NOT(ISERROR(VLOOKUP(B18&amp;" +1",B:B,1,FALSE))),VLOOKUP(B18&amp;" +1",J:K,2,FALSE),"")</f>
        <v/>
      </c>
      <c r="O18" t="str">
        <f t="shared" si="2"/>
        <v xml:space="preserve">      116:
        name: ITV2 +1</v>
      </c>
    </row>
    <row r="19" spans="1:15" x14ac:dyDescent="0.25">
      <c r="A19">
        <v>117</v>
      </c>
      <c r="B19" t="s">
        <v>25</v>
      </c>
      <c r="C19" t="str">
        <f>"true"</f>
        <v>true</v>
      </c>
      <c r="D19">
        <v>177</v>
      </c>
      <c r="E19">
        <v>174</v>
      </c>
      <c r="J19" t="str">
        <f t="shared" si="0"/>
        <v>ITV3</v>
      </c>
      <c r="K19">
        <f t="shared" si="1"/>
        <v>117</v>
      </c>
      <c r="L19">
        <f>IF(NOT(ISERROR(VLOOKUP(B19&amp;" HD",B:B,1,FALSE))),VLOOKUP(B19&amp;" HD",J:K,2,FALSE),"")</f>
        <v>177</v>
      </c>
      <c r="M19">
        <f>IF(NOT(ISERROR(VLOOKUP(B19&amp;" +1",B:B,1,FALSE))),VLOOKUP(B19&amp;" +1",J:K,2,FALSE),"")</f>
        <v>174</v>
      </c>
      <c r="O19" t="str">
        <f t="shared" si="2"/>
        <v xml:space="preserve">      117:
        name: ITV3
        show: true
        hd_channel: 177
        plus_one: 174</v>
      </c>
    </row>
    <row r="20" spans="1:15" x14ac:dyDescent="0.25">
      <c r="A20">
        <v>118</v>
      </c>
      <c r="B20" t="s">
        <v>26</v>
      </c>
      <c r="C20" t="str">
        <f>"true"</f>
        <v>true</v>
      </c>
      <c r="D20">
        <v>178</v>
      </c>
      <c r="E20">
        <v>175</v>
      </c>
      <c r="J20" t="str">
        <f t="shared" si="0"/>
        <v>ITV4</v>
      </c>
      <c r="K20">
        <f t="shared" si="1"/>
        <v>118</v>
      </c>
      <c r="L20">
        <f>IF(NOT(ISERROR(VLOOKUP(B20&amp;" HD",B:B,1,FALSE))),VLOOKUP(B20&amp;" HD",J:K,2,FALSE),"")</f>
        <v>178</v>
      </c>
      <c r="M20">
        <f>IF(NOT(ISERROR(VLOOKUP(B20&amp;" +1",B:B,1,FALSE))),VLOOKUP(B20&amp;" +1",J:K,2,FALSE),"")</f>
        <v>175</v>
      </c>
      <c r="O20" t="str">
        <f t="shared" si="2"/>
        <v xml:space="preserve">      118:
        name: ITV4
        show: true
        hd_channel: 178
        plus_one: 175</v>
      </c>
    </row>
    <row r="21" spans="1:15" x14ac:dyDescent="0.25">
      <c r="A21">
        <v>119</v>
      </c>
      <c r="B21" t="s">
        <v>27</v>
      </c>
      <c r="D21">
        <v>179</v>
      </c>
      <c r="E21">
        <v>120</v>
      </c>
      <c r="J21" t="str">
        <f t="shared" si="0"/>
        <v>ITVBe</v>
      </c>
      <c r="K21">
        <f t="shared" si="1"/>
        <v>119</v>
      </c>
      <c r="L21">
        <f>IF(NOT(ISERROR(VLOOKUP(B21&amp;" HD",B:B,1,FALSE))),VLOOKUP(B21&amp;" HD",J:K,2,FALSE),"")</f>
        <v>179</v>
      </c>
      <c r="M21">
        <f>IF(NOT(ISERROR(VLOOKUP(B21&amp;" +1",B:B,1,FALSE))),VLOOKUP(B21&amp;" +1",J:K,2,FALSE),"")</f>
        <v>120</v>
      </c>
      <c r="O21" t="str">
        <f t="shared" si="2"/>
        <v xml:space="preserve">      119:
        name: ITVBe
        hd_channel: 179
        plus_one: 120</v>
      </c>
    </row>
    <row r="22" spans="1:15" x14ac:dyDescent="0.25">
      <c r="A22">
        <v>120</v>
      </c>
      <c r="B22" t="s">
        <v>28</v>
      </c>
      <c r="D22" t="s">
        <v>302</v>
      </c>
      <c r="E22" t="s">
        <v>302</v>
      </c>
      <c r="J22" t="str">
        <f t="shared" si="0"/>
        <v>ITVBe +1</v>
      </c>
      <c r="K22">
        <f t="shared" si="1"/>
        <v>120</v>
      </c>
      <c r="L22" t="str">
        <f>IF(NOT(ISERROR(VLOOKUP(B22&amp;" HD",B:B,1,FALSE))),VLOOKUP(B22&amp;" HD",J:K,2,FALSE),"")</f>
        <v/>
      </c>
      <c r="M22" t="str">
        <f>IF(NOT(ISERROR(VLOOKUP(B22&amp;" +1",B:B,1,FALSE))),VLOOKUP(B22&amp;" +1",J:K,2,FALSE),"")</f>
        <v/>
      </c>
      <c r="O22" t="str">
        <f t="shared" si="2"/>
        <v xml:space="preserve">      120:
        name: ITVBe +1</v>
      </c>
    </row>
    <row r="23" spans="1:15" x14ac:dyDescent="0.25">
      <c r="A23">
        <v>121</v>
      </c>
      <c r="B23" t="s">
        <v>339</v>
      </c>
      <c r="C23" t="str">
        <f>"true"</f>
        <v>true</v>
      </c>
      <c r="D23" t="s">
        <v>302</v>
      </c>
      <c r="E23" t="s">
        <v>302</v>
      </c>
      <c r="J23" t="str">
        <f t="shared" si="0"/>
        <v>Sky Two</v>
      </c>
      <c r="K23">
        <f t="shared" si="1"/>
        <v>121</v>
      </c>
      <c r="L23" t="str">
        <f>IF(NOT(ISERROR(VLOOKUP(B23&amp;" HD",B:B,1,FALSE))),VLOOKUP(B23&amp;" HD",J:K,2,FALSE),"")</f>
        <v/>
      </c>
      <c r="M23" t="str">
        <f>IF(NOT(ISERROR(VLOOKUP(B23&amp;" +1",B:B,1,FALSE))),VLOOKUP(B23&amp;" +1",J:K,2,FALSE),"")</f>
        <v/>
      </c>
      <c r="O23" t="str">
        <f t="shared" si="2"/>
        <v xml:space="preserve">      121:
        name: Sky Two
        show: true</v>
      </c>
    </row>
    <row r="24" spans="1:15" x14ac:dyDescent="0.25">
      <c r="A24">
        <v>122</v>
      </c>
      <c r="B24" t="s">
        <v>29</v>
      </c>
      <c r="D24">
        <v>206</v>
      </c>
      <c r="E24" t="s">
        <v>302</v>
      </c>
      <c r="J24" t="str">
        <f t="shared" si="0"/>
        <v>Sky Arts</v>
      </c>
      <c r="K24">
        <f t="shared" si="1"/>
        <v>122</v>
      </c>
      <c r="L24">
        <f>IF(NOT(ISERROR(VLOOKUP(B24&amp;" HD",B:B,1,FALSE))),VLOOKUP(B24&amp;" HD",J:K,2,FALSE),"")</f>
        <v>206</v>
      </c>
      <c r="M24" t="str">
        <f>IF(NOT(ISERROR(VLOOKUP(B24&amp;" +1",B:B,1,FALSE))),VLOOKUP(B24&amp;" +1",J:K,2,FALSE),"")</f>
        <v/>
      </c>
      <c r="O24" t="str">
        <f t="shared" si="2"/>
        <v xml:space="preserve">      122:
        name: Sky Arts
        hd_channel: 206</v>
      </c>
    </row>
    <row r="25" spans="1:15" x14ac:dyDescent="0.25">
      <c r="A25">
        <v>123</v>
      </c>
      <c r="B25" t="s">
        <v>30</v>
      </c>
      <c r="D25" t="s">
        <v>302</v>
      </c>
      <c r="E25" t="s">
        <v>302</v>
      </c>
      <c r="J25" t="str">
        <f t="shared" si="0"/>
        <v>Pick</v>
      </c>
      <c r="K25">
        <f t="shared" si="1"/>
        <v>123</v>
      </c>
      <c r="L25" t="str">
        <f>IF(NOT(ISERROR(VLOOKUP(B25&amp;" HD",B:B,1,FALSE))),VLOOKUP(B25&amp;" HD",J:K,2,FALSE),"")</f>
        <v/>
      </c>
      <c r="M25" t="str">
        <f>IF(NOT(ISERROR(VLOOKUP(B25&amp;" +1",B:B,1,FALSE))),VLOOKUP(B25&amp;" +1",J:K,2,FALSE),"")</f>
        <v/>
      </c>
      <c r="O25" t="str">
        <f t="shared" si="2"/>
        <v xml:space="preserve">      123:
        name: Pick</v>
      </c>
    </row>
    <row r="26" spans="1:15" x14ac:dyDescent="0.25">
      <c r="A26">
        <v>124</v>
      </c>
      <c r="B26" t="s">
        <v>343</v>
      </c>
      <c r="C26" t="str">
        <f>"true"</f>
        <v>true</v>
      </c>
      <c r="D26" t="s">
        <v>302</v>
      </c>
      <c r="E26">
        <v>190</v>
      </c>
      <c r="J26" t="str">
        <f t="shared" si="0"/>
        <v>Gold HD</v>
      </c>
      <c r="K26">
        <f t="shared" si="1"/>
        <v>124</v>
      </c>
      <c r="L26" t="str">
        <f>IF(NOT(ISERROR(VLOOKUP(B26&amp;" HD",B:B,1,FALSE))),VLOOKUP(B26&amp;" HD",J:K,2,FALSE),"")</f>
        <v/>
      </c>
      <c r="M26" t="str">
        <f>IF(NOT(ISERROR(VLOOKUP(B26&amp;" +1",B:B,1,FALSE))),VLOOKUP(B26&amp;" +1",J:K,2,FALSE),"")</f>
        <v/>
      </c>
      <c r="O26" t="str">
        <f t="shared" si="2"/>
        <v xml:space="preserve">      124:
        name: Gold HD
        show: true
        plus_one: 190</v>
      </c>
    </row>
    <row r="27" spans="1:15" x14ac:dyDescent="0.25">
      <c r="A27">
        <v>125</v>
      </c>
      <c r="B27" t="s">
        <v>32</v>
      </c>
      <c r="D27">
        <v>191</v>
      </c>
      <c r="E27">
        <v>131</v>
      </c>
      <c r="J27" t="str">
        <f t="shared" si="0"/>
        <v>W</v>
      </c>
      <c r="K27">
        <f t="shared" si="1"/>
        <v>125</v>
      </c>
      <c r="L27">
        <f>IF(NOT(ISERROR(VLOOKUP(B27&amp;" HD",B:B,1,FALSE))),VLOOKUP(B27&amp;" HD",J:K,2,FALSE),"")</f>
        <v>191</v>
      </c>
      <c r="M27">
        <f>IF(NOT(ISERROR(VLOOKUP(B27&amp;" +1",B:B,1,FALSE))),VLOOKUP(B27&amp;" +1",J:K,2,FALSE),"")</f>
        <v>131</v>
      </c>
      <c r="O27" t="str">
        <f t="shared" si="2"/>
        <v xml:space="preserve">      125:
        name: W
        hd_channel: 191
        plus_one: 131</v>
      </c>
    </row>
    <row r="28" spans="1:15" x14ac:dyDescent="0.25">
      <c r="A28">
        <v>126</v>
      </c>
      <c r="B28" t="s">
        <v>33</v>
      </c>
      <c r="C28" t="str">
        <f>"true"</f>
        <v>true</v>
      </c>
      <c r="D28">
        <v>200</v>
      </c>
      <c r="E28">
        <v>130</v>
      </c>
      <c r="J28" t="str">
        <f t="shared" si="0"/>
        <v>alibi</v>
      </c>
      <c r="K28">
        <f t="shared" si="1"/>
        <v>126</v>
      </c>
      <c r="L28">
        <f>IF(NOT(ISERROR(VLOOKUP(B28&amp;" HD",B:B,1,FALSE))),VLOOKUP(B28&amp;" HD",J:K,2,FALSE),"")</f>
        <v>200</v>
      </c>
      <c r="M28">
        <f>IF(NOT(ISERROR(VLOOKUP(B28&amp;" +1",B:B,1,FALSE))),VLOOKUP(B28&amp;" +1",J:K,2,FALSE),"")</f>
        <v>130</v>
      </c>
      <c r="O28" t="str">
        <f t="shared" si="2"/>
        <v xml:space="preserve">      126:
        name: alibi
        show: true
        hd_channel: 200
        plus_one: 130</v>
      </c>
    </row>
    <row r="29" spans="1:15" x14ac:dyDescent="0.25">
      <c r="A29">
        <v>127</v>
      </c>
      <c r="B29" t="s">
        <v>34</v>
      </c>
      <c r="C29" t="str">
        <f>"true"</f>
        <v>true</v>
      </c>
      <c r="D29">
        <v>194</v>
      </c>
      <c r="E29" t="s">
        <v>302</v>
      </c>
      <c r="J29" t="str">
        <f t="shared" si="0"/>
        <v>Dave</v>
      </c>
      <c r="K29">
        <f t="shared" si="1"/>
        <v>127</v>
      </c>
      <c r="L29">
        <f>IF(NOT(ISERROR(VLOOKUP(B29&amp;" HD",B:B,1,FALSE))),VLOOKUP(B29&amp;" HD",J:K,2,FALSE),"")</f>
        <v>194</v>
      </c>
      <c r="M29" t="str">
        <f>IF(NOT(ISERROR(VLOOKUP(B29&amp;" +1",B:B,1,FALSE))),VLOOKUP(B29&amp;" +1",J:K,2,FALSE),"")</f>
        <v/>
      </c>
      <c r="O29" t="str">
        <f t="shared" si="2"/>
        <v xml:space="preserve">      127:
        name: Dave
        show: true
        hd_channel: 194</v>
      </c>
    </row>
    <row r="30" spans="1:15" x14ac:dyDescent="0.25">
      <c r="A30">
        <v>128</v>
      </c>
      <c r="B30" t="s">
        <v>35</v>
      </c>
      <c r="D30" t="s">
        <v>302</v>
      </c>
      <c r="E30" t="s">
        <v>302</v>
      </c>
      <c r="J30" t="str">
        <f t="shared" si="0"/>
        <v>Drama</v>
      </c>
      <c r="K30">
        <f t="shared" si="1"/>
        <v>128</v>
      </c>
      <c r="L30" t="str">
        <f>IF(NOT(ISERROR(VLOOKUP(B30&amp;" HD",B:B,1,FALSE))),VLOOKUP(B30&amp;" HD",J:K,2,FALSE),"")</f>
        <v/>
      </c>
      <c r="M30" t="str">
        <f>IF(NOT(ISERROR(VLOOKUP(B30&amp;" +1",B:B,1,FALSE))),VLOOKUP(B30&amp;" +1",J:K,2,FALSE),"")</f>
        <v/>
      </c>
      <c r="O30" t="str">
        <f t="shared" si="2"/>
        <v xml:space="preserve">      128:
        name: Drama</v>
      </c>
    </row>
    <row r="31" spans="1:15" x14ac:dyDescent="0.25">
      <c r="A31">
        <v>129</v>
      </c>
      <c r="B31" t="s">
        <v>36</v>
      </c>
      <c r="D31" t="s">
        <v>302</v>
      </c>
      <c r="E31" t="s">
        <v>302</v>
      </c>
      <c r="J31" t="str">
        <f t="shared" si="0"/>
        <v>Really</v>
      </c>
      <c r="K31">
        <f t="shared" si="1"/>
        <v>129</v>
      </c>
      <c r="L31" t="str">
        <f>IF(NOT(ISERROR(VLOOKUP(B31&amp;" HD",B:B,1,FALSE))),VLOOKUP(B31&amp;" HD",J:K,2,FALSE),"")</f>
        <v/>
      </c>
      <c r="M31" t="str">
        <f>IF(NOT(ISERROR(VLOOKUP(B31&amp;" +1",B:B,1,FALSE))),VLOOKUP(B31&amp;" +1",J:K,2,FALSE),"")</f>
        <v/>
      </c>
      <c r="O31" t="str">
        <f t="shared" si="2"/>
        <v xml:space="preserve">      129:
        name: Really</v>
      </c>
    </row>
    <row r="32" spans="1:15" x14ac:dyDescent="0.25">
      <c r="A32">
        <v>130</v>
      </c>
      <c r="B32" t="s">
        <v>37</v>
      </c>
      <c r="D32" t="s">
        <v>302</v>
      </c>
      <c r="E32" t="s">
        <v>302</v>
      </c>
      <c r="J32" t="str">
        <f t="shared" si="0"/>
        <v>alibi +1</v>
      </c>
      <c r="K32">
        <f t="shared" si="1"/>
        <v>130</v>
      </c>
      <c r="L32" t="str">
        <f>IF(NOT(ISERROR(VLOOKUP(B32&amp;" HD",B:B,1,FALSE))),VLOOKUP(B32&amp;" HD",J:K,2,FALSE),"")</f>
        <v/>
      </c>
      <c r="M32" t="str">
        <f>IF(NOT(ISERROR(VLOOKUP(B32&amp;" +1",B:B,1,FALSE))),VLOOKUP(B32&amp;" +1",J:K,2,FALSE),"")</f>
        <v/>
      </c>
      <c r="O32" t="str">
        <f t="shared" si="2"/>
        <v xml:space="preserve">      130:
        name: alibi +1</v>
      </c>
    </row>
    <row r="33" spans="1:15" x14ac:dyDescent="0.25">
      <c r="A33">
        <v>131</v>
      </c>
      <c r="B33" t="s">
        <v>38</v>
      </c>
      <c r="D33" t="s">
        <v>302</v>
      </c>
      <c r="E33" t="s">
        <v>302</v>
      </c>
      <c r="J33" t="str">
        <f t="shared" si="0"/>
        <v>W +1</v>
      </c>
      <c r="K33">
        <f t="shared" si="1"/>
        <v>131</v>
      </c>
      <c r="L33" t="str">
        <f>IF(NOT(ISERROR(VLOOKUP(B33&amp;" HD",B:B,1,FALSE))),VLOOKUP(B33&amp;" HD",J:K,2,FALSE),"")</f>
        <v/>
      </c>
      <c r="M33" t="str">
        <f>IF(NOT(ISERROR(VLOOKUP(B33&amp;" +1",B:B,1,FALSE))),VLOOKUP(B33&amp;" +1",J:K,2,FALSE),"")</f>
        <v/>
      </c>
      <c r="O33" t="str">
        <f t="shared" si="2"/>
        <v xml:space="preserve">      131:
        name: W +1</v>
      </c>
    </row>
    <row r="34" spans="1:15" x14ac:dyDescent="0.25">
      <c r="A34">
        <v>132</v>
      </c>
      <c r="B34" t="s">
        <v>39</v>
      </c>
      <c r="C34" t="str">
        <f>"true"</f>
        <v>true</v>
      </c>
      <c r="D34">
        <v>181</v>
      </c>
      <c r="E34">
        <v>133</v>
      </c>
      <c r="J34" t="str">
        <f t="shared" si="0"/>
        <v>Comedy Central</v>
      </c>
      <c r="K34">
        <f t="shared" si="1"/>
        <v>132</v>
      </c>
      <c r="L34">
        <f>IF(NOT(ISERROR(VLOOKUP(B34&amp;" HD",B:B,1,FALSE))),VLOOKUP(B34&amp;" HD",J:K,2,FALSE),"")</f>
        <v>181</v>
      </c>
      <c r="M34">
        <f>IF(NOT(ISERROR(VLOOKUP(B34&amp;" +1",B:B,1,FALSE))),VLOOKUP(B34&amp;" +1",J:K,2,FALSE),"")</f>
        <v>133</v>
      </c>
      <c r="O34" t="str">
        <f t="shared" si="2"/>
        <v xml:space="preserve">      132:
        name: Comedy Central
        show: true
        hd_channel: 181
        plus_one: 133</v>
      </c>
    </row>
    <row r="35" spans="1:15" x14ac:dyDescent="0.25">
      <c r="A35">
        <v>133</v>
      </c>
      <c r="B35" t="s">
        <v>40</v>
      </c>
      <c r="D35" t="s">
        <v>302</v>
      </c>
      <c r="E35" t="s">
        <v>302</v>
      </c>
      <c r="J35" t="str">
        <f t="shared" si="0"/>
        <v>Comedy Central +1</v>
      </c>
      <c r="K35">
        <f t="shared" si="1"/>
        <v>133</v>
      </c>
      <c r="L35" t="str">
        <f>IF(NOT(ISERROR(VLOOKUP(B35&amp;" HD",B:B,1,FALSE))),VLOOKUP(B35&amp;" HD",J:K,2,FALSE),"")</f>
        <v/>
      </c>
      <c r="M35" t="str">
        <f>IF(NOT(ISERROR(VLOOKUP(B35&amp;" +1",B:B,1,FALSE))),VLOOKUP(B35&amp;" +1",J:K,2,FALSE),"")</f>
        <v/>
      </c>
      <c r="O35" t="str">
        <f t="shared" si="2"/>
        <v xml:space="preserve">      133:
        name: Comedy Central +1</v>
      </c>
    </row>
    <row r="36" spans="1:15" x14ac:dyDescent="0.25">
      <c r="A36">
        <v>134</v>
      </c>
      <c r="B36" t="s">
        <v>41</v>
      </c>
      <c r="D36">
        <v>183</v>
      </c>
      <c r="E36" t="s">
        <v>302</v>
      </c>
      <c r="J36" t="str">
        <f t="shared" si="0"/>
        <v>MTV</v>
      </c>
      <c r="K36">
        <f t="shared" si="1"/>
        <v>134</v>
      </c>
      <c r="L36">
        <f>IF(NOT(ISERROR(VLOOKUP(B36&amp;" HD",B:B,1,FALSE))),VLOOKUP(B36&amp;" HD",J:K,2,FALSE),"")</f>
        <v>183</v>
      </c>
      <c r="M36" t="str">
        <f>IF(NOT(ISERROR(VLOOKUP(B36&amp;" +1",B:B,1,FALSE))),VLOOKUP(B36&amp;" +1",J:K,2,FALSE),"")</f>
        <v/>
      </c>
      <c r="O36" t="str">
        <f t="shared" si="2"/>
        <v xml:space="preserve">      134:
        name: MTV
        hd_channel: 183</v>
      </c>
    </row>
    <row r="37" spans="1:15" x14ac:dyDescent="0.25">
      <c r="A37">
        <v>135</v>
      </c>
      <c r="B37" t="s">
        <v>42</v>
      </c>
      <c r="C37" t="str">
        <f>"true"</f>
        <v>true</v>
      </c>
      <c r="D37">
        <v>165</v>
      </c>
      <c r="E37">
        <v>136</v>
      </c>
      <c r="J37" t="str">
        <f t="shared" si="0"/>
        <v>Syfy</v>
      </c>
      <c r="K37">
        <f t="shared" si="1"/>
        <v>135</v>
      </c>
      <c r="L37">
        <f>IF(NOT(ISERROR(VLOOKUP(B37&amp;" HD",B:B,1,FALSE))),VLOOKUP(B37&amp;" HD",J:K,2,FALSE),"")</f>
        <v>165</v>
      </c>
      <c r="M37">
        <f>IF(NOT(ISERROR(VLOOKUP(B37&amp;" +1",B:B,1,FALSE))),VLOOKUP(B37&amp;" +1",J:K,2,FALSE),"")</f>
        <v>136</v>
      </c>
      <c r="O37" t="str">
        <f t="shared" si="2"/>
        <v xml:space="preserve">      135:
        name: Syfy
        show: true
        hd_channel: 165
        plus_one: 136</v>
      </c>
    </row>
    <row r="38" spans="1:15" x14ac:dyDescent="0.25">
      <c r="A38">
        <v>136</v>
      </c>
      <c r="B38" t="s">
        <v>43</v>
      </c>
      <c r="D38" t="s">
        <v>302</v>
      </c>
      <c r="E38" t="s">
        <v>302</v>
      </c>
      <c r="J38" t="str">
        <f t="shared" si="0"/>
        <v>Syfy +1</v>
      </c>
      <c r="K38">
        <f t="shared" si="1"/>
        <v>136</v>
      </c>
      <c r="L38" t="str">
        <f>IF(NOT(ISERROR(VLOOKUP(B38&amp;" HD",B:B,1,FALSE))),VLOOKUP(B38&amp;" HD",J:K,2,FALSE),"")</f>
        <v/>
      </c>
      <c r="M38" t="str">
        <f>IF(NOT(ISERROR(VLOOKUP(B38&amp;" +1",B:B,1,FALSE))),VLOOKUP(B38&amp;" +1",J:K,2,FALSE),"")</f>
        <v/>
      </c>
      <c r="O38" t="str">
        <f t="shared" si="2"/>
        <v xml:space="preserve">      136:
        name: Syfy +1</v>
      </c>
    </row>
    <row r="39" spans="1:15" x14ac:dyDescent="0.25">
      <c r="A39">
        <v>137</v>
      </c>
      <c r="B39" t="s">
        <v>359</v>
      </c>
      <c r="D39">
        <v>164</v>
      </c>
      <c r="E39">
        <v>138</v>
      </c>
      <c r="J39" t="str">
        <f t="shared" si="0"/>
        <v>Universal TV</v>
      </c>
      <c r="K39">
        <f t="shared" si="1"/>
        <v>137</v>
      </c>
      <c r="L39">
        <f>IF(NOT(ISERROR(VLOOKUP(B39&amp;" HD",B:B,1,FALSE))),VLOOKUP(B39&amp;" HD",J:K,2,FALSE),"")</f>
        <v>164</v>
      </c>
      <c r="M39">
        <f>IF(NOT(ISERROR(VLOOKUP(B39&amp;" +1",B:B,1,FALSE))),VLOOKUP(B39&amp;" +1",J:K,2,FALSE),"")</f>
        <v>138</v>
      </c>
      <c r="O39" t="str">
        <f t="shared" si="2"/>
        <v xml:space="preserve">      137:
        name: Universal TV
        hd_channel: 164
        plus_one: 138</v>
      </c>
    </row>
    <row r="40" spans="1:15" x14ac:dyDescent="0.25">
      <c r="A40">
        <v>138</v>
      </c>
      <c r="B40" t="s">
        <v>361</v>
      </c>
      <c r="D40" t="s">
        <v>302</v>
      </c>
      <c r="E40" t="s">
        <v>302</v>
      </c>
      <c r="J40" t="str">
        <f t="shared" si="0"/>
        <v>Universal TV +1</v>
      </c>
      <c r="K40">
        <f t="shared" si="1"/>
        <v>138</v>
      </c>
      <c r="L40" t="str">
        <f>IF(NOT(ISERROR(VLOOKUP(B40&amp;" HD",B:B,1,FALSE))),VLOOKUP(B40&amp;" HD",J:K,2,FALSE),"")</f>
        <v/>
      </c>
      <c r="M40" t="str">
        <f>IF(NOT(ISERROR(VLOOKUP(B40&amp;" +1",B:B,1,FALSE))),VLOOKUP(B40&amp;" +1",J:K,2,FALSE),"")</f>
        <v/>
      </c>
      <c r="O40" t="str">
        <f t="shared" si="2"/>
        <v xml:space="preserve">      138:
        name: Universal TV +1</v>
      </c>
    </row>
    <row r="41" spans="1:15" x14ac:dyDescent="0.25">
      <c r="A41">
        <v>139</v>
      </c>
      <c r="B41" t="s">
        <v>44</v>
      </c>
      <c r="C41" t="str">
        <f>"true"</f>
        <v>true</v>
      </c>
      <c r="D41" t="s">
        <v>302</v>
      </c>
      <c r="E41">
        <v>180</v>
      </c>
      <c r="J41" t="str">
        <f t="shared" si="0"/>
        <v>Challenge</v>
      </c>
      <c r="K41">
        <f t="shared" si="1"/>
        <v>139</v>
      </c>
      <c r="L41" t="str">
        <f>IF(NOT(ISERROR(VLOOKUP(B41&amp;" HD",B:B,1,FALSE))),VLOOKUP(B41&amp;" HD",J:K,2,FALSE),"")</f>
        <v/>
      </c>
      <c r="M41">
        <f>IF(NOT(ISERROR(VLOOKUP(B41&amp;" +1",B:B,1,FALSE))),VLOOKUP(B41&amp;" +1",J:K,2,FALSE),"")</f>
        <v>180</v>
      </c>
      <c r="O41" t="str">
        <f t="shared" si="2"/>
        <v xml:space="preserve">      139:
        name: Challenge
        show: true
        plus_one: 180</v>
      </c>
    </row>
    <row r="42" spans="1:15" x14ac:dyDescent="0.25">
      <c r="A42">
        <v>140</v>
      </c>
      <c r="B42" t="s">
        <v>364</v>
      </c>
      <c r="D42" t="s">
        <v>302</v>
      </c>
      <c r="E42" t="s">
        <v>302</v>
      </c>
      <c r="J42" t="str">
        <f t="shared" si="0"/>
        <v>Sky Witness +1</v>
      </c>
      <c r="K42">
        <f t="shared" si="1"/>
        <v>140</v>
      </c>
      <c r="L42" t="str">
        <f>IF(NOT(ISERROR(VLOOKUP(B42&amp;" HD",B:B,1,FALSE))),VLOOKUP(B42&amp;" HD",J:K,2,FALSE),"")</f>
        <v/>
      </c>
      <c r="M42" t="str">
        <f>IF(NOT(ISERROR(VLOOKUP(B42&amp;" +1",B:B,1,FALSE))),VLOOKUP(B42&amp;" +1",J:K,2,FALSE),"")</f>
        <v/>
      </c>
      <c r="O42" t="str">
        <f t="shared" si="2"/>
        <v xml:space="preserve">      140:
        name: Sky Witness +1</v>
      </c>
    </row>
    <row r="43" spans="1:15" x14ac:dyDescent="0.25">
      <c r="A43">
        <v>141</v>
      </c>
      <c r="B43" t="s">
        <v>45</v>
      </c>
      <c r="D43" t="s">
        <v>302</v>
      </c>
      <c r="E43" t="s">
        <v>302</v>
      </c>
      <c r="J43" t="str">
        <f t="shared" si="0"/>
        <v>Channel 4 HD</v>
      </c>
      <c r="K43">
        <f t="shared" si="1"/>
        <v>141</v>
      </c>
      <c r="L43" t="str">
        <f>IF(NOT(ISERROR(VLOOKUP(B43&amp;" HD",B:B,1,FALSE))),VLOOKUP(B43&amp;" HD",J:K,2,FALSE),"")</f>
        <v/>
      </c>
      <c r="M43" t="str">
        <f>IF(NOT(ISERROR(VLOOKUP(B43&amp;" +1",B:B,1,FALSE))),VLOOKUP(B43&amp;" +1",J:K,2,FALSE),"")</f>
        <v/>
      </c>
      <c r="O43" t="str">
        <f t="shared" si="2"/>
        <v xml:space="preserve">      141:
        name: Channel 4 HD</v>
      </c>
    </row>
    <row r="44" spans="1:15" x14ac:dyDescent="0.25">
      <c r="A44">
        <v>142</v>
      </c>
      <c r="B44" t="s">
        <v>46</v>
      </c>
      <c r="D44" t="s">
        <v>302</v>
      </c>
      <c r="E44" t="s">
        <v>302</v>
      </c>
      <c r="J44" t="str">
        <f t="shared" si="0"/>
        <v>Channel 4 +1</v>
      </c>
      <c r="K44">
        <f t="shared" si="1"/>
        <v>142</v>
      </c>
      <c r="L44" t="str">
        <f>IF(NOT(ISERROR(VLOOKUP(B44&amp;" HD",B:B,1,FALSE))),VLOOKUP(B44&amp;" HD",J:K,2,FALSE),"")</f>
        <v/>
      </c>
      <c r="M44" t="str">
        <f>IF(NOT(ISERROR(VLOOKUP(B44&amp;" +1",B:B,1,FALSE))),VLOOKUP(B44&amp;" +1",J:K,2,FALSE),"")</f>
        <v/>
      </c>
      <c r="O44" t="str">
        <f t="shared" si="2"/>
        <v xml:space="preserve">      142:
        name: Channel 4 +1</v>
      </c>
    </row>
    <row r="45" spans="1:15" x14ac:dyDescent="0.25">
      <c r="A45">
        <v>143</v>
      </c>
      <c r="B45" t="s">
        <v>47</v>
      </c>
      <c r="D45">
        <v>203</v>
      </c>
      <c r="E45" t="s">
        <v>302</v>
      </c>
      <c r="J45" t="str">
        <f t="shared" si="0"/>
        <v>4seven</v>
      </c>
      <c r="K45">
        <f t="shared" si="1"/>
        <v>143</v>
      </c>
      <c r="L45">
        <f>IF(NOT(ISERROR(VLOOKUP(B45&amp;" HD",B:B,1,FALSE))),VLOOKUP(B45&amp;" HD",J:K,2,FALSE),"")</f>
        <v>203</v>
      </c>
      <c r="M45" t="str">
        <f>IF(NOT(ISERROR(VLOOKUP(B45&amp;" +1",B:B,1,FALSE))),VLOOKUP(B45&amp;" +1",J:K,2,FALSE),"")</f>
        <v/>
      </c>
      <c r="O45" t="str">
        <f t="shared" si="2"/>
        <v xml:space="preserve">      143:
        name: 4seven
        hd_channel: 203</v>
      </c>
    </row>
    <row r="46" spans="1:15" x14ac:dyDescent="0.25">
      <c r="A46">
        <v>145</v>
      </c>
      <c r="B46" t="s">
        <v>48</v>
      </c>
      <c r="D46" t="s">
        <v>302</v>
      </c>
      <c r="E46" t="s">
        <v>302</v>
      </c>
      <c r="J46" t="str">
        <f t="shared" si="0"/>
        <v>E4 HD</v>
      </c>
      <c r="K46">
        <f t="shared" si="1"/>
        <v>145</v>
      </c>
      <c r="L46" t="str">
        <f>IF(NOT(ISERROR(VLOOKUP(B46&amp;" HD",B:B,1,FALSE))),VLOOKUP(B46&amp;" HD",J:K,2,FALSE),"")</f>
        <v/>
      </c>
      <c r="M46" t="str">
        <f>IF(NOT(ISERROR(VLOOKUP(B46&amp;" +1",B:B,1,FALSE))),VLOOKUP(B46&amp;" +1",J:K,2,FALSE),"")</f>
        <v/>
      </c>
      <c r="O46" t="str">
        <f t="shared" si="2"/>
        <v xml:space="preserve">      145:
        name: E4 HD</v>
      </c>
    </row>
    <row r="47" spans="1:15" x14ac:dyDescent="0.25">
      <c r="A47">
        <v>146</v>
      </c>
      <c r="B47" t="s">
        <v>49</v>
      </c>
      <c r="D47" t="s">
        <v>302</v>
      </c>
      <c r="E47" t="s">
        <v>302</v>
      </c>
      <c r="J47" t="str">
        <f t="shared" si="0"/>
        <v>E4 +1</v>
      </c>
      <c r="K47">
        <f t="shared" si="1"/>
        <v>146</v>
      </c>
      <c r="L47" t="str">
        <f>IF(NOT(ISERROR(VLOOKUP(B47&amp;" HD",B:B,1,FALSE))),VLOOKUP(B47&amp;" HD",J:K,2,FALSE),"")</f>
        <v/>
      </c>
      <c r="M47" t="str">
        <f>IF(NOT(ISERROR(VLOOKUP(B47&amp;" +1",B:B,1,FALSE))),VLOOKUP(B47&amp;" +1",J:K,2,FALSE),"")</f>
        <v/>
      </c>
      <c r="O47" t="str">
        <f t="shared" si="2"/>
        <v xml:space="preserve">      146:
        name: E4 +1</v>
      </c>
    </row>
    <row r="48" spans="1:15" x14ac:dyDescent="0.25">
      <c r="A48">
        <v>147</v>
      </c>
      <c r="B48" t="s">
        <v>50</v>
      </c>
      <c r="C48" t="str">
        <f>"true"</f>
        <v>true</v>
      </c>
      <c r="D48">
        <v>195</v>
      </c>
      <c r="E48" t="s">
        <v>302</v>
      </c>
      <c r="J48" t="str">
        <f t="shared" si="0"/>
        <v>More4</v>
      </c>
      <c r="K48">
        <f t="shared" si="1"/>
        <v>147</v>
      </c>
      <c r="L48">
        <f>IF(NOT(ISERROR(VLOOKUP(B48&amp;" HD",B:B,1,FALSE))),VLOOKUP(B48&amp;" HD",J:K,2,FALSE),"")</f>
        <v>195</v>
      </c>
      <c r="M48">
        <f>IF(NOT(ISERROR(VLOOKUP(B48&amp;" +1",B:B,1,FALSE))),VLOOKUP(B48&amp;" +1",J:K,2,FALSE),"")</f>
        <v>196</v>
      </c>
      <c r="O48" t="str">
        <f t="shared" si="2"/>
        <v xml:space="preserve">      147:
        name: More4
        show: true
        hd_channel: 195</v>
      </c>
    </row>
    <row r="49" spans="1:15" x14ac:dyDescent="0.25">
      <c r="A49">
        <v>148</v>
      </c>
      <c r="B49" t="s">
        <v>51</v>
      </c>
      <c r="D49" t="s">
        <v>302</v>
      </c>
      <c r="E49">
        <v>201</v>
      </c>
      <c r="J49" t="str">
        <f t="shared" si="0"/>
        <v>CBS Reality</v>
      </c>
      <c r="K49">
        <f t="shared" si="1"/>
        <v>148</v>
      </c>
      <c r="L49" t="str">
        <f>IF(NOT(ISERROR(VLOOKUP(B49&amp;" HD",B:B,1,FALSE))),VLOOKUP(B49&amp;" HD",J:K,2,FALSE),"")</f>
        <v/>
      </c>
      <c r="M49">
        <f>IF(NOT(ISERROR(VLOOKUP(B49&amp;" +1",B:B,1,FALSE))),VLOOKUP(B49&amp;" +1",J:K,2,FALSE),"")</f>
        <v>201</v>
      </c>
      <c r="O49" t="str">
        <f t="shared" si="2"/>
        <v xml:space="preserve">      148:
        name: CBS Reality
        plus_one: 201</v>
      </c>
    </row>
    <row r="50" spans="1:15" x14ac:dyDescent="0.25">
      <c r="A50">
        <v>149</v>
      </c>
      <c r="B50" t="s">
        <v>52</v>
      </c>
      <c r="D50" t="s">
        <v>302</v>
      </c>
      <c r="E50">
        <v>202</v>
      </c>
      <c r="J50" t="str">
        <f t="shared" si="0"/>
        <v>Horror Channel</v>
      </c>
      <c r="K50">
        <f t="shared" si="1"/>
        <v>149</v>
      </c>
      <c r="L50" t="str">
        <f>IF(NOT(ISERROR(VLOOKUP(B50&amp;" HD",B:B,1,FALSE))),VLOOKUP(B50&amp;" HD",J:K,2,FALSE),"")</f>
        <v/>
      </c>
      <c r="M50">
        <f>IF(NOT(ISERROR(VLOOKUP(B50&amp;" +1",B:B,1,FALSE))),VLOOKUP(B50&amp;" +1",J:K,2,FALSE),"")</f>
        <v>202</v>
      </c>
      <c r="O50" t="str">
        <f t="shared" si="2"/>
        <v xml:space="preserve">      149:
        name: Horror Channel
        plus_one: 202</v>
      </c>
    </row>
    <row r="51" spans="1:15" x14ac:dyDescent="0.25">
      <c r="A51">
        <v>150</v>
      </c>
      <c r="B51" t="s">
        <v>53</v>
      </c>
      <c r="D51" t="s">
        <v>302</v>
      </c>
      <c r="E51" t="s">
        <v>302</v>
      </c>
      <c r="J51" t="str">
        <f t="shared" si="0"/>
        <v>Channel 5 HD</v>
      </c>
      <c r="K51">
        <f t="shared" si="1"/>
        <v>150</v>
      </c>
      <c r="L51" t="str">
        <f>IF(NOT(ISERROR(VLOOKUP(B51&amp;" HD",B:B,1,FALSE))),VLOOKUP(B51&amp;" HD",J:K,2,FALSE),"")</f>
        <v/>
      </c>
      <c r="M51" t="str">
        <f>IF(NOT(ISERROR(VLOOKUP(B51&amp;" +1",B:B,1,FALSE))),VLOOKUP(B51&amp;" +1",J:K,2,FALSE),"")</f>
        <v/>
      </c>
      <c r="O51" t="str">
        <f t="shared" si="2"/>
        <v xml:space="preserve">      150:
        name: Channel 5 HD</v>
      </c>
    </row>
    <row r="52" spans="1:15" x14ac:dyDescent="0.25">
      <c r="A52">
        <v>151</v>
      </c>
      <c r="B52" t="s">
        <v>54</v>
      </c>
      <c r="D52" t="s">
        <v>302</v>
      </c>
      <c r="E52">
        <v>186</v>
      </c>
      <c r="J52" t="str">
        <f t="shared" si="0"/>
        <v>5STAR</v>
      </c>
      <c r="K52">
        <f t="shared" si="1"/>
        <v>151</v>
      </c>
      <c r="L52" t="str">
        <f>IF(NOT(ISERROR(VLOOKUP(B52&amp;" HD",B:B,1,FALSE))),VLOOKUP(B52&amp;" HD",J:K,2,FALSE),"")</f>
        <v/>
      </c>
      <c r="M52">
        <f>IF(NOT(ISERROR(VLOOKUP(B52&amp;" +1",B:B,1,FALSE))),VLOOKUP(B52&amp;" +1",J:K,2,FALSE),"")</f>
        <v>186</v>
      </c>
      <c r="O52" t="str">
        <f t="shared" si="2"/>
        <v xml:space="preserve">      151:
        name: 5STAR
        plus_one: 186</v>
      </c>
    </row>
    <row r="53" spans="1:15" x14ac:dyDescent="0.25">
      <c r="A53">
        <v>152</v>
      </c>
      <c r="B53" t="s">
        <v>377</v>
      </c>
      <c r="D53" t="s">
        <v>302</v>
      </c>
      <c r="E53" t="s">
        <v>302</v>
      </c>
      <c r="J53" t="str">
        <f t="shared" si="0"/>
        <v>5Select</v>
      </c>
      <c r="K53">
        <f t="shared" si="1"/>
        <v>152</v>
      </c>
      <c r="L53" t="str">
        <f>IF(NOT(ISERROR(VLOOKUP(B53&amp;" HD",B:B,1,FALSE))),VLOOKUP(B53&amp;" HD",J:K,2,FALSE),"")</f>
        <v/>
      </c>
      <c r="M53" t="str">
        <f>IF(NOT(ISERROR(VLOOKUP(B53&amp;" +1",B:B,1,FALSE))),VLOOKUP(B53&amp;" +1",J:K,2,FALSE),"")</f>
        <v/>
      </c>
      <c r="O53" t="str">
        <f t="shared" si="2"/>
        <v xml:space="preserve">      152:
        name: 5Select</v>
      </c>
    </row>
    <row r="54" spans="1:15" x14ac:dyDescent="0.25">
      <c r="A54">
        <v>153</v>
      </c>
      <c r="B54" t="s">
        <v>55</v>
      </c>
      <c r="D54" t="s">
        <v>302</v>
      </c>
      <c r="E54">
        <v>185</v>
      </c>
      <c r="J54" t="str">
        <f t="shared" si="0"/>
        <v>5 USA</v>
      </c>
      <c r="K54">
        <f t="shared" si="1"/>
        <v>153</v>
      </c>
      <c r="L54" t="str">
        <f>IF(NOT(ISERROR(VLOOKUP(B54&amp;" HD",B:B,1,FALSE))),VLOOKUP(B54&amp;" HD",J:K,2,FALSE),"")</f>
        <v/>
      </c>
      <c r="M54">
        <f>IF(NOT(ISERROR(VLOOKUP(B54&amp;" +1",B:B,1,FALSE))),VLOOKUP(B54&amp;" +1",J:K,2,FALSE),"")</f>
        <v>185</v>
      </c>
      <c r="O54" t="str">
        <f t="shared" si="2"/>
        <v xml:space="preserve">      153:
        name: 5 USA
        plus_one: 185</v>
      </c>
    </row>
    <row r="55" spans="1:15" x14ac:dyDescent="0.25">
      <c r="A55">
        <v>154</v>
      </c>
      <c r="B55" t="s">
        <v>380</v>
      </c>
      <c r="D55" t="s">
        <v>302</v>
      </c>
      <c r="E55" t="s">
        <v>302</v>
      </c>
      <c r="J55" t="str">
        <f t="shared" si="0"/>
        <v>5Spike</v>
      </c>
      <c r="K55">
        <f t="shared" si="1"/>
        <v>154</v>
      </c>
      <c r="L55" t="str">
        <f>IF(NOT(ISERROR(VLOOKUP(B55&amp;" HD",B:B,1,FALSE))),VLOOKUP(B55&amp;" HD",J:K,2,FALSE),"")</f>
        <v/>
      </c>
      <c r="M55" t="str">
        <f>IF(NOT(ISERROR(VLOOKUP(B55&amp;" +1",B:B,1,FALSE))),VLOOKUP(B55&amp;" +1",J:K,2,FALSE),"")</f>
        <v/>
      </c>
      <c r="O55" t="str">
        <f t="shared" si="2"/>
        <v xml:space="preserve">      154:
        name: 5Spike</v>
      </c>
    </row>
    <row r="56" spans="1:15" x14ac:dyDescent="0.25">
      <c r="A56">
        <v>155</v>
      </c>
      <c r="B56" t="s">
        <v>56</v>
      </c>
      <c r="D56" t="s">
        <v>302</v>
      </c>
      <c r="E56" t="s">
        <v>302</v>
      </c>
      <c r="J56" t="str">
        <f t="shared" si="0"/>
        <v>Channel 5 +1</v>
      </c>
      <c r="K56">
        <f t="shared" si="1"/>
        <v>155</v>
      </c>
      <c r="L56" t="str">
        <f>IF(NOT(ISERROR(VLOOKUP(B56&amp;" HD",B:B,1,FALSE))),VLOOKUP(B56&amp;" HD",J:K,2,FALSE),"")</f>
        <v/>
      </c>
      <c r="M56" t="str">
        <f>IF(NOT(ISERROR(VLOOKUP(B56&amp;" +1",B:B,1,FALSE))),VLOOKUP(B56&amp;" +1",J:K,2,FALSE),"")</f>
        <v/>
      </c>
      <c r="O56" t="str">
        <f t="shared" si="2"/>
        <v xml:space="preserve">      155:
        name: Channel 5 +1</v>
      </c>
    </row>
    <row r="57" spans="1:15" x14ac:dyDescent="0.25">
      <c r="A57">
        <v>156</v>
      </c>
      <c r="B57" t="s">
        <v>57</v>
      </c>
      <c r="D57" t="s">
        <v>302</v>
      </c>
      <c r="E57" t="s">
        <v>302</v>
      </c>
      <c r="J57" t="str">
        <f t="shared" si="0"/>
        <v>E!</v>
      </c>
      <c r="K57">
        <f t="shared" si="1"/>
        <v>156</v>
      </c>
      <c r="L57" t="str">
        <f>IF(NOT(ISERROR(VLOOKUP(B57&amp;" HD",B:B,1,FALSE))),VLOOKUP(B57&amp;" HD",J:K,2,FALSE),"")</f>
        <v/>
      </c>
      <c r="M57" t="str">
        <f>IF(NOT(ISERROR(VLOOKUP(B57&amp;" +1",B:B,1,FALSE))),VLOOKUP(B57&amp;" +1",J:K,2,FALSE),"")</f>
        <v/>
      </c>
      <c r="O57" t="str">
        <f t="shared" si="2"/>
        <v xml:space="preserve">      156:
        name: E!</v>
      </c>
    </row>
    <row r="58" spans="1:15" x14ac:dyDescent="0.25">
      <c r="A58">
        <v>157</v>
      </c>
      <c r="B58" t="s">
        <v>58</v>
      </c>
      <c r="D58">
        <v>199</v>
      </c>
      <c r="E58">
        <v>158</v>
      </c>
      <c r="J58" t="str">
        <f t="shared" si="0"/>
        <v>FOX</v>
      </c>
      <c r="K58">
        <f t="shared" si="1"/>
        <v>157</v>
      </c>
      <c r="L58">
        <f>IF(NOT(ISERROR(VLOOKUP(B58&amp;" HD",B:B,1,FALSE))),VLOOKUP(B58&amp;" HD",J:K,2,FALSE),"")</f>
        <v>199</v>
      </c>
      <c r="M58">
        <f>IF(NOT(ISERROR(VLOOKUP(B58&amp;" +1",B:B,1,FALSE))),VLOOKUP(B58&amp;" +1",J:K,2,FALSE),"")</f>
        <v>158</v>
      </c>
      <c r="O58" t="str">
        <f t="shared" si="2"/>
        <v xml:space="preserve">      157:
        name: FOX
        hd_channel: 199
        plus_one: 158</v>
      </c>
    </row>
    <row r="59" spans="1:15" x14ac:dyDescent="0.25">
      <c r="A59">
        <v>158</v>
      </c>
      <c r="B59" t="s">
        <v>59</v>
      </c>
      <c r="D59" t="s">
        <v>302</v>
      </c>
      <c r="E59" t="s">
        <v>302</v>
      </c>
      <c r="J59" t="str">
        <f t="shared" si="0"/>
        <v>FOX +1</v>
      </c>
      <c r="K59">
        <f t="shared" si="1"/>
        <v>158</v>
      </c>
      <c r="L59" t="str">
        <f>IF(NOT(ISERROR(VLOOKUP(B59&amp;" HD",B:B,1,FALSE))),VLOOKUP(B59&amp;" HD",J:K,2,FALSE),"")</f>
        <v/>
      </c>
      <c r="M59" t="str">
        <f>IF(NOT(ISERROR(VLOOKUP(B59&amp;" +1",B:B,1,FALSE))),VLOOKUP(B59&amp;" +1",J:K,2,FALSE),"")</f>
        <v/>
      </c>
      <c r="O59" t="str">
        <f t="shared" si="2"/>
        <v xml:space="preserve">      158:
        name: FOX +1</v>
      </c>
    </row>
    <row r="60" spans="1:15" x14ac:dyDescent="0.25">
      <c r="A60">
        <v>159</v>
      </c>
      <c r="B60" t="s">
        <v>386</v>
      </c>
      <c r="D60" t="s">
        <v>302</v>
      </c>
      <c r="E60" t="s">
        <v>302</v>
      </c>
      <c r="J60" t="str">
        <f t="shared" si="0"/>
        <v>Regional Channels</v>
      </c>
      <c r="K60">
        <f t="shared" si="1"/>
        <v>159</v>
      </c>
      <c r="L60" t="str">
        <f>IF(NOT(ISERROR(VLOOKUP(B60&amp;" HD",B:B,1,FALSE))),VLOOKUP(B60&amp;" HD",J:K,2,FALSE),"")</f>
        <v/>
      </c>
      <c r="M60" t="str">
        <f>IF(NOT(ISERROR(VLOOKUP(B60&amp;" +1",B:B,1,FALSE))),VLOOKUP(B60&amp;" +1",J:K,2,FALSE),"")</f>
        <v/>
      </c>
      <c r="O60" t="str">
        <f t="shared" si="2"/>
        <v xml:space="preserve">      159:
        name: Regional Channels</v>
      </c>
    </row>
    <row r="61" spans="1:15" x14ac:dyDescent="0.25">
      <c r="A61">
        <v>160</v>
      </c>
      <c r="B61" t="s">
        <v>60</v>
      </c>
      <c r="D61" t="s">
        <v>302</v>
      </c>
      <c r="E61">
        <v>207</v>
      </c>
      <c r="J61" t="str">
        <f t="shared" si="0"/>
        <v>Real Lives</v>
      </c>
      <c r="K61">
        <f t="shared" si="1"/>
        <v>160</v>
      </c>
      <c r="L61" t="str">
        <f>IF(NOT(ISERROR(VLOOKUP(B61&amp;" HD",B:B,1,FALSE))),VLOOKUP(B61&amp;" HD",J:K,2,FALSE),"")</f>
        <v/>
      </c>
      <c r="M61">
        <f>IF(NOT(ISERROR(VLOOKUP(B61&amp;" +1",B:B,1,FALSE))),VLOOKUP(B61&amp;" +1",J:K,2,FALSE),"")</f>
        <v>207</v>
      </c>
      <c r="O61" t="str">
        <f t="shared" si="2"/>
        <v xml:space="preserve">      160:
        name: Real Lives
        plus_one: 207</v>
      </c>
    </row>
    <row r="62" spans="1:15" x14ac:dyDescent="0.25">
      <c r="A62">
        <v>161</v>
      </c>
      <c r="B62" t="s">
        <v>61</v>
      </c>
      <c r="D62" t="s">
        <v>302</v>
      </c>
      <c r="E62" t="s">
        <v>302</v>
      </c>
      <c r="J62" t="str">
        <f t="shared" si="0"/>
        <v>BBC Alba</v>
      </c>
      <c r="K62">
        <f t="shared" si="1"/>
        <v>161</v>
      </c>
      <c r="L62" t="str">
        <f>IF(NOT(ISERROR(VLOOKUP(B62&amp;" HD",B:B,1,FALSE))),VLOOKUP(B62&amp;" HD",J:K,2,FALSE),"")</f>
        <v/>
      </c>
      <c r="M62" t="str">
        <f>IF(NOT(ISERROR(VLOOKUP(B62&amp;" +1",B:B,1,FALSE))),VLOOKUP(B62&amp;" +1",J:K,2,FALSE),"")</f>
        <v/>
      </c>
      <c r="O62" t="str">
        <f t="shared" si="2"/>
        <v xml:space="preserve">      161:
        name: BBC Alba</v>
      </c>
    </row>
    <row r="63" spans="1:15" x14ac:dyDescent="0.25">
      <c r="A63">
        <v>162</v>
      </c>
      <c r="B63" t="s">
        <v>62</v>
      </c>
      <c r="D63" t="s">
        <v>302</v>
      </c>
      <c r="E63" t="s">
        <v>302</v>
      </c>
      <c r="J63" t="str">
        <f t="shared" si="0"/>
        <v>BBC Two HD</v>
      </c>
      <c r="K63">
        <f t="shared" si="1"/>
        <v>162</v>
      </c>
      <c r="L63" t="str">
        <f>IF(NOT(ISERROR(VLOOKUP(B63&amp;" HD",B:B,1,FALSE))),VLOOKUP(B63&amp;" HD",J:K,2,FALSE),"")</f>
        <v/>
      </c>
      <c r="M63" t="str">
        <f>IF(NOT(ISERROR(VLOOKUP(B63&amp;" +1",B:B,1,FALSE))),VLOOKUP(B63&amp;" +1",J:K,2,FALSE),"")</f>
        <v/>
      </c>
      <c r="O63" t="str">
        <f t="shared" si="2"/>
        <v xml:space="preserve">      162:
        name: BBC Two HD</v>
      </c>
    </row>
    <row r="64" spans="1:15" x14ac:dyDescent="0.25">
      <c r="A64">
        <v>163</v>
      </c>
      <c r="B64" t="s">
        <v>63</v>
      </c>
      <c r="D64" t="s">
        <v>302</v>
      </c>
      <c r="E64" t="s">
        <v>302</v>
      </c>
      <c r="J64" t="str">
        <f t="shared" si="0"/>
        <v>BBC Four HD</v>
      </c>
      <c r="K64">
        <f t="shared" si="1"/>
        <v>163</v>
      </c>
      <c r="L64" t="str">
        <f>IF(NOT(ISERROR(VLOOKUP(B64&amp;" HD",B:B,1,FALSE))),VLOOKUP(B64&amp;" HD",J:K,2,FALSE),"")</f>
        <v/>
      </c>
      <c r="M64" t="str">
        <f>IF(NOT(ISERROR(VLOOKUP(B64&amp;" +1",B:B,1,FALSE))),VLOOKUP(B64&amp;" +1",J:K,2,FALSE),"")</f>
        <v/>
      </c>
      <c r="O64" t="str">
        <f t="shared" si="2"/>
        <v xml:space="preserve">      163:
        name: BBC Four HD</v>
      </c>
    </row>
    <row r="65" spans="1:15" x14ac:dyDescent="0.25">
      <c r="A65">
        <v>164</v>
      </c>
      <c r="B65" t="s">
        <v>392</v>
      </c>
      <c r="D65" t="s">
        <v>302</v>
      </c>
      <c r="E65" t="s">
        <v>302</v>
      </c>
      <c r="J65" t="str">
        <f t="shared" si="0"/>
        <v>Universal TV HD</v>
      </c>
      <c r="K65">
        <f t="shared" si="1"/>
        <v>164</v>
      </c>
      <c r="L65" t="str">
        <f>IF(NOT(ISERROR(VLOOKUP(B65&amp;" HD",B:B,1,FALSE))),VLOOKUP(B65&amp;" HD",J:K,2,FALSE),"")</f>
        <v/>
      </c>
      <c r="M65" t="str">
        <f>IF(NOT(ISERROR(VLOOKUP(B65&amp;" +1",B:B,1,FALSE))),VLOOKUP(B65&amp;" +1",J:K,2,FALSE),"")</f>
        <v/>
      </c>
      <c r="O65" t="str">
        <f t="shared" si="2"/>
        <v xml:space="preserve">      164:
        name: Universal TV HD</v>
      </c>
    </row>
    <row r="66" spans="1:15" x14ac:dyDescent="0.25">
      <c r="A66">
        <v>165</v>
      </c>
      <c r="B66" t="s">
        <v>64</v>
      </c>
      <c r="D66" t="s">
        <v>302</v>
      </c>
      <c r="E66" t="s">
        <v>302</v>
      </c>
      <c r="J66" t="str">
        <f t="shared" si="0"/>
        <v>Syfy HD</v>
      </c>
      <c r="K66">
        <f t="shared" si="1"/>
        <v>165</v>
      </c>
      <c r="L66" t="str">
        <f>IF(NOT(ISERROR(VLOOKUP(B66&amp;" HD",B:B,1,FALSE))),VLOOKUP(B66&amp;" HD",J:K,2,FALSE),"")</f>
        <v/>
      </c>
      <c r="M66" t="str">
        <f>IF(NOT(ISERROR(VLOOKUP(B66&amp;" +1",B:B,1,FALSE))),VLOOKUP(B66&amp;" +1",J:K,2,FALSE),"")</f>
        <v/>
      </c>
      <c r="O66" t="str">
        <f t="shared" si="2"/>
        <v xml:space="preserve">      165:
        name: Syfy HD</v>
      </c>
    </row>
    <row r="67" spans="1:15" x14ac:dyDescent="0.25">
      <c r="A67">
        <v>166</v>
      </c>
      <c r="B67" t="s">
        <v>65</v>
      </c>
      <c r="D67" t="s">
        <v>302</v>
      </c>
      <c r="E67" t="s">
        <v>302</v>
      </c>
      <c r="J67" t="str">
        <f t="shared" ref="J67:J138" si="3">B67</f>
        <v>S4C</v>
      </c>
      <c r="K67">
        <f t="shared" ref="K67:K138" si="4">A67</f>
        <v>166</v>
      </c>
      <c r="L67" t="str">
        <f>IF(NOT(ISERROR(VLOOKUP(B67&amp;" HD",B:B,1,FALSE))),VLOOKUP(B67&amp;" HD",J:K,2,FALSE),"")</f>
        <v/>
      </c>
      <c r="M67" t="str">
        <f>IF(NOT(ISERROR(VLOOKUP(B67&amp;" +1",B:B,1,FALSE))),VLOOKUP(B67&amp;" +1",J:K,2,FALSE),"")</f>
        <v/>
      </c>
      <c r="O67" t="str">
        <f t="shared" ref="O67:O138" si="5">SUBSTITUTE(CONCATENATE("      ",A67,":","\nname: ",B67,IF(C67&lt;&gt;"","\nshow: "&amp;C67,""),IF(D67&lt;&gt;"","\nhd_channel: "&amp;D67,""),IF(E67&lt;&gt;"","\nplus_one: "&amp;E67,""),IF(F67&lt;&gt;"","\nlogo: "&amp;F67,""),IF(G67&lt;&gt;"","\ntarget: "&amp;G67,""),IF(H67&lt;&gt;"","\nsource: "&amp;H67,"")),"\n",CHAR(10)&amp;"        ")</f>
        <v xml:space="preserve">      166:
        name: S4C</v>
      </c>
    </row>
    <row r="68" spans="1:15" x14ac:dyDescent="0.25">
      <c r="A68">
        <v>167</v>
      </c>
      <c r="B68" t="s">
        <v>66</v>
      </c>
      <c r="D68">
        <v>168</v>
      </c>
      <c r="E68">
        <v>169</v>
      </c>
      <c r="J68" t="str">
        <f t="shared" si="3"/>
        <v>TLC</v>
      </c>
      <c r="K68">
        <f t="shared" si="4"/>
        <v>167</v>
      </c>
      <c r="L68">
        <f>IF(NOT(ISERROR(VLOOKUP(B68&amp;" HD",B:B,1,FALSE))),VLOOKUP(B68&amp;" HD",J:K,2,FALSE),"")</f>
        <v>168</v>
      </c>
      <c r="M68">
        <f>IF(NOT(ISERROR(VLOOKUP(B68&amp;" +1",B:B,1,FALSE))),VLOOKUP(B68&amp;" +1",J:K,2,FALSE),"")</f>
        <v>169</v>
      </c>
      <c r="O68" t="str">
        <f t="shared" si="5"/>
        <v xml:space="preserve">      167:
        name: TLC
        hd_channel: 168
        plus_one: 169</v>
      </c>
    </row>
    <row r="69" spans="1:15" x14ac:dyDescent="0.25">
      <c r="A69">
        <v>168</v>
      </c>
      <c r="B69" t="s">
        <v>67</v>
      </c>
      <c r="D69" t="s">
        <v>302</v>
      </c>
      <c r="E69" t="s">
        <v>302</v>
      </c>
      <c r="J69" t="str">
        <f t="shared" si="3"/>
        <v>TLC HD</v>
      </c>
      <c r="K69">
        <f t="shared" si="4"/>
        <v>168</v>
      </c>
      <c r="L69" t="str">
        <f>IF(NOT(ISERROR(VLOOKUP(B69&amp;" HD",B:B,1,FALSE))),VLOOKUP(B69&amp;" HD",J:K,2,FALSE),"")</f>
        <v/>
      </c>
      <c r="M69" t="str">
        <f>IF(NOT(ISERROR(VLOOKUP(B69&amp;" +1",B:B,1,FALSE))),VLOOKUP(B69&amp;" +1",J:K,2,FALSE),"")</f>
        <v/>
      </c>
      <c r="O69" t="str">
        <f t="shared" si="5"/>
        <v xml:space="preserve">      168:
        name: TLC HD</v>
      </c>
    </row>
    <row r="70" spans="1:15" x14ac:dyDescent="0.25">
      <c r="A70">
        <v>169</v>
      </c>
      <c r="B70" t="s">
        <v>68</v>
      </c>
      <c r="D70" t="s">
        <v>302</v>
      </c>
      <c r="E70" t="s">
        <v>302</v>
      </c>
      <c r="J70" t="str">
        <f t="shared" si="3"/>
        <v>TLC +1</v>
      </c>
      <c r="K70">
        <f t="shared" si="4"/>
        <v>169</v>
      </c>
      <c r="L70" t="str">
        <f>IF(NOT(ISERROR(VLOOKUP(B70&amp;" HD",B:B,1,FALSE))),VLOOKUP(B70&amp;" HD",J:K,2,FALSE),"")</f>
        <v/>
      </c>
      <c r="M70" t="str">
        <f>IF(NOT(ISERROR(VLOOKUP(B70&amp;" +1",B:B,1,FALSE))),VLOOKUP(B70&amp;" +1",J:K,2,FALSE),"")</f>
        <v/>
      </c>
      <c r="O70" t="str">
        <f t="shared" si="5"/>
        <v xml:space="preserve">      169:
        name: TLC +1</v>
      </c>
    </row>
    <row r="71" spans="1:15" x14ac:dyDescent="0.25">
      <c r="A71">
        <v>170</v>
      </c>
      <c r="B71" t="s">
        <v>69</v>
      </c>
      <c r="D71" t="s">
        <v>302</v>
      </c>
      <c r="E71">
        <v>171</v>
      </c>
      <c r="J71" t="str">
        <f t="shared" si="3"/>
        <v>Investigation Discovery</v>
      </c>
      <c r="K71">
        <f t="shared" si="4"/>
        <v>170</v>
      </c>
      <c r="L71" t="str">
        <f>IF(NOT(ISERROR(VLOOKUP(B71&amp;" HD",B:B,1,FALSE))),VLOOKUP(B71&amp;" HD",J:K,2,FALSE),"")</f>
        <v/>
      </c>
      <c r="M71">
        <f>IF(NOT(ISERROR(VLOOKUP(B71&amp;" +1",B:B,1,FALSE))),VLOOKUP(B71&amp;" +1",J:K,2,FALSE),"")</f>
        <v>171</v>
      </c>
      <c r="O71" t="str">
        <f t="shared" si="5"/>
        <v xml:space="preserve">      170:
        name: Investigation Discovery
        plus_one: 171</v>
      </c>
    </row>
    <row r="72" spans="1:15" x14ac:dyDescent="0.25">
      <c r="A72">
        <v>171</v>
      </c>
      <c r="B72" t="s">
        <v>70</v>
      </c>
      <c r="D72" t="s">
        <v>302</v>
      </c>
      <c r="E72" t="s">
        <v>302</v>
      </c>
      <c r="J72" t="str">
        <f t="shared" si="3"/>
        <v>Investigation Discovery +1</v>
      </c>
      <c r="K72">
        <f t="shared" si="4"/>
        <v>171</v>
      </c>
      <c r="L72" t="str">
        <f>IF(NOT(ISERROR(VLOOKUP(B72&amp;" HD",B:B,1,FALSE))),VLOOKUP(B72&amp;" HD",J:K,2,FALSE),"")</f>
        <v/>
      </c>
      <c r="M72" t="str">
        <f>IF(NOT(ISERROR(VLOOKUP(B72&amp;" +1",B:B,1,FALSE))),VLOOKUP(B72&amp;" +1",J:K,2,FALSE),"")</f>
        <v/>
      </c>
      <c r="O72" t="str">
        <f t="shared" si="5"/>
        <v xml:space="preserve">      171:
        name: Investigation Discovery +1</v>
      </c>
    </row>
    <row r="73" spans="1:15" x14ac:dyDescent="0.25">
      <c r="A73">
        <v>172</v>
      </c>
      <c r="B73" t="s">
        <v>71</v>
      </c>
      <c r="D73">
        <v>217</v>
      </c>
      <c r="E73">
        <v>173</v>
      </c>
      <c r="J73" t="str">
        <f t="shared" si="3"/>
        <v>Quest</v>
      </c>
      <c r="K73">
        <f t="shared" si="4"/>
        <v>172</v>
      </c>
      <c r="L73">
        <f>IF(NOT(ISERROR(VLOOKUP(B73&amp;" HD",B:B,1,FALSE))),VLOOKUP(B73&amp;" HD",J:K,2,FALSE),"")</f>
        <v>217</v>
      </c>
      <c r="M73">
        <f>IF(NOT(ISERROR(VLOOKUP(B73&amp;" +1",B:B,1,FALSE))),VLOOKUP(B73&amp;" +1",J:K,2,FALSE),"")</f>
        <v>173</v>
      </c>
      <c r="O73" t="str">
        <f t="shared" si="5"/>
        <v xml:space="preserve">      172:
        name: Quest
        hd_channel: 217
        plus_one: 173</v>
      </c>
    </row>
    <row r="74" spans="1:15" x14ac:dyDescent="0.25">
      <c r="A74">
        <v>173</v>
      </c>
      <c r="B74" t="s">
        <v>72</v>
      </c>
      <c r="D74" t="s">
        <v>302</v>
      </c>
      <c r="E74" t="s">
        <v>302</v>
      </c>
      <c r="J74" t="str">
        <f t="shared" si="3"/>
        <v>Quest +1</v>
      </c>
      <c r="K74">
        <f t="shared" si="4"/>
        <v>173</v>
      </c>
      <c r="L74" t="str">
        <f>IF(NOT(ISERROR(VLOOKUP(B74&amp;" HD",B:B,1,FALSE))),VLOOKUP(B74&amp;" HD",J:K,2,FALSE),"")</f>
        <v/>
      </c>
      <c r="M74" t="str">
        <f>IF(NOT(ISERROR(VLOOKUP(B74&amp;" +1",B:B,1,FALSE))),VLOOKUP(B74&amp;" +1",J:K,2,FALSE),"")</f>
        <v/>
      </c>
      <c r="O74" t="str">
        <f t="shared" si="5"/>
        <v xml:space="preserve">      173:
        name: Quest +1</v>
      </c>
    </row>
    <row r="75" spans="1:15" x14ac:dyDescent="0.25">
      <c r="A75">
        <v>174</v>
      </c>
      <c r="B75" t="s">
        <v>73</v>
      </c>
      <c r="D75" t="s">
        <v>302</v>
      </c>
      <c r="E75" t="s">
        <v>302</v>
      </c>
      <c r="J75" t="str">
        <f t="shared" si="3"/>
        <v>ITV3 +1</v>
      </c>
      <c r="K75">
        <f t="shared" si="4"/>
        <v>174</v>
      </c>
      <c r="L75" t="str">
        <f>IF(NOT(ISERROR(VLOOKUP(B75&amp;" HD",B:B,1,FALSE))),VLOOKUP(B75&amp;" HD",J:K,2,FALSE),"")</f>
        <v/>
      </c>
      <c r="M75" t="str">
        <f>IF(NOT(ISERROR(VLOOKUP(B75&amp;" +1",B:B,1,FALSE))),VLOOKUP(B75&amp;" +1",J:K,2,FALSE),"")</f>
        <v/>
      </c>
      <c r="O75" t="str">
        <f t="shared" si="5"/>
        <v xml:space="preserve">      174:
        name: ITV3 +1</v>
      </c>
    </row>
    <row r="76" spans="1:15" x14ac:dyDescent="0.25">
      <c r="A76">
        <v>175</v>
      </c>
      <c r="B76" t="s">
        <v>74</v>
      </c>
      <c r="D76" t="s">
        <v>302</v>
      </c>
      <c r="E76" t="s">
        <v>302</v>
      </c>
      <c r="J76" t="str">
        <f t="shared" si="3"/>
        <v>ITV4 +1</v>
      </c>
      <c r="K76">
        <f t="shared" si="4"/>
        <v>175</v>
      </c>
      <c r="L76" t="str">
        <f>IF(NOT(ISERROR(VLOOKUP(B76&amp;" HD",B:B,1,FALSE))),VLOOKUP(B76&amp;" HD",J:K,2,FALSE),"")</f>
        <v/>
      </c>
      <c r="M76" t="str">
        <f>IF(NOT(ISERROR(VLOOKUP(B76&amp;" +1",B:B,1,FALSE))),VLOOKUP(B76&amp;" +1",J:K,2,FALSE),"")</f>
        <v/>
      </c>
      <c r="O76" t="str">
        <f t="shared" si="5"/>
        <v xml:space="preserve">      175:
        name: ITV4 +1</v>
      </c>
    </row>
    <row r="77" spans="1:15" x14ac:dyDescent="0.25">
      <c r="A77">
        <v>176</v>
      </c>
      <c r="B77" t="s">
        <v>75</v>
      </c>
      <c r="D77" t="s">
        <v>302</v>
      </c>
      <c r="E77" t="s">
        <v>302</v>
      </c>
      <c r="J77" t="str">
        <f t="shared" si="3"/>
        <v>ITV2 HD</v>
      </c>
      <c r="K77">
        <f t="shared" si="4"/>
        <v>176</v>
      </c>
      <c r="L77" t="str">
        <f>IF(NOT(ISERROR(VLOOKUP(B77&amp;" HD",B:B,1,FALSE))),VLOOKUP(B77&amp;" HD",J:K,2,FALSE),"")</f>
        <v/>
      </c>
      <c r="M77" t="str">
        <f>IF(NOT(ISERROR(VLOOKUP(B77&amp;" +1",B:B,1,FALSE))),VLOOKUP(B77&amp;" +1",J:K,2,FALSE),"")</f>
        <v/>
      </c>
      <c r="O77" t="str">
        <f t="shared" si="5"/>
        <v xml:space="preserve">      176:
        name: ITV2 HD</v>
      </c>
    </row>
    <row r="78" spans="1:15" x14ac:dyDescent="0.25">
      <c r="A78">
        <v>177</v>
      </c>
      <c r="B78" t="s">
        <v>76</v>
      </c>
      <c r="D78" t="s">
        <v>302</v>
      </c>
      <c r="E78" t="s">
        <v>302</v>
      </c>
      <c r="J78" t="str">
        <f t="shared" si="3"/>
        <v>ITV3 HD</v>
      </c>
      <c r="K78">
        <f t="shared" si="4"/>
        <v>177</v>
      </c>
      <c r="L78" t="str">
        <f>IF(NOT(ISERROR(VLOOKUP(B78&amp;" HD",B:B,1,FALSE))),VLOOKUP(B78&amp;" HD",J:K,2,FALSE),"")</f>
        <v/>
      </c>
      <c r="M78" t="str">
        <f>IF(NOT(ISERROR(VLOOKUP(B78&amp;" +1",B:B,1,FALSE))),VLOOKUP(B78&amp;" +1",J:K,2,FALSE),"")</f>
        <v/>
      </c>
      <c r="O78" t="str">
        <f t="shared" si="5"/>
        <v xml:space="preserve">      177:
        name: ITV3 HD</v>
      </c>
    </row>
    <row r="79" spans="1:15" x14ac:dyDescent="0.25">
      <c r="A79">
        <v>178</v>
      </c>
      <c r="B79" t="s">
        <v>77</v>
      </c>
      <c r="D79" t="s">
        <v>302</v>
      </c>
      <c r="E79" t="s">
        <v>302</v>
      </c>
      <c r="J79" t="str">
        <f t="shared" si="3"/>
        <v>ITV4 HD</v>
      </c>
      <c r="K79">
        <f t="shared" si="4"/>
        <v>178</v>
      </c>
      <c r="L79" t="str">
        <f>IF(NOT(ISERROR(VLOOKUP(B79&amp;" HD",B:B,1,FALSE))),VLOOKUP(B79&amp;" HD",J:K,2,FALSE),"")</f>
        <v/>
      </c>
      <c r="M79" t="str">
        <f>IF(NOT(ISERROR(VLOOKUP(B79&amp;" +1",B:B,1,FALSE))),VLOOKUP(B79&amp;" +1",J:K,2,FALSE),"")</f>
        <v/>
      </c>
      <c r="O79" t="str">
        <f t="shared" si="5"/>
        <v xml:space="preserve">      178:
        name: ITV4 HD</v>
      </c>
    </row>
    <row r="80" spans="1:15" x14ac:dyDescent="0.25">
      <c r="A80">
        <v>179</v>
      </c>
      <c r="B80" t="s">
        <v>78</v>
      </c>
      <c r="D80" t="s">
        <v>302</v>
      </c>
      <c r="E80" t="s">
        <v>302</v>
      </c>
      <c r="J80" t="str">
        <f t="shared" si="3"/>
        <v>ITVBe HD</v>
      </c>
      <c r="K80">
        <f t="shared" si="4"/>
        <v>179</v>
      </c>
      <c r="L80" t="str">
        <f>IF(NOT(ISERROR(VLOOKUP(B80&amp;" HD",B:B,1,FALSE))),VLOOKUP(B80&amp;" HD",J:K,2,FALSE),"")</f>
        <v/>
      </c>
      <c r="M80" t="str">
        <f>IF(NOT(ISERROR(VLOOKUP(B80&amp;" +1",B:B,1,FALSE))),VLOOKUP(B80&amp;" +1",J:K,2,FALSE),"")</f>
        <v/>
      </c>
      <c r="O80" t="str">
        <f t="shared" si="5"/>
        <v xml:space="preserve">      179:
        name: ITVBe HD</v>
      </c>
    </row>
    <row r="81" spans="1:15" x14ac:dyDescent="0.25">
      <c r="A81">
        <v>180</v>
      </c>
      <c r="B81" t="s">
        <v>79</v>
      </c>
      <c r="D81" t="s">
        <v>302</v>
      </c>
      <c r="E81" t="s">
        <v>302</v>
      </c>
      <c r="J81" t="str">
        <f t="shared" si="3"/>
        <v>Challenge +1</v>
      </c>
      <c r="K81">
        <f t="shared" si="4"/>
        <v>180</v>
      </c>
      <c r="L81" t="str">
        <f>IF(NOT(ISERROR(VLOOKUP(B81&amp;" HD",B:B,1,FALSE))),VLOOKUP(B81&amp;" HD",J:K,2,FALSE),"")</f>
        <v/>
      </c>
      <c r="M81" t="str">
        <f>IF(NOT(ISERROR(VLOOKUP(B81&amp;" +1",B:B,1,FALSE))),VLOOKUP(B81&amp;" +1",J:K,2,FALSE),"")</f>
        <v/>
      </c>
      <c r="O81" t="str">
        <f t="shared" si="5"/>
        <v xml:space="preserve">      180:
        name: Challenge +1</v>
      </c>
    </row>
    <row r="82" spans="1:15" x14ac:dyDescent="0.25">
      <c r="A82">
        <v>181</v>
      </c>
      <c r="B82" t="s">
        <v>80</v>
      </c>
      <c r="D82" t="s">
        <v>302</v>
      </c>
      <c r="E82" t="s">
        <v>302</v>
      </c>
      <c r="J82" t="str">
        <f t="shared" si="3"/>
        <v>Comedy Central HD</v>
      </c>
      <c r="K82">
        <f t="shared" si="4"/>
        <v>181</v>
      </c>
      <c r="L82" t="str">
        <f>IF(NOT(ISERROR(VLOOKUP(B82&amp;" HD",B:B,1,FALSE))),VLOOKUP(B82&amp;" HD",J:K,2,FALSE),"")</f>
        <v/>
      </c>
      <c r="M82" t="str">
        <f>IF(NOT(ISERROR(VLOOKUP(B82&amp;" +1",B:B,1,FALSE))),VLOOKUP(B82&amp;" +1",J:K,2,FALSE),"")</f>
        <v/>
      </c>
      <c r="O82" t="str">
        <f t="shared" si="5"/>
        <v xml:space="preserve">      181:
        name: Comedy Central HD</v>
      </c>
    </row>
    <row r="83" spans="1:15" x14ac:dyDescent="0.25">
      <c r="A83">
        <v>182</v>
      </c>
      <c r="B83" t="s">
        <v>81</v>
      </c>
      <c r="D83" t="s">
        <v>302</v>
      </c>
      <c r="E83" t="s">
        <v>302</v>
      </c>
      <c r="J83" t="str">
        <f t="shared" si="3"/>
        <v>Comedy Central Extra</v>
      </c>
      <c r="K83">
        <f t="shared" si="4"/>
        <v>182</v>
      </c>
      <c r="L83" t="str">
        <f>IF(NOT(ISERROR(VLOOKUP(B83&amp;" HD",B:B,1,FALSE))),VLOOKUP(B83&amp;" HD",J:K,2,FALSE),"")</f>
        <v/>
      </c>
      <c r="M83" t="str">
        <f>IF(NOT(ISERROR(VLOOKUP(B83&amp;" +1",B:B,1,FALSE))),VLOOKUP(B83&amp;" +1",J:K,2,FALSE),"")</f>
        <v/>
      </c>
      <c r="O83" t="str">
        <f t="shared" si="5"/>
        <v xml:space="preserve">      182:
        name: Comedy Central Extra</v>
      </c>
    </row>
    <row r="84" spans="1:15" x14ac:dyDescent="0.25">
      <c r="A84">
        <v>183</v>
      </c>
      <c r="B84" t="s">
        <v>82</v>
      </c>
      <c r="D84" t="s">
        <v>302</v>
      </c>
      <c r="E84" t="s">
        <v>302</v>
      </c>
      <c r="J84" t="str">
        <f t="shared" si="3"/>
        <v>MTV HD</v>
      </c>
      <c r="K84">
        <f t="shared" si="4"/>
        <v>183</v>
      </c>
      <c r="L84" t="str">
        <f>IF(NOT(ISERROR(VLOOKUP(B84&amp;" HD",B:B,1,FALSE))),VLOOKUP(B84&amp;" HD",J:K,2,FALSE),"")</f>
        <v/>
      </c>
      <c r="M84" t="str">
        <f>IF(NOT(ISERROR(VLOOKUP(B84&amp;" +1",B:B,1,FALSE))),VLOOKUP(B84&amp;" +1",J:K,2,FALSE),"")</f>
        <v/>
      </c>
      <c r="O84" t="str">
        <f t="shared" si="5"/>
        <v xml:space="preserve">      183:
        name: MTV HD</v>
      </c>
    </row>
    <row r="85" spans="1:15" x14ac:dyDescent="0.25">
      <c r="A85">
        <v>184</v>
      </c>
      <c r="B85" t="s">
        <v>83</v>
      </c>
      <c r="D85" t="s">
        <v>302</v>
      </c>
      <c r="E85" t="s">
        <v>302</v>
      </c>
      <c r="J85" t="str">
        <f t="shared" si="3"/>
        <v>BET</v>
      </c>
      <c r="K85">
        <f t="shared" si="4"/>
        <v>184</v>
      </c>
      <c r="L85" t="str">
        <f>IF(NOT(ISERROR(VLOOKUP(B85&amp;" HD",B:B,1,FALSE))),VLOOKUP(B85&amp;" HD",J:K,2,FALSE),"")</f>
        <v/>
      </c>
      <c r="M85" t="str">
        <f>IF(NOT(ISERROR(VLOOKUP(B85&amp;" +1",B:B,1,FALSE))),VLOOKUP(B85&amp;" +1",J:K,2,FALSE),"")</f>
        <v/>
      </c>
      <c r="O85" t="str">
        <f t="shared" si="5"/>
        <v xml:space="preserve">      184:
        name: BET</v>
      </c>
    </row>
    <row r="86" spans="1:15" x14ac:dyDescent="0.25">
      <c r="A86">
        <v>185</v>
      </c>
      <c r="B86" t="s">
        <v>84</v>
      </c>
      <c r="D86" t="s">
        <v>302</v>
      </c>
      <c r="E86" t="s">
        <v>302</v>
      </c>
      <c r="J86" t="str">
        <f t="shared" si="3"/>
        <v>5 USA +1</v>
      </c>
      <c r="K86">
        <f t="shared" si="4"/>
        <v>185</v>
      </c>
      <c r="L86" t="str">
        <f>IF(NOT(ISERROR(VLOOKUP(B86&amp;" HD",B:B,1,FALSE))),VLOOKUP(B86&amp;" HD",J:K,2,FALSE),"")</f>
        <v/>
      </c>
      <c r="M86" t="str">
        <f>IF(NOT(ISERROR(VLOOKUP(B86&amp;" +1",B:B,1,FALSE))),VLOOKUP(B86&amp;" +1",J:K,2,FALSE),"")</f>
        <v/>
      </c>
      <c r="O86" t="str">
        <f t="shared" si="5"/>
        <v xml:space="preserve">      185:
        name: 5 USA +1</v>
      </c>
    </row>
    <row r="87" spans="1:15" x14ac:dyDescent="0.25">
      <c r="A87">
        <v>186</v>
      </c>
      <c r="B87" t="s">
        <v>85</v>
      </c>
      <c r="D87" t="s">
        <v>302</v>
      </c>
      <c r="E87" t="s">
        <v>302</v>
      </c>
      <c r="J87" t="str">
        <f t="shared" si="3"/>
        <v>5STAR +1</v>
      </c>
      <c r="K87">
        <f t="shared" si="4"/>
        <v>186</v>
      </c>
      <c r="L87" t="str">
        <f>IF(NOT(ISERROR(VLOOKUP(B87&amp;" HD",B:B,1,FALSE))),VLOOKUP(B87&amp;" HD",J:K,2,FALSE),"")</f>
        <v/>
      </c>
      <c r="M87" t="str">
        <f>IF(NOT(ISERROR(VLOOKUP(B87&amp;" +1",B:B,1,FALSE))),VLOOKUP(B87&amp;" +1",J:K,2,FALSE),"")</f>
        <v/>
      </c>
      <c r="O87" t="str">
        <f t="shared" si="5"/>
        <v xml:space="preserve">      186:
        name: 5STAR +1</v>
      </c>
    </row>
    <row r="88" spans="1:15" x14ac:dyDescent="0.25">
      <c r="A88">
        <v>187</v>
      </c>
      <c r="B88" t="s">
        <v>417</v>
      </c>
      <c r="D88" t="s">
        <v>302</v>
      </c>
      <c r="E88" t="s">
        <v>302</v>
      </c>
      <c r="J88" t="str">
        <f t="shared" ref="J88:J90" si="6">B88</f>
        <v>Paramount Network HD</v>
      </c>
      <c r="K88">
        <f t="shared" ref="K88:K90" si="7">A88</f>
        <v>187</v>
      </c>
      <c r="L88" t="str">
        <f>IF(NOT(ISERROR(VLOOKUP(B88&amp;" HD",B:B,1,FALSE))),VLOOKUP(B88&amp;" HD",J:K,2,FALSE),"")</f>
        <v/>
      </c>
      <c r="M88" t="str">
        <f>IF(NOT(ISERROR(VLOOKUP(B88&amp;" +1",B:B,1,FALSE))),VLOOKUP(B88&amp;" +1",J:K,2,FALSE),"")</f>
        <v/>
      </c>
      <c r="O88" t="str">
        <f t="shared" ref="O88:O90" si="8">SUBSTITUTE(CONCATENATE("      ",A88,":","\nname: ",B88,IF(C88&lt;&gt;"","\nshow: "&amp;C88,""),IF(D88&lt;&gt;"","\nhd_channel: "&amp;D88,""),IF(E88&lt;&gt;"","\nplus_one: "&amp;E88,""),IF(F88&lt;&gt;"","\nlogo: "&amp;F88,""),IF(G88&lt;&gt;"","\ntarget: "&amp;G88,""),IF(H88&lt;&gt;"","\nsource: "&amp;H88,"")),"\n",CHAR(10)&amp;"        ")</f>
        <v xml:space="preserve">      187:
        name: Paramount Network HD</v>
      </c>
    </row>
    <row r="89" spans="1:15" x14ac:dyDescent="0.25">
      <c r="A89">
        <v>188</v>
      </c>
      <c r="B89" t="s">
        <v>419</v>
      </c>
      <c r="D89">
        <v>187</v>
      </c>
      <c r="E89" t="s">
        <v>302</v>
      </c>
      <c r="J89" t="str">
        <f t="shared" si="6"/>
        <v>Paramount Network</v>
      </c>
      <c r="K89">
        <f t="shared" si="7"/>
        <v>188</v>
      </c>
      <c r="L89">
        <f>IF(NOT(ISERROR(VLOOKUP(B89&amp;" HD",B:B,1,FALSE))),VLOOKUP(B89&amp;" HD",J:K,2,FALSE),"")</f>
        <v>187</v>
      </c>
      <c r="M89" t="str">
        <f>IF(NOT(ISERROR(VLOOKUP(B89&amp;" +1",B:B,1,FALSE))),VLOOKUP(B89&amp;" +1",J:K,2,FALSE),"")</f>
        <v/>
      </c>
      <c r="O89" t="str">
        <f t="shared" si="8"/>
        <v xml:space="preserve">      188:
        name: Paramount Network
        hd_channel: 187</v>
      </c>
    </row>
    <row r="90" spans="1:15" x14ac:dyDescent="0.25">
      <c r="A90">
        <v>189</v>
      </c>
      <c r="B90" t="s">
        <v>421</v>
      </c>
      <c r="D90" t="s">
        <v>302</v>
      </c>
      <c r="E90">
        <v>220</v>
      </c>
      <c r="J90" t="str">
        <f t="shared" si="6"/>
        <v>True Entertainment</v>
      </c>
      <c r="K90">
        <f t="shared" si="7"/>
        <v>189</v>
      </c>
      <c r="L90" t="str">
        <f>IF(NOT(ISERROR(VLOOKUP(B90&amp;" HD",B:B,1,FALSE))),VLOOKUP(B90&amp;" HD",J:K,2,FALSE),"")</f>
        <v/>
      </c>
      <c r="M90">
        <f>IF(NOT(ISERROR(VLOOKUP(B90&amp;" +1",B:B,1,FALSE))),VLOOKUP(B90&amp;" +1",J:K,2,FALSE),"")</f>
        <v>220</v>
      </c>
      <c r="O90" t="str">
        <f t="shared" si="8"/>
        <v xml:space="preserve">      189:
        name: True Entertainment
        plus_one: 220</v>
      </c>
    </row>
    <row r="91" spans="1:15" x14ac:dyDescent="0.25">
      <c r="A91">
        <v>190</v>
      </c>
      <c r="B91" t="s">
        <v>86</v>
      </c>
      <c r="D91" t="s">
        <v>302</v>
      </c>
      <c r="E91" t="s">
        <v>302</v>
      </c>
      <c r="J91" t="str">
        <f t="shared" si="3"/>
        <v>Gold +1</v>
      </c>
      <c r="K91">
        <f t="shared" si="4"/>
        <v>190</v>
      </c>
      <c r="L91" t="str">
        <f>IF(NOT(ISERROR(VLOOKUP(B91&amp;" HD",B:B,1,FALSE))),VLOOKUP(B91&amp;" HD",J:K,2,FALSE),"")</f>
        <v/>
      </c>
      <c r="M91" t="str">
        <f>IF(NOT(ISERROR(VLOOKUP(B91&amp;" +1",B:B,1,FALSE))),VLOOKUP(B91&amp;" +1",J:K,2,FALSE),"")</f>
        <v/>
      </c>
      <c r="O91" t="str">
        <f t="shared" si="5"/>
        <v xml:space="preserve">      190:
        name: Gold +1</v>
      </c>
    </row>
    <row r="92" spans="1:15" x14ac:dyDescent="0.25">
      <c r="A92">
        <v>191</v>
      </c>
      <c r="B92" t="s">
        <v>87</v>
      </c>
      <c r="D92" t="s">
        <v>302</v>
      </c>
      <c r="E92" t="s">
        <v>302</v>
      </c>
      <c r="J92" t="str">
        <f t="shared" si="3"/>
        <v>W HD</v>
      </c>
      <c r="K92">
        <f t="shared" si="4"/>
        <v>191</v>
      </c>
      <c r="L92" t="str">
        <f>IF(NOT(ISERROR(VLOOKUP(B92&amp;" HD",B:B,1,FALSE))),VLOOKUP(B92&amp;" HD",J:K,2,FALSE),"")</f>
        <v/>
      </c>
      <c r="M92" t="str">
        <f>IF(NOT(ISERROR(VLOOKUP(B92&amp;" +1",B:B,1,FALSE))),VLOOKUP(B92&amp;" +1",J:K,2,FALSE),"")</f>
        <v/>
      </c>
      <c r="O92" t="str">
        <f t="shared" si="5"/>
        <v xml:space="preserve">      191:
        name: W HD</v>
      </c>
    </row>
    <row r="93" spans="1:15" x14ac:dyDescent="0.25">
      <c r="A93">
        <v>192</v>
      </c>
      <c r="B93" t="s">
        <v>88</v>
      </c>
      <c r="D93" t="s">
        <v>302</v>
      </c>
      <c r="E93" t="s">
        <v>302</v>
      </c>
      <c r="J93" t="str">
        <f t="shared" si="3"/>
        <v>CBS Action</v>
      </c>
      <c r="K93">
        <f t="shared" si="4"/>
        <v>192</v>
      </c>
      <c r="L93" t="str">
        <f>IF(NOT(ISERROR(VLOOKUP(B93&amp;" HD",B:B,1,FALSE))),VLOOKUP(B93&amp;" HD",J:K,2,FALSE),"")</f>
        <v/>
      </c>
      <c r="M93" t="str">
        <f>IF(NOT(ISERROR(VLOOKUP(B93&amp;" +1",B:B,1,FALSE))),VLOOKUP(B93&amp;" +1",J:K,2,FALSE),"")</f>
        <v/>
      </c>
      <c r="O93" t="str">
        <f t="shared" si="5"/>
        <v xml:space="preserve">      192:
        name: CBS Action</v>
      </c>
    </row>
    <row r="94" spans="1:15" x14ac:dyDescent="0.25">
      <c r="A94">
        <v>193</v>
      </c>
      <c r="B94" t="s">
        <v>89</v>
      </c>
      <c r="D94" t="s">
        <v>302</v>
      </c>
      <c r="E94" t="s">
        <v>302</v>
      </c>
      <c r="J94" t="str">
        <f t="shared" si="3"/>
        <v>Sony Crime Channel</v>
      </c>
      <c r="K94">
        <f t="shared" si="4"/>
        <v>193</v>
      </c>
      <c r="L94" t="str">
        <f>IF(NOT(ISERROR(VLOOKUP(B94&amp;" HD",B:B,1,FALSE))),VLOOKUP(B94&amp;" HD",J:K,2,FALSE),"")</f>
        <v/>
      </c>
      <c r="M94" t="str">
        <f>IF(NOT(ISERROR(VLOOKUP(B94&amp;" +1",B:B,1,FALSE))),VLOOKUP(B94&amp;" +1",J:K,2,FALSE),"")</f>
        <v/>
      </c>
      <c r="O94" t="str">
        <f t="shared" si="5"/>
        <v xml:space="preserve">      193:
        name: Sony Crime Channel</v>
      </c>
    </row>
    <row r="95" spans="1:15" x14ac:dyDescent="0.25">
      <c r="A95">
        <v>194</v>
      </c>
      <c r="B95" t="s">
        <v>90</v>
      </c>
      <c r="D95" t="s">
        <v>302</v>
      </c>
      <c r="E95" t="s">
        <v>302</v>
      </c>
      <c r="J95" t="str">
        <f t="shared" si="3"/>
        <v>Dave HD</v>
      </c>
      <c r="K95">
        <f t="shared" si="4"/>
        <v>194</v>
      </c>
      <c r="L95" t="str">
        <f>IF(NOT(ISERROR(VLOOKUP(B95&amp;" HD",B:B,1,FALSE))),VLOOKUP(B95&amp;" HD",J:K,2,FALSE),"")</f>
        <v/>
      </c>
      <c r="M95" t="str">
        <f>IF(NOT(ISERROR(VLOOKUP(B95&amp;" +1",B:B,1,FALSE))),VLOOKUP(B95&amp;" +1",J:K,2,FALSE),"")</f>
        <v/>
      </c>
      <c r="O95" t="str">
        <f t="shared" si="5"/>
        <v xml:space="preserve">      194:
        name: Dave HD</v>
      </c>
    </row>
    <row r="96" spans="1:15" x14ac:dyDescent="0.25">
      <c r="A96">
        <v>195</v>
      </c>
      <c r="B96" t="s">
        <v>91</v>
      </c>
      <c r="D96" t="s">
        <v>302</v>
      </c>
      <c r="E96" t="s">
        <v>302</v>
      </c>
      <c r="J96" t="str">
        <f t="shared" si="3"/>
        <v>More4 HD</v>
      </c>
      <c r="K96">
        <f t="shared" si="4"/>
        <v>195</v>
      </c>
      <c r="L96" t="str">
        <f>IF(NOT(ISERROR(VLOOKUP(B96&amp;" HD",B:B,1,FALSE))),VLOOKUP(B96&amp;" HD",J:K,2,FALSE),"")</f>
        <v/>
      </c>
      <c r="M96" t="str">
        <f>IF(NOT(ISERROR(VLOOKUP(B96&amp;" +1",B:B,1,FALSE))),VLOOKUP(B96&amp;" +1",J:K,2,FALSE),"")</f>
        <v/>
      </c>
      <c r="O96" t="str">
        <f t="shared" si="5"/>
        <v xml:space="preserve">      195:
        name: More4 HD</v>
      </c>
    </row>
    <row r="97" spans="1:15" x14ac:dyDescent="0.25">
      <c r="A97">
        <v>196</v>
      </c>
      <c r="B97" t="s">
        <v>429</v>
      </c>
      <c r="D97" t="s">
        <v>302</v>
      </c>
      <c r="E97" t="s">
        <v>302</v>
      </c>
      <c r="J97" t="str">
        <f t="shared" si="3"/>
        <v>More4 +1</v>
      </c>
      <c r="K97">
        <f t="shared" si="4"/>
        <v>196</v>
      </c>
      <c r="L97" t="str">
        <f>IF(NOT(ISERROR(VLOOKUP(B97&amp;" HD",B:B,1,FALSE))),VLOOKUP(B97&amp;" HD",J:K,2,FALSE),"")</f>
        <v/>
      </c>
      <c r="M97" t="str">
        <f>IF(NOT(ISERROR(VLOOKUP(B97&amp;" +1",B:B,1,FALSE))),VLOOKUP(B97&amp;" +1",J:K,2,FALSE),"")</f>
        <v/>
      </c>
      <c r="O97" t="str">
        <f t="shared" si="5"/>
        <v xml:space="preserve">      196:
        name: More4 +1</v>
      </c>
    </row>
    <row r="98" spans="1:15" x14ac:dyDescent="0.25">
      <c r="A98">
        <v>197</v>
      </c>
      <c r="B98" t="s">
        <v>92</v>
      </c>
      <c r="D98" t="s">
        <v>302</v>
      </c>
      <c r="E98" t="s">
        <v>302</v>
      </c>
      <c r="J98" t="str">
        <f t="shared" si="3"/>
        <v>CBS Drama</v>
      </c>
      <c r="K98">
        <f t="shared" si="4"/>
        <v>197</v>
      </c>
      <c r="L98" t="str">
        <f>IF(NOT(ISERROR(VLOOKUP(B98&amp;" HD",B:B,1,FALSE))),VLOOKUP(B98&amp;" HD",J:K,2,FALSE),"")</f>
        <v/>
      </c>
      <c r="M98" t="str">
        <f>IF(NOT(ISERROR(VLOOKUP(B98&amp;" +1",B:B,1,FALSE))),VLOOKUP(B98&amp;" +1",J:K,2,FALSE),"")</f>
        <v/>
      </c>
      <c r="O98" t="str">
        <f t="shared" si="5"/>
        <v xml:space="preserve">      197:
        name: CBS Drama</v>
      </c>
    </row>
    <row r="99" spans="1:15" x14ac:dyDescent="0.25">
      <c r="A99">
        <v>198</v>
      </c>
      <c r="B99" t="s">
        <v>93</v>
      </c>
      <c r="D99" t="s">
        <v>302</v>
      </c>
      <c r="E99" t="s">
        <v>302</v>
      </c>
      <c r="J99" t="str">
        <f t="shared" si="3"/>
        <v>YouTube</v>
      </c>
      <c r="K99">
        <f t="shared" si="4"/>
        <v>198</v>
      </c>
      <c r="L99" t="str">
        <f>IF(NOT(ISERROR(VLOOKUP(B99&amp;" HD",B:B,1,FALSE))),VLOOKUP(B99&amp;" HD",J:K,2,FALSE),"")</f>
        <v/>
      </c>
      <c r="M99" t="str">
        <f>IF(NOT(ISERROR(VLOOKUP(B99&amp;" +1",B:B,1,FALSE))),VLOOKUP(B99&amp;" +1",J:K,2,FALSE),"")</f>
        <v/>
      </c>
      <c r="O99" t="str">
        <f t="shared" si="5"/>
        <v xml:space="preserve">      198:
        name: YouTube</v>
      </c>
    </row>
    <row r="100" spans="1:15" x14ac:dyDescent="0.25">
      <c r="A100">
        <v>199</v>
      </c>
      <c r="B100" t="s">
        <v>94</v>
      </c>
      <c r="D100" t="s">
        <v>302</v>
      </c>
      <c r="E100" t="s">
        <v>302</v>
      </c>
      <c r="J100" t="str">
        <f t="shared" si="3"/>
        <v>FOX HD</v>
      </c>
      <c r="K100">
        <f t="shared" si="4"/>
        <v>199</v>
      </c>
      <c r="L100" t="str">
        <f>IF(NOT(ISERROR(VLOOKUP(B100&amp;" HD",B:B,1,FALSE))),VLOOKUP(B100&amp;" HD",J:K,2,FALSE),"")</f>
        <v/>
      </c>
      <c r="M100" t="str">
        <f>IF(NOT(ISERROR(VLOOKUP(B100&amp;" +1",B:B,1,FALSE))),VLOOKUP(B100&amp;" +1",J:K,2,FALSE),"")</f>
        <v/>
      </c>
      <c r="O100" t="str">
        <f t="shared" si="5"/>
        <v xml:space="preserve">      199:
        name: FOX HD</v>
      </c>
    </row>
    <row r="101" spans="1:15" x14ac:dyDescent="0.25">
      <c r="A101">
        <v>200</v>
      </c>
      <c r="B101" t="s">
        <v>95</v>
      </c>
      <c r="D101" t="s">
        <v>302</v>
      </c>
      <c r="E101" t="s">
        <v>302</v>
      </c>
      <c r="J101" t="str">
        <f t="shared" si="3"/>
        <v>alibi HD</v>
      </c>
      <c r="K101">
        <f t="shared" si="4"/>
        <v>200</v>
      </c>
      <c r="L101" t="str">
        <f>IF(NOT(ISERROR(VLOOKUP(B101&amp;" HD",B:B,1,FALSE))),VLOOKUP(B101&amp;" HD",J:K,2,FALSE),"")</f>
        <v/>
      </c>
      <c r="M101" t="str">
        <f>IF(NOT(ISERROR(VLOOKUP(B101&amp;" +1",B:B,1,FALSE))),VLOOKUP(B101&amp;" +1",J:K,2,FALSE),"")</f>
        <v/>
      </c>
      <c r="O101" t="str">
        <f t="shared" si="5"/>
        <v xml:space="preserve">      200:
        name: alibi HD</v>
      </c>
    </row>
    <row r="102" spans="1:15" x14ac:dyDescent="0.25">
      <c r="A102">
        <v>201</v>
      </c>
      <c r="B102" t="s">
        <v>96</v>
      </c>
      <c r="D102" t="s">
        <v>302</v>
      </c>
      <c r="E102" t="s">
        <v>302</v>
      </c>
      <c r="J102" t="str">
        <f t="shared" si="3"/>
        <v>CBS Reality +1</v>
      </c>
      <c r="K102">
        <f t="shared" si="4"/>
        <v>201</v>
      </c>
      <c r="L102" t="str">
        <f>IF(NOT(ISERROR(VLOOKUP(B102&amp;" HD",B:B,1,FALSE))),VLOOKUP(B102&amp;" HD",J:K,2,FALSE),"")</f>
        <v/>
      </c>
      <c r="M102" t="str">
        <f>IF(NOT(ISERROR(VLOOKUP(B102&amp;" +1",B:B,1,FALSE))),VLOOKUP(B102&amp;" +1",J:K,2,FALSE),"")</f>
        <v/>
      </c>
      <c r="O102" t="str">
        <f t="shared" si="5"/>
        <v xml:space="preserve">      201:
        name: CBS Reality +1</v>
      </c>
    </row>
    <row r="103" spans="1:15" x14ac:dyDescent="0.25">
      <c r="A103">
        <v>202</v>
      </c>
      <c r="B103" t="s">
        <v>97</v>
      </c>
      <c r="D103" t="s">
        <v>302</v>
      </c>
      <c r="E103" t="s">
        <v>302</v>
      </c>
      <c r="J103" t="str">
        <f t="shared" si="3"/>
        <v>Horror Channel +1</v>
      </c>
      <c r="K103">
        <f t="shared" si="4"/>
        <v>202</v>
      </c>
      <c r="L103" t="str">
        <f>IF(NOT(ISERROR(VLOOKUP(B103&amp;" HD",B:B,1,FALSE))),VLOOKUP(B103&amp;" HD",J:K,2,FALSE),"")</f>
        <v/>
      </c>
      <c r="M103" t="str">
        <f>IF(NOT(ISERROR(VLOOKUP(B103&amp;" +1",B:B,1,FALSE))),VLOOKUP(B103&amp;" +1",J:K,2,FALSE),"")</f>
        <v/>
      </c>
      <c r="O103" t="str">
        <f t="shared" si="5"/>
        <v xml:space="preserve">      202:
        name: Horror Channel +1</v>
      </c>
    </row>
    <row r="104" spans="1:15" x14ac:dyDescent="0.25">
      <c r="A104">
        <v>203</v>
      </c>
      <c r="B104" t="s">
        <v>98</v>
      </c>
      <c r="D104" t="s">
        <v>302</v>
      </c>
      <c r="E104" t="s">
        <v>302</v>
      </c>
      <c r="J104" t="str">
        <f t="shared" si="3"/>
        <v>4seven HD</v>
      </c>
      <c r="K104">
        <f t="shared" si="4"/>
        <v>203</v>
      </c>
      <c r="L104" t="str">
        <f>IF(NOT(ISERROR(VLOOKUP(B104&amp;" HD",B:B,1,FALSE))),VLOOKUP(B104&amp;" HD",J:K,2,FALSE),"")</f>
        <v/>
      </c>
      <c r="M104" t="str">
        <f>IF(NOT(ISERROR(VLOOKUP(B104&amp;" +1",B:B,1,FALSE))),VLOOKUP(B104&amp;" +1",J:K,2,FALSE),"")</f>
        <v/>
      </c>
      <c r="O104" t="str">
        <f t="shared" si="5"/>
        <v xml:space="preserve">      203:
        name: 4seven HD</v>
      </c>
    </row>
    <row r="105" spans="1:15" x14ac:dyDescent="0.25">
      <c r="A105">
        <v>204</v>
      </c>
      <c r="B105" t="s">
        <v>99</v>
      </c>
      <c r="D105" t="s">
        <v>302</v>
      </c>
      <c r="E105" t="s">
        <v>302</v>
      </c>
      <c r="J105" t="str">
        <f t="shared" si="3"/>
        <v>Netflix</v>
      </c>
      <c r="K105">
        <f t="shared" si="4"/>
        <v>204</v>
      </c>
      <c r="L105" t="str">
        <f>IF(NOT(ISERROR(VLOOKUP(B105&amp;" HD",B:B,1,FALSE))),VLOOKUP(B105&amp;" HD",J:K,2,FALSE),"")</f>
        <v/>
      </c>
      <c r="M105" t="str">
        <f>IF(NOT(ISERROR(VLOOKUP(B105&amp;" +1",B:B,1,FALSE))),VLOOKUP(B105&amp;" +1",J:K,2,FALSE),"")</f>
        <v/>
      </c>
      <c r="O105" t="str">
        <f t="shared" si="5"/>
        <v xml:space="preserve">      204:
        name: Netflix</v>
      </c>
    </row>
    <row r="106" spans="1:15" x14ac:dyDescent="0.25">
      <c r="A106">
        <v>206</v>
      </c>
      <c r="B106" t="s">
        <v>100</v>
      </c>
      <c r="D106" t="s">
        <v>302</v>
      </c>
      <c r="E106" t="s">
        <v>302</v>
      </c>
      <c r="J106" t="str">
        <f t="shared" si="3"/>
        <v>Sky Arts HD</v>
      </c>
      <c r="K106">
        <f t="shared" si="4"/>
        <v>206</v>
      </c>
      <c r="L106" t="str">
        <f>IF(NOT(ISERROR(VLOOKUP(B106&amp;" HD",B:B,1,FALSE))),VLOOKUP(B106&amp;" HD",J:K,2,FALSE),"")</f>
        <v/>
      </c>
      <c r="M106" t="str">
        <f>IF(NOT(ISERROR(VLOOKUP(B106&amp;" +1",B:B,1,FALSE))),VLOOKUP(B106&amp;" +1",J:K,2,FALSE),"")</f>
        <v/>
      </c>
      <c r="O106" t="str">
        <f t="shared" si="5"/>
        <v xml:space="preserve">      206:
        name: Sky Arts HD</v>
      </c>
    </row>
    <row r="107" spans="1:15" x14ac:dyDescent="0.25">
      <c r="A107">
        <v>207</v>
      </c>
      <c r="B107" t="s">
        <v>101</v>
      </c>
      <c r="D107" t="s">
        <v>302</v>
      </c>
      <c r="E107" t="s">
        <v>302</v>
      </c>
      <c r="J107" t="str">
        <f t="shared" si="3"/>
        <v>Real Lives +1</v>
      </c>
      <c r="K107">
        <f t="shared" si="4"/>
        <v>207</v>
      </c>
      <c r="L107" t="str">
        <f>IF(NOT(ISERROR(VLOOKUP(B107&amp;" HD",B:B,1,FALSE))),VLOOKUP(B107&amp;" HD",J:K,2,FALSE),"")</f>
        <v/>
      </c>
      <c r="M107" t="str">
        <f>IF(NOT(ISERROR(VLOOKUP(B107&amp;" +1",B:B,1,FALSE))),VLOOKUP(B107&amp;" +1",J:K,2,FALSE),"")</f>
        <v/>
      </c>
      <c r="O107" t="str">
        <f t="shared" si="5"/>
        <v xml:space="preserve">      207:
        name: Real Lives +1</v>
      </c>
    </row>
    <row r="108" spans="1:15" x14ac:dyDescent="0.25">
      <c r="A108">
        <v>208</v>
      </c>
      <c r="B108" t="s">
        <v>102</v>
      </c>
      <c r="D108">
        <v>209</v>
      </c>
      <c r="E108">
        <v>225</v>
      </c>
      <c r="J108" t="str">
        <f t="shared" si="3"/>
        <v>Lifetime</v>
      </c>
      <c r="K108">
        <f t="shared" si="4"/>
        <v>208</v>
      </c>
      <c r="L108">
        <f>IF(NOT(ISERROR(VLOOKUP(B108&amp;" HD",B:B,1,FALSE))),VLOOKUP(B108&amp;" HD",J:K,2,FALSE),"")</f>
        <v>209</v>
      </c>
      <c r="M108">
        <f>IF(NOT(ISERROR(VLOOKUP(B108&amp;" +1",B:B,1,FALSE))),VLOOKUP(B108&amp;" +1",J:K,2,FALSE),"")</f>
        <v>225</v>
      </c>
      <c r="O108" t="str">
        <f t="shared" si="5"/>
        <v xml:space="preserve">      208:
        name: Lifetime
        hd_channel: 209
        plus_one: 225</v>
      </c>
    </row>
    <row r="109" spans="1:15" x14ac:dyDescent="0.25">
      <c r="A109">
        <v>209</v>
      </c>
      <c r="B109" t="s">
        <v>103</v>
      </c>
      <c r="D109" t="s">
        <v>302</v>
      </c>
      <c r="E109" t="s">
        <v>302</v>
      </c>
      <c r="J109" t="str">
        <f t="shared" si="3"/>
        <v>Lifetime HD</v>
      </c>
      <c r="K109">
        <f t="shared" si="4"/>
        <v>209</v>
      </c>
      <c r="L109" t="str">
        <f>IF(NOT(ISERROR(VLOOKUP(B109&amp;" HD",B:B,1,FALSE))),VLOOKUP(B109&amp;" HD",J:K,2,FALSE),"")</f>
        <v/>
      </c>
      <c r="M109" t="str">
        <f>IF(NOT(ISERROR(VLOOKUP(B109&amp;" +1",B:B,1,FALSE))),VLOOKUP(B109&amp;" +1",J:K,2,FALSE),"")</f>
        <v/>
      </c>
      <c r="O109" t="str">
        <f t="shared" si="5"/>
        <v xml:space="preserve">      209:
        name: Lifetime HD</v>
      </c>
    </row>
    <row r="110" spans="1:15" x14ac:dyDescent="0.25">
      <c r="A110">
        <v>210</v>
      </c>
      <c r="B110" t="s">
        <v>10</v>
      </c>
      <c r="D110" t="s">
        <v>302</v>
      </c>
      <c r="E110" t="s">
        <v>302</v>
      </c>
      <c r="J110" t="str">
        <f t="shared" si="3"/>
        <v>hayu</v>
      </c>
      <c r="K110">
        <f t="shared" si="4"/>
        <v>210</v>
      </c>
      <c r="L110" t="str">
        <f>IF(NOT(ISERROR(VLOOKUP(B110&amp;" HD",B:B,1,FALSE))),VLOOKUP(B110&amp;" HD",J:K,2,FALSE),"")</f>
        <v/>
      </c>
      <c r="M110" t="str">
        <f>IF(NOT(ISERROR(VLOOKUP(B110&amp;" +1",B:B,1,FALSE))),VLOOKUP(B110&amp;" +1",J:K,2,FALSE),"")</f>
        <v/>
      </c>
      <c r="O110" t="str">
        <f t="shared" si="5"/>
        <v xml:space="preserve">      210:
        name: hayu</v>
      </c>
    </row>
    <row r="111" spans="1:15" x14ac:dyDescent="0.25">
      <c r="A111">
        <v>211</v>
      </c>
      <c r="B111" t="s">
        <v>104</v>
      </c>
      <c r="D111" t="s">
        <v>302</v>
      </c>
      <c r="E111" t="s">
        <v>302</v>
      </c>
      <c r="J111" t="str">
        <f t="shared" si="3"/>
        <v>Dave ja vu</v>
      </c>
      <c r="K111">
        <f t="shared" si="4"/>
        <v>211</v>
      </c>
      <c r="L111" t="str">
        <f>IF(NOT(ISERROR(VLOOKUP(B111&amp;" HD",B:B,1,FALSE))),VLOOKUP(B111&amp;" HD",J:K,2,FALSE),"")</f>
        <v/>
      </c>
      <c r="M111" t="str">
        <f>IF(NOT(ISERROR(VLOOKUP(B111&amp;" +1",B:B,1,FALSE))),VLOOKUP(B111&amp;" +1",J:K,2,FALSE),"")</f>
        <v/>
      </c>
      <c r="O111" t="str">
        <f t="shared" si="5"/>
        <v xml:space="preserve">      211:
        name: Dave ja vu</v>
      </c>
    </row>
    <row r="112" spans="1:15" x14ac:dyDescent="0.25">
      <c r="A112">
        <v>212</v>
      </c>
      <c r="B112" t="s">
        <v>105</v>
      </c>
      <c r="D112" t="s">
        <v>302</v>
      </c>
      <c r="E112" t="s">
        <v>302</v>
      </c>
      <c r="J112" t="str">
        <f t="shared" si="3"/>
        <v>TruTV</v>
      </c>
      <c r="K112">
        <f t="shared" si="4"/>
        <v>212</v>
      </c>
      <c r="L112" t="str">
        <f>IF(NOT(ISERROR(VLOOKUP(B112&amp;" HD",B:B,1,FALSE))),VLOOKUP(B112&amp;" HD",J:K,2,FALSE),"")</f>
        <v/>
      </c>
      <c r="M112" t="str">
        <f>IF(NOT(ISERROR(VLOOKUP(B112&amp;" +1",B:B,1,FALSE))),VLOOKUP(B112&amp;" +1",J:K,2,FALSE),"")</f>
        <v/>
      </c>
      <c r="O112" t="str">
        <f t="shared" si="5"/>
        <v xml:space="preserve">      212:
        name: TruTV</v>
      </c>
    </row>
    <row r="113" spans="1:15" x14ac:dyDescent="0.25">
      <c r="A113">
        <v>213</v>
      </c>
      <c r="B113" t="s">
        <v>106</v>
      </c>
      <c r="D113" t="s">
        <v>302</v>
      </c>
      <c r="E113">
        <v>214</v>
      </c>
      <c r="J113" t="str">
        <f t="shared" si="3"/>
        <v>DMAX</v>
      </c>
      <c r="K113">
        <f t="shared" si="4"/>
        <v>213</v>
      </c>
      <c r="L113" t="str">
        <f>IF(NOT(ISERROR(VLOOKUP(B113&amp;" HD",B:B,1,FALSE))),VLOOKUP(B113&amp;" HD",J:K,2,FALSE),"")</f>
        <v/>
      </c>
      <c r="M113">
        <f>IF(NOT(ISERROR(VLOOKUP(B113&amp;" +1",B:B,1,FALSE))),VLOOKUP(B113&amp;" +1",J:K,2,FALSE),"")</f>
        <v>214</v>
      </c>
      <c r="O113" t="str">
        <f t="shared" si="5"/>
        <v xml:space="preserve">      213:
        name: DMAX
        plus_one: 214</v>
      </c>
    </row>
    <row r="114" spans="1:15" x14ac:dyDescent="0.25">
      <c r="A114">
        <v>214</v>
      </c>
      <c r="B114" t="s">
        <v>107</v>
      </c>
      <c r="D114" t="s">
        <v>302</v>
      </c>
      <c r="E114" t="s">
        <v>302</v>
      </c>
      <c r="J114" t="str">
        <f t="shared" si="3"/>
        <v>DMAX +1</v>
      </c>
      <c r="K114">
        <f t="shared" si="4"/>
        <v>214</v>
      </c>
      <c r="L114" t="str">
        <f>IF(NOT(ISERROR(VLOOKUP(B114&amp;" HD",B:B,1,FALSE))),VLOOKUP(B114&amp;" HD",J:K,2,FALSE),"")</f>
        <v/>
      </c>
      <c r="M114" t="str">
        <f>IF(NOT(ISERROR(VLOOKUP(B114&amp;" +1",B:B,1,FALSE))),VLOOKUP(B114&amp;" +1",J:K,2,FALSE),"")</f>
        <v/>
      </c>
      <c r="O114" t="str">
        <f t="shared" si="5"/>
        <v xml:space="preserve">      214:
        name: DMAX +1</v>
      </c>
    </row>
    <row r="115" spans="1:15" x14ac:dyDescent="0.25">
      <c r="A115">
        <v>215</v>
      </c>
      <c r="B115" t="s">
        <v>108</v>
      </c>
      <c r="D115" t="s">
        <v>302</v>
      </c>
      <c r="E115" t="s">
        <v>302</v>
      </c>
      <c r="J115" t="str">
        <f t="shared" si="3"/>
        <v>Quest Red</v>
      </c>
      <c r="K115">
        <f t="shared" si="4"/>
        <v>215</v>
      </c>
      <c r="L115" t="str">
        <f>IF(NOT(ISERROR(VLOOKUP(B115&amp;" HD",B:B,1,FALSE))),VLOOKUP(B115&amp;" HD",J:K,2,FALSE),"")</f>
        <v/>
      </c>
      <c r="M115" t="str">
        <f>IF(NOT(ISERROR(VLOOKUP(B115&amp;" +1",B:B,1,FALSE))),VLOOKUP(B115&amp;" +1",J:K,2,FALSE),"")</f>
        <v/>
      </c>
      <c r="O115" t="str">
        <f t="shared" si="5"/>
        <v xml:space="preserve">      215:
        name: Quest Red</v>
      </c>
    </row>
    <row r="116" spans="1:15" x14ac:dyDescent="0.25">
      <c r="A116">
        <v>216</v>
      </c>
      <c r="B116" t="s">
        <v>109</v>
      </c>
      <c r="D116" t="s">
        <v>302</v>
      </c>
      <c r="E116" t="s">
        <v>302</v>
      </c>
      <c r="J116" t="str">
        <f t="shared" si="3"/>
        <v>Blaze</v>
      </c>
      <c r="K116">
        <f t="shared" si="4"/>
        <v>216</v>
      </c>
      <c r="L116" t="str">
        <f>IF(NOT(ISERROR(VLOOKUP(B116&amp;" HD",B:B,1,FALSE))),VLOOKUP(B116&amp;" HD",J:K,2,FALSE),"")</f>
        <v/>
      </c>
      <c r="M116" t="str">
        <f>IF(NOT(ISERROR(VLOOKUP(B116&amp;" +1",B:B,1,FALSE))),VLOOKUP(B116&amp;" +1",J:K,2,FALSE),"")</f>
        <v/>
      </c>
      <c r="O116" t="str">
        <f t="shared" si="5"/>
        <v xml:space="preserve">      216:
        name: Blaze</v>
      </c>
    </row>
    <row r="117" spans="1:15" x14ac:dyDescent="0.25">
      <c r="A117">
        <v>217</v>
      </c>
      <c r="B117" t="s">
        <v>453</v>
      </c>
      <c r="D117" t="s">
        <v>302</v>
      </c>
      <c r="E117" t="s">
        <v>302</v>
      </c>
      <c r="J117" t="str">
        <f t="shared" ref="J117:J121" si="9">B117</f>
        <v>Quest HD</v>
      </c>
      <c r="K117">
        <f t="shared" ref="K117:K121" si="10">A117</f>
        <v>217</v>
      </c>
      <c r="L117" t="str">
        <f>IF(NOT(ISERROR(VLOOKUP(B117&amp;" HD",B:B,1,FALSE))),VLOOKUP(B117&amp;" HD",J:K,2,FALSE),"")</f>
        <v/>
      </c>
      <c r="M117" t="str">
        <f>IF(NOT(ISERROR(VLOOKUP(B117&amp;" +1",B:B,1,FALSE))),VLOOKUP(B117&amp;" +1",J:K,2,FALSE),"")</f>
        <v/>
      </c>
      <c r="O117" t="str">
        <f t="shared" ref="O117:O121" si="11">SUBSTITUTE(CONCATENATE("      ",A117,":","\nname: ",B117,IF(C117&lt;&gt;"","\nshow: "&amp;C117,""),IF(D117&lt;&gt;"","\nhd_channel: "&amp;D117,""),IF(E117&lt;&gt;"","\nplus_one: "&amp;E117,""),IF(F117&lt;&gt;"","\nlogo: "&amp;F117,""),IF(G117&lt;&gt;"","\ntarget: "&amp;G117,""),IF(H117&lt;&gt;"","\nsource: "&amp;H117,"")),"\n",CHAR(10)&amp;"        ")</f>
        <v xml:space="preserve">      217:
        name: Quest HD</v>
      </c>
    </row>
    <row r="118" spans="1:15" x14ac:dyDescent="0.25">
      <c r="A118">
        <v>218</v>
      </c>
      <c r="B118" t="s">
        <v>455</v>
      </c>
      <c r="D118" t="s">
        <v>302</v>
      </c>
      <c r="E118" t="s">
        <v>302</v>
      </c>
      <c r="J118" t="str">
        <f t="shared" si="9"/>
        <v>YourTV</v>
      </c>
      <c r="K118">
        <f t="shared" si="10"/>
        <v>218</v>
      </c>
      <c r="L118" t="str">
        <f>IF(NOT(ISERROR(VLOOKUP(B118&amp;" HD",B:B,1,FALSE))),VLOOKUP(B118&amp;" HD",J:K,2,FALSE),"")</f>
        <v/>
      </c>
      <c r="M118" t="str">
        <f>IF(NOT(ISERROR(VLOOKUP(B118&amp;" +1",B:B,1,FALSE))),VLOOKUP(B118&amp;" +1",J:K,2,FALSE),"")</f>
        <v/>
      </c>
      <c r="O118" t="str">
        <f t="shared" si="11"/>
        <v xml:space="preserve">      218:
        name: YourTV</v>
      </c>
    </row>
    <row r="119" spans="1:15" x14ac:dyDescent="0.25">
      <c r="A119">
        <v>219</v>
      </c>
      <c r="B119" t="s">
        <v>457</v>
      </c>
      <c r="D119" t="s">
        <v>302</v>
      </c>
      <c r="E119" t="s">
        <v>302</v>
      </c>
      <c r="J119" t="str">
        <f t="shared" si="9"/>
        <v>Vice</v>
      </c>
      <c r="K119">
        <f t="shared" si="10"/>
        <v>219</v>
      </c>
      <c r="L119" t="str">
        <f>IF(NOT(ISERROR(VLOOKUP(B119&amp;" HD",B:B,1,FALSE))),VLOOKUP(B119&amp;" HD",J:K,2,FALSE),"")</f>
        <v/>
      </c>
      <c r="M119" t="str">
        <f>IF(NOT(ISERROR(VLOOKUP(B119&amp;" +1",B:B,1,FALSE))),VLOOKUP(B119&amp;" +1",J:K,2,FALSE),"")</f>
        <v/>
      </c>
      <c r="O119" t="str">
        <f t="shared" si="11"/>
        <v xml:space="preserve">      219:
        name: Vice</v>
      </c>
    </row>
    <row r="120" spans="1:15" x14ac:dyDescent="0.25">
      <c r="A120">
        <v>220</v>
      </c>
      <c r="B120" t="s">
        <v>459</v>
      </c>
      <c r="D120" t="s">
        <v>302</v>
      </c>
      <c r="E120" t="s">
        <v>302</v>
      </c>
      <c r="J120" t="str">
        <f t="shared" ref="J120" si="12">B120</f>
        <v>True Entertainment +1</v>
      </c>
      <c r="K120">
        <f t="shared" ref="K120" si="13">A120</f>
        <v>220</v>
      </c>
      <c r="L120" t="str">
        <f>IF(NOT(ISERROR(VLOOKUP(B120&amp;" HD",B:B,1,FALSE))),VLOOKUP(B120&amp;" HD",J:K,2,FALSE),"")</f>
        <v/>
      </c>
      <c r="M120" t="str">
        <f>IF(NOT(ISERROR(VLOOKUP(B120&amp;" +1",B:B,1,FALSE))),VLOOKUP(B120&amp;" +1",J:K,2,FALSE),"")</f>
        <v/>
      </c>
      <c r="O120" t="str">
        <f t="shared" ref="O120" si="14">SUBSTITUTE(CONCATENATE("      ",A120,":","\nname: ",B120,IF(C120&lt;&gt;"","\nshow: "&amp;C120,""),IF(D120&lt;&gt;"","\nhd_channel: "&amp;D120,""),IF(E120&lt;&gt;"","\nplus_one: "&amp;E120,""),IF(F120&lt;&gt;"","\nlogo: "&amp;F120,""),IF(G120&lt;&gt;"","\ntarget: "&amp;G120,""),IF(H120&lt;&gt;"","\nsource: "&amp;H120,"")),"\n",CHAR(10)&amp;"        ")</f>
        <v xml:space="preserve">      220:
        name: True Entertainment +1</v>
      </c>
    </row>
    <row r="121" spans="1:15" x14ac:dyDescent="0.25">
      <c r="A121">
        <v>223</v>
      </c>
      <c r="B121" t="s">
        <v>129</v>
      </c>
      <c r="D121">
        <v>227</v>
      </c>
      <c r="E121">
        <v>295</v>
      </c>
      <c r="J121" t="str">
        <f t="shared" si="9"/>
        <v>Crime + Investigation</v>
      </c>
      <c r="K121">
        <f t="shared" si="10"/>
        <v>223</v>
      </c>
      <c r="L121">
        <f>IF(NOT(ISERROR(VLOOKUP(B121&amp;" HD",B:B,1,FALSE))),VLOOKUP(B121&amp;" HD",J:K,2,FALSE),"")</f>
        <v>272</v>
      </c>
      <c r="M121">
        <f>IF(NOT(ISERROR(VLOOKUP(B121&amp;" +1",B:B,1,FALSE))),VLOOKUP(B121&amp;" +1",J:K,2,FALSE),"")</f>
        <v>295</v>
      </c>
      <c r="O121" t="str">
        <f t="shared" si="11"/>
        <v xml:space="preserve">      223:
        name: Crime + Investigation
        hd_channel: 227
        plus_one: 295</v>
      </c>
    </row>
    <row r="122" spans="1:15" x14ac:dyDescent="0.25">
      <c r="A122">
        <v>225</v>
      </c>
      <c r="B122" t="s">
        <v>462</v>
      </c>
      <c r="D122" t="s">
        <v>302</v>
      </c>
      <c r="E122" t="s">
        <v>302</v>
      </c>
      <c r="J122" t="str">
        <f t="shared" si="3"/>
        <v>Lifetime +1</v>
      </c>
      <c r="K122">
        <f t="shared" si="4"/>
        <v>225</v>
      </c>
      <c r="L122" t="str">
        <f>IF(NOT(ISERROR(VLOOKUP(B122&amp;" HD",B:B,1,FALSE))),VLOOKUP(B122&amp;" HD",J:K,2,FALSE),"")</f>
        <v/>
      </c>
      <c r="M122" t="str">
        <f>IF(NOT(ISERROR(VLOOKUP(B122&amp;" +1",B:B,1,FALSE))),VLOOKUP(B122&amp;" +1",J:K,2,FALSE),"")</f>
        <v/>
      </c>
      <c r="O122" t="str">
        <f t="shared" si="5"/>
        <v xml:space="preserve">      225:
        name: Lifetime +1</v>
      </c>
    </row>
    <row r="123" spans="1:15" x14ac:dyDescent="0.25">
      <c r="A123">
        <v>245</v>
      </c>
      <c r="B123" t="s">
        <v>110</v>
      </c>
      <c r="D123" t="s">
        <v>302</v>
      </c>
      <c r="E123">
        <v>246</v>
      </c>
      <c r="J123" t="str">
        <f t="shared" si="3"/>
        <v>Yesterday</v>
      </c>
      <c r="K123">
        <f t="shared" si="4"/>
        <v>245</v>
      </c>
      <c r="L123" t="str">
        <f>IF(NOT(ISERROR(VLOOKUP(B123&amp;" HD",B:B,1,FALSE))),VLOOKUP(B123&amp;" HD",J:K,2,FALSE),"")</f>
        <v/>
      </c>
      <c r="M123">
        <f>IF(NOT(ISERROR(VLOOKUP(B123&amp;" +1",B:B,1,FALSE))),VLOOKUP(B123&amp;" +1",J:K,2,FALSE),"")</f>
        <v>246</v>
      </c>
      <c r="O123" t="str">
        <f t="shared" si="5"/>
        <v xml:space="preserve">      245:
        name: Yesterday
        plus_one: 246</v>
      </c>
    </row>
    <row r="124" spans="1:15" x14ac:dyDescent="0.25">
      <c r="A124">
        <v>246</v>
      </c>
      <c r="B124" t="s">
        <v>111</v>
      </c>
      <c r="D124" t="s">
        <v>302</v>
      </c>
      <c r="E124" t="s">
        <v>302</v>
      </c>
      <c r="J124" t="str">
        <f t="shared" si="3"/>
        <v>Yesterday +1</v>
      </c>
      <c r="K124">
        <f t="shared" si="4"/>
        <v>246</v>
      </c>
      <c r="L124" t="str">
        <f>IF(NOT(ISERROR(VLOOKUP(B124&amp;" HD",B:B,1,FALSE))),VLOOKUP(B124&amp;" HD",J:K,2,FALSE),"")</f>
        <v/>
      </c>
      <c r="M124" t="str">
        <f>IF(NOT(ISERROR(VLOOKUP(B124&amp;" +1",B:B,1,FALSE))),VLOOKUP(B124&amp;" +1",J:K,2,FALSE),"")</f>
        <v/>
      </c>
      <c r="O124" t="str">
        <f t="shared" si="5"/>
        <v xml:space="preserve">      246:
        name: Yesterday +1</v>
      </c>
    </row>
    <row r="125" spans="1:15" x14ac:dyDescent="0.25">
      <c r="A125">
        <v>247</v>
      </c>
      <c r="B125" t="s">
        <v>112</v>
      </c>
      <c r="D125">
        <v>249</v>
      </c>
      <c r="E125">
        <v>248</v>
      </c>
      <c r="J125" t="str">
        <f t="shared" si="3"/>
        <v>Eden</v>
      </c>
      <c r="K125">
        <f t="shared" si="4"/>
        <v>247</v>
      </c>
      <c r="L125">
        <f>IF(NOT(ISERROR(VLOOKUP(B125&amp;" HD",B:B,1,FALSE))),VLOOKUP(B125&amp;" HD",J:K,2,FALSE),"")</f>
        <v>249</v>
      </c>
      <c r="M125">
        <f>IF(NOT(ISERROR(VLOOKUP(B125&amp;" +1",B:B,1,FALSE))),VLOOKUP(B125&amp;" +1",J:K,2,FALSE),"")</f>
        <v>248</v>
      </c>
      <c r="O125" t="str">
        <f t="shared" si="5"/>
        <v xml:space="preserve">      247:
        name: Eden
        hd_channel: 249
        plus_one: 248</v>
      </c>
    </row>
    <row r="126" spans="1:15" x14ac:dyDescent="0.25">
      <c r="A126">
        <v>248</v>
      </c>
      <c r="B126" t="s">
        <v>113</v>
      </c>
      <c r="D126" t="s">
        <v>302</v>
      </c>
      <c r="E126" t="s">
        <v>302</v>
      </c>
      <c r="J126" t="str">
        <f t="shared" si="3"/>
        <v>Eden +1</v>
      </c>
      <c r="K126">
        <f t="shared" si="4"/>
        <v>248</v>
      </c>
      <c r="L126" t="str">
        <f>IF(NOT(ISERROR(VLOOKUP(B126&amp;" HD",B:B,1,FALSE))),VLOOKUP(B126&amp;" HD",J:K,2,FALSE),"")</f>
        <v/>
      </c>
      <c r="M126" t="str">
        <f>IF(NOT(ISERROR(VLOOKUP(B126&amp;" +1",B:B,1,FALSE))),VLOOKUP(B126&amp;" +1",J:K,2,FALSE),"")</f>
        <v/>
      </c>
      <c r="O126" t="str">
        <f t="shared" si="5"/>
        <v xml:space="preserve">      248:
        name: Eden +1</v>
      </c>
    </row>
    <row r="127" spans="1:15" x14ac:dyDescent="0.25">
      <c r="A127">
        <v>249</v>
      </c>
      <c r="B127" t="s">
        <v>114</v>
      </c>
      <c r="D127" t="s">
        <v>302</v>
      </c>
      <c r="E127" t="s">
        <v>302</v>
      </c>
      <c r="J127" t="str">
        <f t="shared" si="3"/>
        <v>Eden HD</v>
      </c>
      <c r="K127">
        <f t="shared" si="4"/>
        <v>249</v>
      </c>
      <c r="L127" t="str">
        <f>IF(NOT(ISERROR(VLOOKUP(B127&amp;" HD",B:B,1,FALSE))),VLOOKUP(B127&amp;" HD",J:K,2,FALSE),"")</f>
        <v/>
      </c>
      <c r="M127" t="str">
        <f>IF(NOT(ISERROR(VLOOKUP(B127&amp;" +1",B:B,1,FALSE))),VLOOKUP(B127&amp;" +1",J:K,2,FALSE),"")</f>
        <v/>
      </c>
      <c r="O127" t="str">
        <f t="shared" si="5"/>
        <v xml:space="preserve">      249:
        name: Eden HD</v>
      </c>
    </row>
    <row r="128" spans="1:15" x14ac:dyDescent="0.25">
      <c r="A128">
        <v>250</v>
      </c>
      <c r="B128" t="s">
        <v>469</v>
      </c>
      <c r="D128">
        <v>251</v>
      </c>
      <c r="E128">
        <v>252</v>
      </c>
      <c r="J128" t="str">
        <f t="shared" si="3"/>
        <v>Discovery</v>
      </c>
      <c r="K128">
        <f t="shared" si="4"/>
        <v>250</v>
      </c>
      <c r="L128">
        <f>IF(NOT(ISERROR(VLOOKUP(B128&amp;" HD",B:B,1,FALSE))),VLOOKUP(B128&amp;" HD",J:K,2,FALSE),"")</f>
        <v>251</v>
      </c>
      <c r="M128">
        <f>IF(NOT(ISERROR(VLOOKUP(B128&amp;" +1",B:B,1,FALSE))),VLOOKUP(B128&amp;" +1",J:K,2,FALSE),"")</f>
        <v>252</v>
      </c>
      <c r="O128" t="str">
        <f t="shared" si="5"/>
        <v xml:space="preserve">      250:
        name: Discovery
        hd_channel: 251
        plus_one: 252</v>
      </c>
    </row>
    <row r="129" spans="1:15" x14ac:dyDescent="0.25">
      <c r="A129">
        <v>251</v>
      </c>
      <c r="B129" t="s">
        <v>471</v>
      </c>
      <c r="D129" t="s">
        <v>302</v>
      </c>
      <c r="E129" t="s">
        <v>302</v>
      </c>
      <c r="J129" t="str">
        <f t="shared" si="3"/>
        <v>Discovery HD</v>
      </c>
      <c r="K129">
        <f t="shared" si="4"/>
        <v>251</v>
      </c>
      <c r="L129" t="str">
        <f>IF(NOT(ISERROR(VLOOKUP(B129&amp;" HD",B:B,1,FALSE))),VLOOKUP(B129&amp;" HD",J:K,2,FALSE),"")</f>
        <v/>
      </c>
      <c r="M129" t="str">
        <f>IF(NOT(ISERROR(VLOOKUP(B129&amp;" +1",B:B,1,FALSE))),VLOOKUP(B129&amp;" +1",J:K,2,FALSE),"")</f>
        <v/>
      </c>
      <c r="O129" t="str">
        <f t="shared" si="5"/>
        <v xml:space="preserve">      251:
        name: Discovery HD</v>
      </c>
    </row>
    <row r="130" spans="1:15" x14ac:dyDescent="0.25">
      <c r="A130">
        <v>252</v>
      </c>
      <c r="B130" t="s">
        <v>473</v>
      </c>
      <c r="D130" t="s">
        <v>302</v>
      </c>
      <c r="E130" t="s">
        <v>302</v>
      </c>
      <c r="J130" t="str">
        <f t="shared" si="3"/>
        <v>Discovery +1</v>
      </c>
      <c r="K130">
        <f t="shared" si="4"/>
        <v>252</v>
      </c>
      <c r="L130" t="str">
        <f>IF(NOT(ISERROR(VLOOKUP(B130&amp;" HD",B:B,1,FALSE))),VLOOKUP(B130&amp;" HD",J:K,2,FALSE),"")</f>
        <v/>
      </c>
      <c r="M130" t="str">
        <f>IF(NOT(ISERROR(VLOOKUP(B130&amp;" +1",B:B,1,FALSE))),VLOOKUP(B130&amp;" +1",J:K,2,FALSE),"")</f>
        <v/>
      </c>
      <c r="O130" t="str">
        <f t="shared" si="5"/>
        <v xml:space="preserve">      252:
        name: Discovery +1</v>
      </c>
    </row>
    <row r="131" spans="1:15" x14ac:dyDescent="0.25">
      <c r="A131">
        <v>256</v>
      </c>
      <c r="B131" t="s">
        <v>115</v>
      </c>
      <c r="D131">
        <v>257</v>
      </c>
      <c r="E131">
        <v>258</v>
      </c>
      <c r="J131" t="str">
        <f t="shared" si="3"/>
        <v>Animal Planet</v>
      </c>
      <c r="K131">
        <f t="shared" si="4"/>
        <v>256</v>
      </c>
      <c r="L131">
        <f>IF(NOT(ISERROR(VLOOKUP(B131&amp;" HD",B:B,1,FALSE))),VLOOKUP(B131&amp;" HD",J:K,2,FALSE),"")</f>
        <v>257</v>
      </c>
      <c r="M131">
        <f>IF(NOT(ISERROR(VLOOKUP(B131&amp;" +1",B:B,1,FALSE))),VLOOKUP(B131&amp;" +1",J:K,2,FALSE),"")</f>
        <v>258</v>
      </c>
      <c r="O131" t="str">
        <f t="shared" si="5"/>
        <v xml:space="preserve">      256:
        name: Animal Planet
        hd_channel: 257
        plus_one: 258</v>
      </c>
    </row>
    <row r="132" spans="1:15" x14ac:dyDescent="0.25">
      <c r="A132">
        <v>257</v>
      </c>
      <c r="B132" t="s">
        <v>116</v>
      </c>
      <c r="D132" t="s">
        <v>302</v>
      </c>
      <c r="E132" t="s">
        <v>302</v>
      </c>
      <c r="J132" t="str">
        <f t="shared" si="3"/>
        <v>Animal Planet HD</v>
      </c>
      <c r="K132">
        <f t="shared" si="4"/>
        <v>257</v>
      </c>
      <c r="L132" t="str">
        <f>IF(NOT(ISERROR(VLOOKUP(B132&amp;" HD",B:B,1,FALSE))),VLOOKUP(B132&amp;" HD",J:K,2,FALSE),"")</f>
        <v/>
      </c>
      <c r="M132" t="str">
        <f>IF(NOT(ISERROR(VLOOKUP(B132&amp;" +1",B:B,1,FALSE))),VLOOKUP(B132&amp;" +1",J:K,2,FALSE),"")</f>
        <v/>
      </c>
      <c r="O132" t="str">
        <f t="shared" si="5"/>
        <v xml:space="preserve">      257:
        name: Animal Planet HD</v>
      </c>
    </row>
    <row r="133" spans="1:15" x14ac:dyDescent="0.25">
      <c r="A133">
        <v>258</v>
      </c>
      <c r="B133" t="s">
        <v>117</v>
      </c>
      <c r="D133" t="s">
        <v>302</v>
      </c>
      <c r="E133" t="s">
        <v>302</v>
      </c>
      <c r="J133" t="str">
        <f t="shared" si="3"/>
        <v>Animal Planet +1</v>
      </c>
      <c r="K133">
        <f t="shared" si="4"/>
        <v>258</v>
      </c>
      <c r="L133" t="str">
        <f>IF(NOT(ISERROR(VLOOKUP(B133&amp;" HD",B:B,1,FALSE))),VLOOKUP(B133&amp;" HD",J:K,2,FALSE),"")</f>
        <v/>
      </c>
      <c r="M133" t="str">
        <f>IF(NOT(ISERROR(VLOOKUP(B133&amp;" +1",B:B,1,FALSE))),VLOOKUP(B133&amp;" +1",J:K,2,FALSE),"")</f>
        <v/>
      </c>
      <c r="O133" t="str">
        <f t="shared" si="5"/>
        <v xml:space="preserve">      258:
        name: Animal Planet +1</v>
      </c>
    </row>
    <row r="134" spans="1:15" x14ac:dyDescent="0.25">
      <c r="A134">
        <v>259</v>
      </c>
      <c r="B134" t="s">
        <v>118</v>
      </c>
      <c r="D134" t="s">
        <v>302</v>
      </c>
      <c r="E134">
        <v>260</v>
      </c>
      <c r="J134" t="str">
        <f t="shared" si="3"/>
        <v>Discovery Science</v>
      </c>
      <c r="K134">
        <f t="shared" si="4"/>
        <v>259</v>
      </c>
      <c r="L134" t="str">
        <f>IF(NOT(ISERROR(VLOOKUP(B134&amp;" HD",B:B,1,FALSE))),VLOOKUP(B134&amp;" HD",J:K,2,FALSE),"")</f>
        <v/>
      </c>
      <c r="M134">
        <f>IF(NOT(ISERROR(VLOOKUP(B134&amp;" +1",B:B,1,FALSE))),VLOOKUP(B134&amp;" +1",J:K,2,FALSE),"")</f>
        <v>260</v>
      </c>
      <c r="O134" t="str">
        <f t="shared" si="5"/>
        <v xml:space="preserve">      259:
        name: Discovery Science
        plus_one: 260</v>
      </c>
    </row>
    <row r="135" spans="1:15" x14ac:dyDescent="0.25">
      <c r="A135">
        <v>260</v>
      </c>
      <c r="B135" t="s">
        <v>119</v>
      </c>
      <c r="D135" t="s">
        <v>302</v>
      </c>
      <c r="E135" t="s">
        <v>302</v>
      </c>
      <c r="J135" t="str">
        <f t="shared" si="3"/>
        <v>Discovery Science +1</v>
      </c>
      <c r="K135">
        <f t="shared" si="4"/>
        <v>260</v>
      </c>
      <c r="L135" t="str">
        <f>IF(NOT(ISERROR(VLOOKUP(B135&amp;" HD",B:B,1,FALSE))),VLOOKUP(B135&amp;" HD",J:K,2,FALSE),"")</f>
        <v/>
      </c>
      <c r="M135" t="str">
        <f>IF(NOT(ISERROR(VLOOKUP(B135&amp;" +1",B:B,1,FALSE))),VLOOKUP(B135&amp;" +1",J:K,2,FALSE),"")</f>
        <v/>
      </c>
      <c r="O135" t="str">
        <f t="shared" si="5"/>
        <v xml:space="preserve">      260:
        name: Discovery Science +1</v>
      </c>
    </row>
    <row r="136" spans="1:15" x14ac:dyDescent="0.25">
      <c r="A136">
        <v>261</v>
      </c>
      <c r="B136" t="s">
        <v>120</v>
      </c>
      <c r="D136" t="s">
        <v>302</v>
      </c>
      <c r="E136" t="s">
        <v>302</v>
      </c>
      <c r="J136" t="str">
        <f t="shared" si="3"/>
        <v>Discovery Turbo</v>
      </c>
      <c r="K136">
        <f t="shared" si="4"/>
        <v>261</v>
      </c>
      <c r="L136" t="str">
        <f>IF(NOT(ISERROR(VLOOKUP(B136&amp;" HD",B:B,1,FALSE))),VLOOKUP(B136&amp;" HD",J:K,2,FALSE),"")</f>
        <v/>
      </c>
      <c r="M136" t="str">
        <f>IF(NOT(ISERROR(VLOOKUP(B136&amp;" +1",B:B,1,FALSE))),VLOOKUP(B136&amp;" +1",J:K,2,FALSE),"")</f>
        <v/>
      </c>
      <c r="O136" t="str">
        <f t="shared" si="5"/>
        <v xml:space="preserve">      261:
        name: Discovery Turbo</v>
      </c>
    </row>
    <row r="137" spans="1:15" x14ac:dyDescent="0.25">
      <c r="A137">
        <v>262</v>
      </c>
      <c r="B137" t="s">
        <v>121</v>
      </c>
      <c r="D137" t="s">
        <v>302</v>
      </c>
      <c r="E137">
        <v>263</v>
      </c>
      <c r="J137" t="str">
        <f t="shared" si="3"/>
        <v>Discovery History</v>
      </c>
      <c r="K137">
        <f t="shared" si="4"/>
        <v>262</v>
      </c>
      <c r="L137" t="str">
        <f>IF(NOT(ISERROR(VLOOKUP(B137&amp;" HD",B:B,1,FALSE))),VLOOKUP(B137&amp;" HD",J:K,2,FALSE),"")</f>
        <v/>
      </c>
      <c r="M137">
        <f>IF(NOT(ISERROR(VLOOKUP(B137&amp;" +1",B:B,1,FALSE))),VLOOKUP(B137&amp;" +1",J:K,2,FALSE),"")</f>
        <v>263</v>
      </c>
      <c r="O137" t="str">
        <f t="shared" si="5"/>
        <v xml:space="preserve">      262:
        name: Discovery History
        plus_one: 263</v>
      </c>
    </row>
    <row r="138" spans="1:15" x14ac:dyDescent="0.25">
      <c r="A138">
        <v>263</v>
      </c>
      <c r="B138" t="s">
        <v>122</v>
      </c>
      <c r="D138" t="s">
        <v>302</v>
      </c>
      <c r="E138" t="s">
        <v>302</v>
      </c>
      <c r="J138" t="str">
        <f t="shared" si="3"/>
        <v>Discovery History +1</v>
      </c>
      <c r="K138">
        <f t="shared" si="4"/>
        <v>263</v>
      </c>
      <c r="L138" t="str">
        <f>IF(NOT(ISERROR(VLOOKUP(B138&amp;" HD",B:B,1,FALSE))),VLOOKUP(B138&amp;" HD",J:K,2,FALSE),"")</f>
        <v/>
      </c>
      <c r="M138" t="str">
        <f>IF(NOT(ISERROR(VLOOKUP(B138&amp;" +1",B:B,1,FALSE))),VLOOKUP(B138&amp;" +1",J:K,2,FALSE),"")</f>
        <v/>
      </c>
      <c r="O138" t="str">
        <f t="shared" si="5"/>
        <v xml:space="preserve">      263:
        name: Discovery History +1</v>
      </c>
    </row>
    <row r="139" spans="1:15" x14ac:dyDescent="0.25">
      <c r="A139">
        <v>264</v>
      </c>
      <c r="B139" t="s">
        <v>123</v>
      </c>
      <c r="D139">
        <v>265</v>
      </c>
      <c r="E139" t="s">
        <v>302</v>
      </c>
      <c r="J139" t="str">
        <f t="shared" ref="J139:J208" si="15">B139</f>
        <v>Nat Geo Wild</v>
      </c>
      <c r="K139">
        <f t="shared" ref="K139:K208" si="16">A139</f>
        <v>264</v>
      </c>
      <c r="L139">
        <f>IF(NOT(ISERROR(VLOOKUP(B139&amp;" HD",B:B,1,FALSE))),VLOOKUP(B139&amp;" HD",J:K,2,FALSE),"")</f>
        <v>265</v>
      </c>
      <c r="M139" t="str">
        <f>IF(NOT(ISERROR(VLOOKUP(B139&amp;" +1",B:B,1,FALSE))),VLOOKUP(B139&amp;" +1",J:K,2,FALSE),"")</f>
        <v/>
      </c>
      <c r="O139" t="str">
        <f t="shared" ref="O139:O208" si="17">SUBSTITUTE(CONCATENATE("      ",A139,":","\nname: ",B139,IF(C139&lt;&gt;"","\nshow: "&amp;C139,""),IF(D139&lt;&gt;"","\nhd_channel: "&amp;D139,""),IF(E139&lt;&gt;"","\nplus_one: "&amp;E139,""),IF(F139&lt;&gt;"","\nlogo: "&amp;F139,""),IF(G139&lt;&gt;"","\ntarget: "&amp;G139,""),IF(H139&lt;&gt;"","\nsource: "&amp;H139,"")),"\n",CHAR(10)&amp;"        ")</f>
        <v xml:space="preserve">      264:
        name: Nat Geo Wild
        hd_channel: 265</v>
      </c>
    </row>
    <row r="140" spans="1:15" x14ac:dyDescent="0.25">
      <c r="A140">
        <v>265</v>
      </c>
      <c r="B140" t="s">
        <v>124</v>
      </c>
      <c r="D140" t="s">
        <v>302</v>
      </c>
      <c r="E140" t="s">
        <v>302</v>
      </c>
      <c r="J140" t="str">
        <f t="shared" si="15"/>
        <v>Nat Geo Wild HD</v>
      </c>
      <c r="K140">
        <f t="shared" si="16"/>
        <v>265</v>
      </c>
      <c r="L140" t="str">
        <f>IF(NOT(ISERROR(VLOOKUP(B140&amp;" HD",B:B,1,FALSE))),VLOOKUP(B140&amp;" HD",J:K,2,FALSE),"")</f>
        <v/>
      </c>
      <c r="M140" t="str">
        <f>IF(NOT(ISERROR(VLOOKUP(B140&amp;" +1",B:B,1,FALSE))),VLOOKUP(B140&amp;" +1",J:K,2,FALSE),"")</f>
        <v/>
      </c>
      <c r="O140" t="str">
        <f t="shared" si="17"/>
        <v xml:space="preserve">      265:
        name: Nat Geo Wild HD</v>
      </c>
    </row>
    <row r="141" spans="1:15" x14ac:dyDescent="0.25">
      <c r="A141">
        <v>266</v>
      </c>
      <c r="B141" t="s">
        <v>487</v>
      </c>
      <c r="D141">
        <v>268</v>
      </c>
      <c r="E141">
        <v>267</v>
      </c>
      <c r="J141" t="str">
        <f t="shared" si="15"/>
        <v>National Geographic</v>
      </c>
      <c r="K141">
        <f t="shared" si="16"/>
        <v>266</v>
      </c>
      <c r="L141">
        <f>IF(NOT(ISERROR(VLOOKUP(B141&amp;" HD",B:B,1,FALSE))),VLOOKUP(B141&amp;" HD",J:K,2,FALSE),"")</f>
        <v>268</v>
      </c>
      <c r="M141">
        <f>IF(NOT(ISERROR(VLOOKUP(B141&amp;" +1",B:B,1,FALSE))),VLOOKUP(B141&amp;" +1",J:K,2,FALSE),"")</f>
        <v>267</v>
      </c>
      <c r="O141" t="str">
        <f t="shared" si="17"/>
        <v xml:space="preserve">      266:
        name: National Geographic
        hd_channel: 268
        plus_one: 267</v>
      </c>
    </row>
    <row r="142" spans="1:15" x14ac:dyDescent="0.25">
      <c r="A142">
        <v>267</v>
      </c>
      <c r="B142" t="s">
        <v>489</v>
      </c>
      <c r="D142" t="s">
        <v>302</v>
      </c>
      <c r="E142" t="s">
        <v>302</v>
      </c>
      <c r="J142" t="str">
        <f t="shared" si="15"/>
        <v>National Geographic +1</v>
      </c>
      <c r="K142">
        <f t="shared" si="16"/>
        <v>267</v>
      </c>
      <c r="L142" t="str">
        <f>IF(NOT(ISERROR(VLOOKUP(B142&amp;" HD",B:B,1,FALSE))),VLOOKUP(B142&amp;" HD",J:K,2,FALSE),"")</f>
        <v/>
      </c>
      <c r="M142" t="str">
        <f>IF(NOT(ISERROR(VLOOKUP(B142&amp;" +1",B:B,1,FALSE))),VLOOKUP(B142&amp;" +1",J:K,2,FALSE),"")</f>
        <v/>
      </c>
      <c r="O142" t="str">
        <f t="shared" si="17"/>
        <v xml:space="preserve">      267:
        name: National Geographic +1</v>
      </c>
    </row>
    <row r="143" spans="1:15" x14ac:dyDescent="0.25">
      <c r="A143">
        <v>268</v>
      </c>
      <c r="B143" t="s">
        <v>491</v>
      </c>
      <c r="D143" t="s">
        <v>302</v>
      </c>
      <c r="E143" t="s">
        <v>302</v>
      </c>
      <c r="J143" t="str">
        <f t="shared" si="15"/>
        <v>National Geographic HD</v>
      </c>
      <c r="K143">
        <f t="shared" si="16"/>
        <v>268</v>
      </c>
      <c r="L143" t="str">
        <f>IF(NOT(ISERROR(VLOOKUP(B143&amp;" HD",B:B,1,FALSE))),VLOOKUP(B143&amp;" HD",J:K,2,FALSE),"")</f>
        <v/>
      </c>
      <c r="M143" t="str">
        <f>IF(NOT(ISERROR(VLOOKUP(B143&amp;" +1",B:B,1,FALSE))),VLOOKUP(B143&amp;" +1",J:K,2,FALSE),"")</f>
        <v/>
      </c>
      <c r="O143" t="str">
        <f t="shared" si="17"/>
        <v xml:space="preserve">      268:
        name: National Geographic HD</v>
      </c>
    </row>
    <row r="144" spans="1:15" x14ac:dyDescent="0.25">
      <c r="A144">
        <v>269</v>
      </c>
      <c r="B144" t="s">
        <v>493</v>
      </c>
      <c r="D144" t="s">
        <v>302</v>
      </c>
      <c r="E144" t="s">
        <v>302</v>
      </c>
      <c r="J144" t="str">
        <f t="shared" si="15"/>
        <v>Together</v>
      </c>
      <c r="K144">
        <f t="shared" si="16"/>
        <v>269</v>
      </c>
      <c r="L144" t="str">
        <f>IF(NOT(ISERROR(VLOOKUP(B144&amp;" HD",B:B,1,FALSE))),VLOOKUP(B144&amp;" HD",J:K,2,FALSE),"")</f>
        <v/>
      </c>
      <c r="M144" t="str">
        <f>IF(NOT(ISERROR(VLOOKUP(B144&amp;" +1",B:B,1,FALSE))),VLOOKUP(B144&amp;" +1",J:K,2,FALSE),"")</f>
        <v/>
      </c>
      <c r="O144" t="str">
        <f t="shared" si="17"/>
        <v xml:space="preserve">      269:
        name: Together</v>
      </c>
    </row>
    <row r="145" spans="1:15" x14ac:dyDescent="0.25">
      <c r="A145">
        <v>270</v>
      </c>
      <c r="B145" t="s">
        <v>125</v>
      </c>
      <c r="D145">
        <v>299</v>
      </c>
      <c r="E145">
        <v>271</v>
      </c>
      <c r="J145" t="str">
        <f t="shared" si="15"/>
        <v>History</v>
      </c>
      <c r="K145">
        <f t="shared" si="16"/>
        <v>270</v>
      </c>
      <c r="L145">
        <f>IF(NOT(ISERROR(VLOOKUP(B145&amp;" HD",B:B,1,FALSE))),VLOOKUP(B145&amp;" HD",J:K,2,FALSE),"")</f>
        <v>299</v>
      </c>
      <c r="M145">
        <f>IF(NOT(ISERROR(VLOOKUP(B145&amp;" +1",B:B,1,FALSE))),VLOOKUP(B145&amp;" +1",J:K,2,FALSE),"")</f>
        <v>271</v>
      </c>
      <c r="O145" t="str">
        <f t="shared" si="17"/>
        <v xml:space="preserve">      270:
        name: History
        hd_channel: 299
        plus_one: 271</v>
      </c>
    </row>
    <row r="146" spans="1:15" x14ac:dyDescent="0.25">
      <c r="A146">
        <v>271</v>
      </c>
      <c r="B146" t="s">
        <v>126</v>
      </c>
      <c r="D146" t="s">
        <v>302</v>
      </c>
      <c r="E146" t="s">
        <v>302</v>
      </c>
      <c r="J146" t="str">
        <f t="shared" ref="J146" si="18">B146</f>
        <v>History +1</v>
      </c>
      <c r="K146">
        <f t="shared" ref="K146" si="19">A146</f>
        <v>271</v>
      </c>
      <c r="L146" t="str">
        <f>IF(NOT(ISERROR(VLOOKUP(B146&amp;" HD",B:B,1,FALSE))),VLOOKUP(B146&amp;" HD",J:K,2,FALSE),"")</f>
        <v/>
      </c>
      <c r="M146" t="str">
        <f>IF(NOT(ISERROR(VLOOKUP(B146&amp;" +1",B:B,1,FALSE))),VLOOKUP(B146&amp;" +1",J:K,2,FALSE),"")</f>
        <v/>
      </c>
      <c r="O146" t="str">
        <f t="shared" ref="O146" si="20">SUBSTITUTE(CONCATENATE("      ",A146,":","\nname: ",B146,IF(C146&lt;&gt;"","\nshow: "&amp;C146,""),IF(D146&lt;&gt;"","\nhd_channel: "&amp;D146,""),IF(E146&lt;&gt;"","\nplus_one: "&amp;E146,""),IF(F146&lt;&gt;"","\nlogo: "&amp;F146,""),IF(G146&lt;&gt;"","\ntarget: "&amp;G146,""),IF(H146&lt;&gt;"","\nsource: "&amp;H146,"")),"\n",CHAR(10)&amp;"        ")</f>
        <v xml:space="preserve">      271:
        name: History +1</v>
      </c>
    </row>
    <row r="147" spans="1:15" x14ac:dyDescent="0.25">
      <c r="A147">
        <v>272</v>
      </c>
      <c r="B147" t="s">
        <v>499</v>
      </c>
      <c r="D147" t="s">
        <v>302</v>
      </c>
      <c r="E147" t="s">
        <v>302</v>
      </c>
      <c r="J147" t="str">
        <f t="shared" si="15"/>
        <v>Crime + Investigation HD</v>
      </c>
      <c r="K147">
        <f t="shared" si="16"/>
        <v>272</v>
      </c>
      <c r="L147" t="str">
        <f>IF(NOT(ISERROR(VLOOKUP(B147&amp;" HD",B:B,1,FALSE))),VLOOKUP(B147&amp;" HD",J:K,2,FALSE),"")</f>
        <v/>
      </c>
      <c r="M147" t="str">
        <f>IF(NOT(ISERROR(VLOOKUP(B147&amp;" +1",B:B,1,FALSE))),VLOOKUP(B147&amp;" +1",J:K,2,FALSE),"")</f>
        <v/>
      </c>
      <c r="O147" t="str">
        <f t="shared" si="17"/>
        <v xml:space="preserve">      272:
        name: Crime + Investigation HD</v>
      </c>
    </row>
    <row r="148" spans="1:15" x14ac:dyDescent="0.25">
      <c r="A148">
        <v>273</v>
      </c>
      <c r="B148" t="s">
        <v>127</v>
      </c>
      <c r="D148">
        <v>274</v>
      </c>
      <c r="E148" t="s">
        <v>302</v>
      </c>
      <c r="J148" t="str">
        <f t="shared" si="15"/>
        <v>H2</v>
      </c>
      <c r="K148">
        <f t="shared" si="16"/>
        <v>273</v>
      </c>
      <c r="L148">
        <f>IF(NOT(ISERROR(VLOOKUP(B148&amp;" HD",B:B,1,FALSE))),VLOOKUP(B148&amp;" HD",J:K,2,FALSE),"")</f>
        <v>274</v>
      </c>
      <c r="M148" t="str">
        <f>IF(NOT(ISERROR(VLOOKUP(B148&amp;" +1",B:B,1,FALSE))),VLOOKUP(B148&amp;" +1",J:K,2,FALSE),"")</f>
        <v/>
      </c>
      <c r="O148" t="str">
        <f t="shared" si="17"/>
        <v xml:space="preserve">      273:
        name: H2
        hd_channel: 274</v>
      </c>
    </row>
    <row r="149" spans="1:15" x14ac:dyDescent="0.25">
      <c r="A149">
        <v>274</v>
      </c>
      <c r="B149" t="s">
        <v>128</v>
      </c>
      <c r="D149" t="s">
        <v>302</v>
      </c>
      <c r="E149" t="s">
        <v>302</v>
      </c>
      <c r="J149" t="str">
        <f t="shared" si="15"/>
        <v>H2 HD</v>
      </c>
      <c r="K149">
        <f t="shared" si="16"/>
        <v>274</v>
      </c>
      <c r="L149" t="str">
        <f>IF(NOT(ISERROR(VLOOKUP(B149&amp;" HD",B:B,1,FALSE))),VLOOKUP(B149&amp;" HD",J:K,2,FALSE),"")</f>
        <v/>
      </c>
      <c r="M149" t="str">
        <f>IF(NOT(ISERROR(VLOOKUP(B149&amp;" +1",B:B,1,FALSE))),VLOOKUP(B149&amp;" +1",J:K,2,FALSE),"")</f>
        <v/>
      </c>
      <c r="O149" t="str">
        <f t="shared" si="17"/>
        <v xml:space="preserve">      274:
        name: H2 HD</v>
      </c>
    </row>
    <row r="150" spans="1:15" x14ac:dyDescent="0.25">
      <c r="A150">
        <v>276</v>
      </c>
      <c r="B150" t="s">
        <v>130</v>
      </c>
      <c r="D150" t="s">
        <v>302</v>
      </c>
      <c r="E150" t="s">
        <v>302</v>
      </c>
      <c r="J150" t="str">
        <f t="shared" si="15"/>
        <v>PBS America</v>
      </c>
      <c r="K150">
        <f t="shared" si="16"/>
        <v>276</v>
      </c>
      <c r="L150" t="str">
        <f>IF(NOT(ISERROR(VLOOKUP(B150&amp;" HD",B:B,1,FALSE))),VLOOKUP(B150&amp;" HD",J:K,2,FALSE),"")</f>
        <v/>
      </c>
      <c r="M150" t="str">
        <f>IF(NOT(ISERROR(VLOOKUP(B150&amp;" +1",B:B,1,FALSE))),VLOOKUP(B150&amp;" +1",J:K,2,FALSE),"")</f>
        <v/>
      </c>
      <c r="O150" t="str">
        <f t="shared" si="17"/>
        <v xml:space="preserve">      276:
        name: PBS America</v>
      </c>
    </row>
    <row r="151" spans="1:15" x14ac:dyDescent="0.25">
      <c r="A151">
        <v>277</v>
      </c>
      <c r="B151" t="s">
        <v>131</v>
      </c>
      <c r="D151" t="s">
        <v>302</v>
      </c>
      <c r="E151" t="s">
        <v>302</v>
      </c>
      <c r="J151" t="str">
        <f t="shared" si="15"/>
        <v>Forces TV</v>
      </c>
      <c r="K151">
        <f t="shared" si="16"/>
        <v>277</v>
      </c>
      <c r="L151" t="str">
        <f>IF(NOT(ISERROR(VLOOKUP(B151&amp;" HD",B:B,1,FALSE))),VLOOKUP(B151&amp;" HD",J:K,2,FALSE),"")</f>
        <v/>
      </c>
      <c r="M151" t="str">
        <f>IF(NOT(ISERROR(VLOOKUP(B151&amp;" +1",B:B,1,FALSE))),VLOOKUP(B151&amp;" +1",J:K,2,FALSE),"")</f>
        <v/>
      </c>
      <c r="O151" t="str">
        <f t="shared" si="17"/>
        <v xml:space="preserve">      277:
        name: Forces TV</v>
      </c>
    </row>
    <row r="152" spans="1:15" x14ac:dyDescent="0.25">
      <c r="A152">
        <v>278</v>
      </c>
      <c r="B152" t="s">
        <v>132</v>
      </c>
      <c r="D152">
        <v>280</v>
      </c>
      <c r="E152">
        <v>279</v>
      </c>
      <c r="J152" t="str">
        <f t="shared" si="15"/>
        <v>Good Food</v>
      </c>
      <c r="K152">
        <f t="shared" si="16"/>
        <v>278</v>
      </c>
      <c r="L152">
        <f>IF(NOT(ISERROR(VLOOKUP(B152&amp;" HD",B:B,1,FALSE))),VLOOKUP(B152&amp;" HD",J:K,2,FALSE),"")</f>
        <v>280</v>
      </c>
      <c r="M152">
        <f>IF(NOT(ISERROR(VLOOKUP(B152&amp;" +1",B:B,1,FALSE))),VLOOKUP(B152&amp;" +1",J:K,2,FALSE),"")</f>
        <v>279</v>
      </c>
      <c r="O152" t="str">
        <f t="shared" si="17"/>
        <v xml:space="preserve">      278:
        name: Good Food
        hd_channel: 280
        plus_one: 279</v>
      </c>
    </row>
    <row r="153" spans="1:15" x14ac:dyDescent="0.25">
      <c r="A153">
        <v>279</v>
      </c>
      <c r="B153" t="s">
        <v>133</v>
      </c>
      <c r="D153" t="s">
        <v>302</v>
      </c>
      <c r="E153" t="s">
        <v>302</v>
      </c>
      <c r="J153" t="str">
        <f t="shared" si="15"/>
        <v>Good Food +1</v>
      </c>
      <c r="K153">
        <f t="shared" si="16"/>
        <v>279</v>
      </c>
      <c r="L153" t="str">
        <f>IF(NOT(ISERROR(VLOOKUP(B153&amp;" HD",B:B,1,FALSE))),VLOOKUP(B153&amp;" HD",J:K,2,FALSE),"")</f>
        <v/>
      </c>
      <c r="M153" t="str">
        <f>IF(NOT(ISERROR(VLOOKUP(B153&amp;" +1",B:B,1,FALSE))),VLOOKUP(B153&amp;" +1",J:K,2,FALSE),"")</f>
        <v/>
      </c>
      <c r="O153" t="str">
        <f t="shared" si="17"/>
        <v xml:space="preserve">      279:
        name: Good Food +1</v>
      </c>
    </row>
    <row r="154" spans="1:15" x14ac:dyDescent="0.25">
      <c r="A154">
        <v>280</v>
      </c>
      <c r="B154" t="s">
        <v>134</v>
      </c>
      <c r="D154" t="s">
        <v>302</v>
      </c>
      <c r="E154" t="s">
        <v>302</v>
      </c>
      <c r="J154" t="str">
        <f t="shared" si="15"/>
        <v>Good Food HD</v>
      </c>
      <c r="K154">
        <f t="shared" si="16"/>
        <v>280</v>
      </c>
      <c r="L154" t="str">
        <f>IF(NOT(ISERROR(VLOOKUP(B154&amp;" HD",B:B,1,FALSE))),VLOOKUP(B154&amp;" HD",J:K,2,FALSE),"")</f>
        <v/>
      </c>
      <c r="M154" t="str">
        <f>IF(NOT(ISERROR(VLOOKUP(B154&amp;" +1",B:B,1,FALSE))),VLOOKUP(B154&amp;" +1",J:K,2,FALSE),"")</f>
        <v/>
      </c>
      <c r="O154" t="str">
        <f t="shared" si="17"/>
        <v xml:space="preserve">      280:
        name: Good Food HD</v>
      </c>
    </row>
    <row r="155" spans="1:15" x14ac:dyDescent="0.25">
      <c r="A155">
        <v>281</v>
      </c>
      <c r="B155" t="s">
        <v>135</v>
      </c>
      <c r="D155" t="s">
        <v>302</v>
      </c>
      <c r="E155">
        <v>282</v>
      </c>
      <c r="J155" t="str">
        <f t="shared" si="15"/>
        <v>Home</v>
      </c>
      <c r="K155">
        <f t="shared" si="16"/>
        <v>281</v>
      </c>
      <c r="L155" t="str">
        <f>IF(NOT(ISERROR(VLOOKUP(B155&amp;" HD",B:B,1,FALSE))),VLOOKUP(B155&amp;" HD",J:K,2,FALSE),"")</f>
        <v/>
      </c>
      <c r="M155">
        <f>IF(NOT(ISERROR(VLOOKUP(B155&amp;" +1",B:B,1,FALSE))),VLOOKUP(B155&amp;" +1",J:K,2,FALSE),"")</f>
        <v>282</v>
      </c>
      <c r="O155" t="str">
        <f t="shared" si="17"/>
        <v xml:space="preserve">      281:
        name: Home
        plus_one: 282</v>
      </c>
    </row>
    <row r="156" spans="1:15" x14ac:dyDescent="0.25">
      <c r="A156">
        <v>282</v>
      </c>
      <c r="B156" t="s">
        <v>136</v>
      </c>
      <c r="D156" t="s">
        <v>302</v>
      </c>
      <c r="E156" t="s">
        <v>302</v>
      </c>
      <c r="J156" t="str">
        <f t="shared" si="15"/>
        <v>Home +1</v>
      </c>
      <c r="K156">
        <f t="shared" si="16"/>
        <v>282</v>
      </c>
      <c r="L156" t="str">
        <f>IF(NOT(ISERROR(VLOOKUP(B156&amp;" HD",B:B,1,FALSE))),VLOOKUP(B156&amp;" HD",J:K,2,FALSE),"")</f>
        <v/>
      </c>
      <c r="M156" t="str">
        <f>IF(NOT(ISERROR(VLOOKUP(B156&amp;" +1",B:B,1,FALSE))),VLOOKUP(B156&amp;" +1",J:K,2,FALSE),"")</f>
        <v/>
      </c>
      <c r="O156" t="str">
        <f t="shared" si="17"/>
        <v xml:space="preserve">      282:
        name: Home +1</v>
      </c>
    </row>
    <row r="157" spans="1:15" x14ac:dyDescent="0.25">
      <c r="A157">
        <v>284</v>
      </c>
      <c r="B157" t="s">
        <v>137</v>
      </c>
      <c r="D157" t="s">
        <v>302</v>
      </c>
      <c r="E157">
        <v>285</v>
      </c>
      <c r="J157" t="str">
        <f t="shared" si="15"/>
        <v>Discovery Home &amp; Health</v>
      </c>
      <c r="K157">
        <f t="shared" si="16"/>
        <v>284</v>
      </c>
      <c r="L157" t="str">
        <f>IF(NOT(ISERROR(VLOOKUP(B157&amp;" HD",B:B,1,FALSE))),VLOOKUP(B157&amp;" HD",J:K,2,FALSE),"")</f>
        <v/>
      </c>
      <c r="M157">
        <f>IF(NOT(ISERROR(VLOOKUP(B157&amp;" +1",B:B,1,FALSE))),VLOOKUP(B157&amp;" +1",J:K,2,FALSE),"")</f>
        <v>285</v>
      </c>
      <c r="O157" t="str">
        <f t="shared" si="17"/>
        <v xml:space="preserve">      284:
        name: Discovery Home &amp; Health
        plus_one: 285</v>
      </c>
    </row>
    <row r="158" spans="1:15" x14ac:dyDescent="0.25">
      <c r="A158">
        <v>285</v>
      </c>
      <c r="B158" t="s">
        <v>138</v>
      </c>
      <c r="D158" t="s">
        <v>302</v>
      </c>
      <c r="E158" t="s">
        <v>302</v>
      </c>
      <c r="J158" t="str">
        <f t="shared" si="15"/>
        <v>Discovery Home &amp; Health +1</v>
      </c>
      <c r="K158">
        <f t="shared" si="16"/>
        <v>285</v>
      </c>
      <c r="L158" t="str">
        <f>IF(NOT(ISERROR(VLOOKUP(B158&amp;" HD",B:B,1,FALSE))),VLOOKUP(B158&amp;" HD",J:K,2,FALSE),"")</f>
        <v/>
      </c>
      <c r="M158" t="str">
        <f>IF(NOT(ISERROR(VLOOKUP(B158&amp;" +1",B:B,1,FALSE))),VLOOKUP(B158&amp;" +1",J:K,2,FALSE),"")</f>
        <v/>
      </c>
      <c r="O158" t="str">
        <f t="shared" si="17"/>
        <v xml:space="preserve">      285:
        name: Discovery Home &amp; Health +1</v>
      </c>
    </row>
    <row r="159" spans="1:15" x14ac:dyDescent="0.25">
      <c r="A159">
        <v>286</v>
      </c>
      <c r="B159" t="s">
        <v>139</v>
      </c>
      <c r="D159" t="s">
        <v>302</v>
      </c>
      <c r="E159" t="s">
        <v>302</v>
      </c>
      <c r="J159" t="str">
        <f t="shared" si="15"/>
        <v>Discovery Shed</v>
      </c>
      <c r="K159">
        <f t="shared" si="16"/>
        <v>286</v>
      </c>
      <c r="L159" t="str">
        <f>IF(NOT(ISERROR(VLOOKUP(B159&amp;" HD",B:B,1,FALSE))),VLOOKUP(B159&amp;" HD",J:K,2,FALSE),"")</f>
        <v/>
      </c>
      <c r="M159" t="str">
        <f>IF(NOT(ISERROR(VLOOKUP(B159&amp;" +1",B:B,1,FALSE))),VLOOKUP(B159&amp;" +1",J:K,2,FALSE),"")</f>
        <v/>
      </c>
      <c r="O159" t="str">
        <f t="shared" si="17"/>
        <v xml:space="preserve">      286:
        name: Discovery Shed</v>
      </c>
    </row>
    <row r="160" spans="1:15" x14ac:dyDescent="0.25">
      <c r="A160">
        <v>287</v>
      </c>
      <c r="B160" t="s">
        <v>140</v>
      </c>
      <c r="D160" t="s">
        <v>302</v>
      </c>
      <c r="E160" t="s">
        <v>302</v>
      </c>
      <c r="J160" t="str">
        <f t="shared" si="15"/>
        <v>GOD Channel</v>
      </c>
      <c r="K160">
        <f t="shared" si="16"/>
        <v>287</v>
      </c>
      <c r="L160" t="str">
        <f>IF(NOT(ISERROR(VLOOKUP(B160&amp;" HD",B:B,1,FALSE))),VLOOKUP(B160&amp;" HD",J:K,2,FALSE),"")</f>
        <v/>
      </c>
      <c r="M160" t="str">
        <f>IF(NOT(ISERROR(VLOOKUP(B160&amp;" +1",B:B,1,FALSE))),VLOOKUP(B160&amp;" +1",J:K,2,FALSE),"")</f>
        <v/>
      </c>
      <c r="O160" t="str">
        <f t="shared" si="17"/>
        <v xml:space="preserve">      287:
        name: GOD Channel</v>
      </c>
    </row>
    <row r="161" spans="1:15" x14ac:dyDescent="0.25">
      <c r="A161">
        <v>290</v>
      </c>
      <c r="B161" t="s">
        <v>515</v>
      </c>
      <c r="D161" t="s">
        <v>302</v>
      </c>
      <c r="E161" t="s">
        <v>302</v>
      </c>
      <c r="J161" t="str">
        <f t="shared" si="15"/>
        <v>GINX</v>
      </c>
      <c r="K161">
        <f t="shared" si="16"/>
        <v>290</v>
      </c>
      <c r="L161" t="str">
        <f>IF(NOT(ISERROR(VLOOKUP(B161&amp;" HD",B:B,1,FALSE))),VLOOKUP(B161&amp;" HD",J:K,2,FALSE),"")</f>
        <v/>
      </c>
      <c r="M161" t="str">
        <f>IF(NOT(ISERROR(VLOOKUP(B161&amp;" +1",B:B,1,FALSE))),VLOOKUP(B161&amp;" +1",J:K,2,FALSE),"")</f>
        <v/>
      </c>
      <c r="O161" t="str">
        <f t="shared" si="17"/>
        <v xml:space="preserve">      290:
        name: GINX</v>
      </c>
    </row>
    <row r="162" spans="1:15" x14ac:dyDescent="0.25">
      <c r="A162">
        <v>291</v>
      </c>
      <c r="B162" t="s">
        <v>141</v>
      </c>
      <c r="D162" t="s">
        <v>302</v>
      </c>
      <c r="E162" t="s">
        <v>302</v>
      </c>
      <c r="J162" t="str">
        <f t="shared" si="15"/>
        <v>Food Network</v>
      </c>
      <c r="K162">
        <f t="shared" si="16"/>
        <v>291</v>
      </c>
      <c r="L162" t="str">
        <f>IF(NOT(ISERROR(VLOOKUP(B162&amp;" HD",B:B,1,FALSE))),VLOOKUP(B162&amp;" HD",J:K,2,FALSE),"")</f>
        <v/>
      </c>
      <c r="M162" t="str">
        <f>IF(NOT(ISERROR(VLOOKUP(B162&amp;" +1",B:B,1,FALSE))),VLOOKUP(B162&amp;" +1",J:K,2,FALSE),"")</f>
        <v/>
      </c>
      <c r="O162" t="str">
        <f t="shared" si="17"/>
        <v xml:space="preserve">      291:
        name: Food Network</v>
      </c>
    </row>
    <row r="163" spans="1:15" x14ac:dyDescent="0.25">
      <c r="A163">
        <v>292</v>
      </c>
      <c r="B163" t="s">
        <v>142</v>
      </c>
      <c r="D163" t="s">
        <v>302</v>
      </c>
      <c r="E163" t="s">
        <v>302</v>
      </c>
      <c r="J163" t="str">
        <f t="shared" si="15"/>
        <v>Travel Channel</v>
      </c>
      <c r="K163">
        <f t="shared" si="16"/>
        <v>292</v>
      </c>
      <c r="L163" t="str">
        <f>IF(NOT(ISERROR(VLOOKUP(B163&amp;" HD",B:B,1,FALSE))),VLOOKUP(B163&amp;" HD",J:K,2,FALSE),"")</f>
        <v/>
      </c>
      <c r="M163" t="str">
        <f>IF(NOT(ISERROR(VLOOKUP(B163&amp;" +1",B:B,1,FALSE))),VLOOKUP(B163&amp;" +1",J:K,2,FALSE),"")</f>
        <v/>
      </c>
      <c r="O163" t="str">
        <f t="shared" si="17"/>
        <v xml:space="preserve">      292:
        name: Travel Channel</v>
      </c>
    </row>
    <row r="164" spans="1:15" x14ac:dyDescent="0.25">
      <c r="A164">
        <v>293</v>
      </c>
      <c r="B164" t="s">
        <v>519</v>
      </c>
      <c r="D164" t="s">
        <v>302</v>
      </c>
      <c r="E164" t="s">
        <v>302</v>
      </c>
      <c r="J164" t="str">
        <f t="shared" ref="J164:J168" si="21">B164</f>
        <v>Love Nature HD</v>
      </c>
      <c r="K164">
        <f t="shared" ref="K164:K168" si="22">A164</f>
        <v>293</v>
      </c>
      <c r="L164" t="str">
        <f>IF(NOT(ISERROR(VLOOKUP(B164&amp;" HD",B:B,1,FALSE))),VLOOKUP(B164&amp;" HD",J:K,2,FALSE),"")</f>
        <v/>
      </c>
      <c r="M164" t="str">
        <f>IF(NOT(ISERROR(VLOOKUP(B164&amp;" +1",B:B,1,FALSE))),VLOOKUP(B164&amp;" +1",J:K,2,FALSE),"")</f>
        <v/>
      </c>
      <c r="O164" t="str">
        <f t="shared" ref="O164:O168" si="23">SUBSTITUTE(CONCATENATE("      ",A164,":","\nname: ",B164,IF(C164&lt;&gt;"","\nshow: "&amp;C164,""),IF(D164&lt;&gt;"","\nhd_channel: "&amp;D164,""),IF(E164&lt;&gt;"","\nplus_one: "&amp;E164,""),IF(F164&lt;&gt;"","\nlogo: "&amp;F164,""),IF(G164&lt;&gt;"","\ntarget: "&amp;G164,""),IF(H164&lt;&gt;"","\nsource: "&amp;H164,"")),"\n",CHAR(10)&amp;"        ")</f>
        <v xml:space="preserve">      293:
        name: Love Nature HD</v>
      </c>
    </row>
    <row r="165" spans="1:15" x14ac:dyDescent="0.25">
      <c r="A165">
        <v>294</v>
      </c>
      <c r="B165" t="s">
        <v>521</v>
      </c>
      <c r="D165">
        <v>293</v>
      </c>
      <c r="E165" t="s">
        <v>302</v>
      </c>
      <c r="J165" t="str">
        <f t="shared" si="21"/>
        <v>Love Nature</v>
      </c>
      <c r="K165">
        <f t="shared" si="22"/>
        <v>294</v>
      </c>
      <c r="L165">
        <f>IF(NOT(ISERROR(VLOOKUP(B165&amp;" HD",B:B,1,FALSE))),VLOOKUP(B165&amp;" HD",J:K,2,FALSE),"")</f>
        <v>293</v>
      </c>
      <c r="M165" t="str">
        <f>IF(NOT(ISERROR(VLOOKUP(B165&amp;" +1",B:B,1,FALSE))),VLOOKUP(B165&amp;" +1",J:K,2,FALSE),"")</f>
        <v/>
      </c>
      <c r="O165" t="str">
        <f t="shared" si="23"/>
        <v xml:space="preserve">      294:
        name: Love Nature
        hd_channel: 293</v>
      </c>
    </row>
    <row r="166" spans="1:15" x14ac:dyDescent="0.25">
      <c r="A166">
        <v>295</v>
      </c>
      <c r="B166" t="s">
        <v>523</v>
      </c>
      <c r="D166" t="s">
        <v>302</v>
      </c>
      <c r="E166" t="s">
        <v>302</v>
      </c>
      <c r="J166" t="str">
        <f t="shared" si="21"/>
        <v>Crime + Investigation +1</v>
      </c>
      <c r="K166">
        <f t="shared" si="22"/>
        <v>295</v>
      </c>
      <c r="L166" t="str">
        <f>IF(NOT(ISERROR(VLOOKUP(B166&amp;" HD",B:B,1,FALSE))),VLOOKUP(B166&amp;" HD",J:K,2,FALSE),"")</f>
        <v/>
      </c>
      <c r="M166" t="str">
        <f>IF(NOT(ISERROR(VLOOKUP(B166&amp;" +1",B:B,1,FALSE))),VLOOKUP(B166&amp;" +1",J:K,2,FALSE),"")</f>
        <v/>
      </c>
      <c r="O166" t="str">
        <f t="shared" si="23"/>
        <v xml:space="preserve">      295:
        name: Crime + Investigation +1</v>
      </c>
    </row>
    <row r="167" spans="1:15" x14ac:dyDescent="0.25">
      <c r="A167">
        <v>298</v>
      </c>
      <c r="B167" t="s">
        <v>525</v>
      </c>
      <c r="D167" t="s">
        <v>302</v>
      </c>
      <c r="E167" t="s">
        <v>302</v>
      </c>
      <c r="J167" t="str">
        <f t="shared" si="21"/>
        <v>Horse &amp; Country</v>
      </c>
      <c r="K167">
        <f t="shared" si="22"/>
        <v>298</v>
      </c>
      <c r="L167" t="str">
        <f>IF(NOT(ISERROR(VLOOKUP(B167&amp;" HD",B:B,1,FALSE))),VLOOKUP(B167&amp;" HD",J:K,2,FALSE),"")</f>
        <v/>
      </c>
      <c r="M167" t="str">
        <f>IF(NOT(ISERROR(VLOOKUP(B167&amp;" +1",B:B,1,FALSE))),VLOOKUP(B167&amp;" +1",J:K,2,FALSE),"")</f>
        <v/>
      </c>
      <c r="O167" t="str">
        <f t="shared" si="23"/>
        <v xml:space="preserve">      298:
        name: Horse &amp; Country</v>
      </c>
    </row>
    <row r="168" spans="1:15" x14ac:dyDescent="0.25">
      <c r="A168">
        <v>299</v>
      </c>
      <c r="B168" t="s">
        <v>833</v>
      </c>
      <c r="D168" t="s">
        <v>302</v>
      </c>
      <c r="E168" t="s">
        <v>302</v>
      </c>
      <c r="J168" t="str">
        <f t="shared" si="21"/>
        <v>History HD</v>
      </c>
      <c r="K168">
        <f t="shared" si="22"/>
        <v>299</v>
      </c>
      <c r="L168" t="str">
        <f>IF(NOT(ISERROR(VLOOKUP(B168&amp;" HD",B:B,1,FALSE))),VLOOKUP(B168&amp;" HD",J:K,2,FALSE),"")</f>
        <v/>
      </c>
      <c r="M168" t="str">
        <f>IF(NOT(ISERROR(VLOOKUP(B168&amp;" +1",B:B,1,FALSE))),VLOOKUP(B168&amp;" +1",J:K,2,FALSE),"")</f>
        <v/>
      </c>
      <c r="O168" t="str">
        <f t="shared" si="23"/>
        <v xml:space="preserve">      299:
        name: History HD</v>
      </c>
    </row>
    <row r="169" spans="1:15" x14ac:dyDescent="0.25">
      <c r="A169">
        <v>300</v>
      </c>
      <c r="B169" t="s">
        <v>529</v>
      </c>
      <c r="D169" t="s">
        <v>302</v>
      </c>
      <c r="E169" t="s">
        <v>302</v>
      </c>
      <c r="J169" t="str">
        <f t="shared" si="15"/>
        <v>VM Music</v>
      </c>
      <c r="K169">
        <f t="shared" si="16"/>
        <v>300</v>
      </c>
      <c r="L169" t="str">
        <f>IF(NOT(ISERROR(VLOOKUP(B169&amp;" HD",B:B,1,FALSE))),VLOOKUP(B169&amp;" HD",J:K,2,FALSE),"")</f>
        <v/>
      </c>
      <c r="M169" t="str">
        <f>IF(NOT(ISERROR(VLOOKUP(B169&amp;" +1",B:B,1,FALSE))),VLOOKUP(B169&amp;" +1",J:K,2,FALSE),"")</f>
        <v/>
      </c>
      <c r="O169" t="str">
        <f t="shared" si="17"/>
        <v xml:space="preserve">      300:
        name: VM Music</v>
      </c>
    </row>
    <row r="170" spans="1:15" x14ac:dyDescent="0.25">
      <c r="A170">
        <v>310</v>
      </c>
      <c r="B170" t="s">
        <v>143</v>
      </c>
      <c r="D170" t="s">
        <v>302</v>
      </c>
      <c r="E170" t="s">
        <v>302</v>
      </c>
      <c r="J170" t="str">
        <f t="shared" si="15"/>
        <v>MTV Music</v>
      </c>
      <c r="K170">
        <f t="shared" si="16"/>
        <v>310</v>
      </c>
      <c r="L170" t="str">
        <f>IF(NOT(ISERROR(VLOOKUP(B170&amp;" HD",B:B,1,FALSE))),VLOOKUP(B170&amp;" HD",J:K,2,FALSE),"")</f>
        <v/>
      </c>
      <c r="M170" t="str">
        <f>IF(NOT(ISERROR(VLOOKUP(B170&amp;" +1",B:B,1,FALSE))),VLOOKUP(B170&amp;" +1",J:K,2,FALSE),"")</f>
        <v/>
      </c>
      <c r="O170" t="str">
        <f t="shared" si="17"/>
        <v xml:space="preserve">      310:
        name: MTV Music</v>
      </c>
    </row>
    <row r="171" spans="1:15" x14ac:dyDescent="0.25">
      <c r="A171">
        <v>311</v>
      </c>
      <c r="B171" t="s">
        <v>144</v>
      </c>
      <c r="D171" t="s">
        <v>302</v>
      </c>
      <c r="E171" t="s">
        <v>302</v>
      </c>
      <c r="J171" t="str">
        <f t="shared" si="15"/>
        <v>MTV Live HD</v>
      </c>
      <c r="K171">
        <f t="shared" si="16"/>
        <v>311</v>
      </c>
      <c r="L171" t="str">
        <f>IF(NOT(ISERROR(VLOOKUP(B171&amp;" HD",B:B,1,FALSE))),VLOOKUP(B171&amp;" HD",J:K,2,FALSE),"")</f>
        <v/>
      </c>
      <c r="M171" t="str">
        <f>IF(NOT(ISERROR(VLOOKUP(B171&amp;" +1",B:B,1,FALSE))),VLOOKUP(B171&amp;" +1",J:K,2,FALSE),"")</f>
        <v/>
      </c>
      <c r="O171" t="str">
        <f t="shared" si="17"/>
        <v xml:space="preserve">      311:
        name: MTV Live HD</v>
      </c>
    </row>
    <row r="172" spans="1:15" x14ac:dyDescent="0.25">
      <c r="A172">
        <v>312</v>
      </c>
      <c r="B172" t="s">
        <v>145</v>
      </c>
      <c r="D172" t="s">
        <v>302</v>
      </c>
      <c r="E172" t="s">
        <v>302</v>
      </c>
      <c r="J172" t="str">
        <f t="shared" si="15"/>
        <v>MTV Hits</v>
      </c>
      <c r="K172">
        <f t="shared" si="16"/>
        <v>312</v>
      </c>
      <c r="L172" t="str">
        <f>IF(NOT(ISERROR(VLOOKUP(B172&amp;" HD",B:B,1,FALSE))),VLOOKUP(B172&amp;" HD",J:K,2,FALSE),"")</f>
        <v/>
      </c>
      <c r="M172" t="str">
        <f>IF(NOT(ISERROR(VLOOKUP(B172&amp;" +1",B:B,1,FALSE))),VLOOKUP(B172&amp;" +1",J:K,2,FALSE),"")</f>
        <v/>
      </c>
      <c r="O172" t="str">
        <f t="shared" si="17"/>
        <v xml:space="preserve">      312:
        name: MTV Hits</v>
      </c>
    </row>
    <row r="173" spans="1:15" x14ac:dyDescent="0.25">
      <c r="A173">
        <v>313</v>
      </c>
      <c r="B173" t="s">
        <v>146</v>
      </c>
      <c r="D173" t="s">
        <v>302</v>
      </c>
      <c r="E173" t="s">
        <v>302</v>
      </c>
      <c r="J173" t="str">
        <f t="shared" si="15"/>
        <v>MTV Base</v>
      </c>
      <c r="K173">
        <f t="shared" si="16"/>
        <v>313</v>
      </c>
      <c r="L173" t="str">
        <f>IF(NOT(ISERROR(VLOOKUP(B173&amp;" HD",B:B,1,FALSE))),VLOOKUP(B173&amp;" HD",J:K,2,FALSE),"")</f>
        <v/>
      </c>
      <c r="M173" t="str">
        <f>IF(NOT(ISERROR(VLOOKUP(B173&amp;" +1",B:B,1,FALSE))),VLOOKUP(B173&amp;" +1",J:K,2,FALSE),"")</f>
        <v/>
      </c>
      <c r="O173" t="str">
        <f t="shared" si="17"/>
        <v xml:space="preserve">      313:
        name: MTV Base</v>
      </c>
    </row>
    <row r="174" spans="1:15" x14ac:dyDescent="0.25">
      <c r="A174">
        <v>314</v>
      </c>
      <c r="B174" t="s">
        <v>147</v>
      </c>
      <c r="D174" t="s">
        <v>302</v>
      </c>
      <c r="E174" t="s">
        <v>302</v>
      </c>
      <c r="J174" t="str">
        <f t="shared" si="15"/>
        <v>MTV Dance</v>
      </c>
      <c r="K174">
        <f t="shared" si="16"/>
        <v>314</v>
      </c>
      <c r="L174" t="str">
        <f>IF(NOT(ISERROR(VLOOKUP(B174&amp;" HD",B:B,1,FALSE))),VLOOKUP(B174&amp;" HD",J:K,2,FALSE),"")</f>
        <v/>
      </c>
      <c r="M174" t="str">
        <f>IF(NOT(ISERROR(VLOOKUP(B174&amp;" +1",B:B,1,FALSE))),VLOOKUP(B174&amp;" +1",J:K,2,FALSE),"")</f>
        <v/>
      </c>
      <c r="O174" t="str">
        <f t="shared" si="17"/>
        <v xml:space="preserve">      314:
        name: MTV Dance</v>
      </c>
    </row>
    <row r="175" spans="1:15" x14ac:dyDescent="0.25">
      <c r="A175">
        <v>315</v>
      </c>
      <c r="B175" t="s">
        <v>148</v>
      </c>
      <c r="D175" t="s">
        <v>302</v>
      </c>
      <c r="E175" t="s">
        <v>302</v>
      </c>
      <c r="J175" t="str">
        <f t="shared" si="15"/>
        <v>MTV Rocks</v>
      </c>
      <c r="K175">
        <f t="shared" si="16"/>
        <v>315</v>
      </c>
      <c r="L175" t="str">
        <f>IF(NOT(ISERROR(VLOOKUP(B175&amp;" HD",B:B,1,FALSE))),VLOOKUP(B175&amp;" HD",J:K,2,FALSE),"")</f>
        <v/>
      </c>
      <c r="M175" t="str">
        <f>IF(NOT(ISERROR(VLOOKUP(B175&amp;" +1",B:B,1,FALSE))),VLOOKUP(B175&amp;" +1",J:K,2,FALSE),"")</f>
        <v/>
      </c>
      <c r="O175" t="str">
        <f t="shared" si="17"/>
        <v xml:space="preserve">      315:
        name: MTV Rocks</v>
      </c>
    </row>
    <row r="176" spans="1:15" x14ac:dyDescent="0.25">
      <c r="A176">
        <v>316</v>
      </c>
      <c r="B176" t="s">
        <v>149</v>
      </c>
      <c r="D176" t="s">
        <v>302</v>
      </c>
      <c r="E176" t="s">
        <v>302</v>
      </c>
      <c r="J176" t="str">
        <f t="shared" si="15"/>
        <v>VH1</v>
      </c>
      <c r="K176">
        <f t="shared" si="16"/>
        <v>316</v>
      </c>
      <c r="L176" t="str">
        <f>IF(NOT(ISERROR(VLOOKUP(B176&amp;" HD",B:B,1,FALSE))),VLOOKUP(B176&amp;" HD",J:K,2,FALSE),"")</f>
        <v/>
      </c>
      <c r="M176" t="str">
        <f>IF(NOT(ISERROR(VLOOKUP(B176&amp;" +1",B:B,1,FALSE))),VLOOKUP(B176&amp;" +1",J:K,2,FALSE),"")</f>
        <v/>
      </c>
      <c r="O176" t="str">
        <f t="shared" si="17"/>
        <v xml:space="preserve">      316:
        name: VH1</v>
      </c>
    </row>
    <row r="177" spans="1:15" x14ac:dyDescent="0.25">
      <c r="A177">
        <v>318</v>
      </c>
      <c r="B177" t="s">
        <v>150</v>
      </c>
      <c r="D177" t="s">
        <v>302</v>
      </c>
      <c r="E177" t="s">
        <v>302</v>
      </c>
      <c r="J177" t="str">
        <f t="shared" si="15"/>
        <v>MTV OMG</v>
      </c>
      <c r="K177">
        <f t="shared" si="16"/>
        <v>318</v>
      </c>
      <c r="L177" t="str">
        <f>IF(NOT(ISERROR(VLOOKUP(B177&amp;" HD",B:B,1,FALSE))),VLOOKUP(B177&amp;" HD",J:K,2,FALSE),"")</f>
        <v/>
      </c>
      <c r="M177" t="str">
        <f>IF(NOT(ISERROR(VLOOKUP(B177&amp;" +1",B:B,1,FALSE))),VLOOKUP(B177&amp;" +1",J:K,2,FALSE),"")</f>
        <v/>
      </c>
      <c r="O177" t="str">
        <f t="shared" si="17"/>
        <v xml:space="preserve">      318:
        name: MTV OMG</v>
      </c>
    </row>
    <row r="178" spans="1:15" x14ac:dyDescent="0.25">
      <c r="A178">
        <v>330</v>
      </c>
      <c r="B178" t="s">
        <v>151</v>
      </c>
      <c r="D178" t="s">
        <v>302</v>
      </c>
      <c r="E178" t="s">
        <v>302</v>
      </c>
      <c r="J178" t="str">
        <f t="shared" si="15"/>
        <v>Box Upfront</v>
      </c>
      <c r="K178">
        <f t="shared" si="16"/>
        <v>330</v>
      </c>
      <c r="L178" t="str">
        <f>IF(NOT(ISERROR(VLOOKUP(B178&amp;" HD",B:B,1,FALSE))),VLOOKUP(B178&amp;" HD",J:K,2,FALSE),"")</f>
        <v/>
      </c>
      <c r="M178" t="str">
        <f>IF(NOT(ISERROR(VLOOKUP(B178&amp;" +1",B:B,1,FALSE))),VLOOKUP(B178&amp;" +1",J:K,2,FALSE),"")</f>
        <v/>
      </c>
      <c r="O178" t="str">
        <f t="shared" si="17"/>
        <v xml:space="preserve">      330:
        name: Box Upfront</v>
      </c>
    </row>
    <row r="179" spans="1:15" x14ac:dyDescent="0.25">
      <c r="A179">
        <v>335</v>
      </c>
      <c r="B179" t="s">
        <v>152</v>
      </c>
      <c r="D179" t="s">
        <v>302</v>
      </c>
      <c r="E179" t="s">
        <v>302</v>
      </c>
      <c r="J179" t="str">
        <f t="shared" si="15"/>
        <v>The Box</v>
      </c>
      <c r="K179">
        <f t="shared" si="16"/>
        <v>335</v>
      </c>
      <c r="L179" t="str">
        <f>IF(NOT(ISERROR(VLOOKUP(B179&amp;" HD",B:B,1,FALSE))),VLOOKUP(B179&amp;" HD",J:K,2,FALSE),"")</f>
        <v/>
      </c>
      <c r="M179" t="str">
        <f>IF(NOT(ISERROR(VLOOKUP(B179&amp;" +1",B:B,1,FALSE))),VLOOKUP(B179&amp;" +1",J:K,2,FALSE),"")</f>
        <v/>
      </c>
      <c r="O179" t="str">
        <f t="shared" si="17"/>
        <v xml:space="preserve">      335:
        name: The Box</v>
      </c>
    </row>
    <row r="180" spans="1:15" x14ac:dyDescent="0.25">
      <c r="A180">
        <v>336</v>
      </c>
      <c r="B180" t="s">
        <v>153</v>
      </c>
      <c r="D180" t="s">
        <v>302</v>
      </c>
      <c r="E180" t="s">
        <v>302</v>
      </c>
      <c r="J180" t="str">
        <f t="shared" si="15"/>
        <v>Box Hits</v>
      </c>
      <c r="K180">
        <f t="shared" si="16"/>
        <v>336</v>
      </c>
      <c r="L180" t="str">
        <f>IF(NOT(ISERROR(VLOOKUP(B180&amp;" HD",B:B,1,FALSE))),VLOOKUP(B180&amp;" HD",J:K,2,FALSE),"")</f>
        <v/>
      </c>
      <c r="M180" t="str">
        <f>IF(NOT(ISERROR(VLOOKUP(B180&amp;" +1",B:B,1,FALSE))),VLOOKUP(B180&amp;" +1",J:K,2,FALSE),"")</f>
        <v/>
      </c>
      <c r="O180" t="str">
        <f t="shared" si="17"/>
        <v xml:space="preserve">      336:
        name: Box Hits</v>
      </c>
    </row>
    <row r="181" spans="1:15" x14ac:dyDescent="0.25">
      <c r="A181">
        <v>337</v>
      </c>
      <c r="B181" t="s">
        <v>154</v>
      </c>
      <c r="D181" t="s">
        <v>302</v>
      </c>
      <c r="E181" t="s">
        <v>302</v>
      </c>
      <c r="J181" t="str">
        <f t="shared" si="15"/>
        <v>4Music</v>
      </c>
      <c r="K181">
        <f t="shared" si="16"/>
        <v>337</v>
      </c>
      <c r="L181" t="str">
        <f>IF(NOT(ISERROR(VLOOKUP(B181&amp;" HD",B:B,1,FALSE))),VLOOKUP(B181&amp;" HD",J:K,2,FALSE),"")</f>
        <v/>
      </c>
      <c r="M181" t="str">
        <f>IF(NOT(ISERROR(VLOOKUP(B181&amp;" +1",B:B,1,FALSE))),VLOOKUP(B181&amp;" +1",J:K,2,FALSE),"")</f>
        <v/>
      </c>
      <c r="O181" t="str">
        <f t="shared" si="17"/>
        <v xml:space="preserve">      337:
        name: 4Music</v>
      </c>
    </row>
    <row r="182" spans="1:15" x14ac:dyDescent="0.25">
      <c r="A182">
        <v>338</v>
      </c>
      <c r="B182" t="s">
        <v>155</v>
      </c>
      <c r="D182" t="s">
        <v>302</v>
      </c>
      <c r="E182" t="s">
        <v>302</v>
      </c>
      <c r="J182" t="str">
        <f t="shared" si="15"/>
        <v>Kiss</v>
      </c>
      <c r="K182">
        <f t="shared" si="16"/>
        <v>338</v>
      </c>
      <c r="L182" t="str">
        <f>IF(NOT(ISERROR(VLOOKUP(B182&amp;" HD",B:B,1,FALSE))),VLOOKUP(B182&amp;" HD",J:K,2,FALSE),"")</f>
        <v/>
      </c>
      <c r="M182" t="str">
        <f>IF(NOT(ISERROR(VLOOKUP(B182&amp;" +1",B:B,1,FALSE))),VLOOKUP(B182&amp;" +1",J:K,2,FALSE),"")</f>
        <v/>
      </c>
      <c r="O182" t="str">
        <f t="shared" si="17"/>
        <v xml:space="preserve">      338:
        name: Kiss</v>
      </c>
    </row>
    <row r="183" spans="1:15" x14ac:dyDescent="0.25">
      <c r="A183">
        <v>340</v>
      </c>
      <c r="B183" t="s">
        <v>156</v>
      </c>
      <c r="D183" t="s">
        <v>302</v>
      </c>
      <c r="E183" t="s">
        <v>302</v>
      </c>
      <c r="J183" t="str">
        <f t="shared" si="15"/>
        <v>Magic</v>
      </c>
      <c r="K183">
        <f t="shared" si="16"/>
        <v>340</v>
      </c>
      <c r="L183" t="str">
        <f>IF(NOT(ISERROR(VLOOKUP(B183&amp;" HD",B:B,1,FALSE))),VLOOKUP(B183&amp;" HD",J:K,2,FALSE),"")</f>
        <v/>
      </c>
      <c r="M183" t="str">
        <f>IF(NOT(ISERROR(VLOOKUP(B183&amp;" +1",B:B,1,FALSE))),VLOOKUP(B183&amp;" +1",J:K,2,FALSE),"")</f>
        <v/>
      </c>
      <c r="O183" t="str">
        <f t="shared" si="17"/>
        <v xml:space="preserve">      340:
        name: Magic</v>
      </c>
    </row>
    <row r="184" spans="1:15" x14ac:dyDescent="0.25">
      <c r="A184">
        <v>342</v>
      </c>
      <c r="B184" t="s">
        <v>545</v>
      </c>
      <c r="D184" t="s">
        <v>302</v>
      </c>
      <c r="E184" t="s">
        <v>302</v>
      </c>
      <c r="J184" t="str">
        <f t="shared" si="15"/>
        <v>Kerrang!</v>
      </c>
      <c r="K184">
        <f t="shared" si="16"/>
        <v>342</v>
      </c>
      <c r="L184" t="str">
        <f>IF(NOT(ISERROR(VLOOKUP(B184&amp;" HD",B:B,1,FALSE))),VLOOKUP(B184&amp;" HD",J:K,2,FALSE),"")</f>
        <v/>
      </c>
      <c r="M184" t="str">
        <f>IF(NOT(ISERROR(VLOOKUP(B184&amp;" +1",B:B,1,FALSE))),VLOOKUP(B184&amp;" +1",J:K,2,FALSE),"")</f>
        <v/>
      </c>
      <c r="O184" t="str">
        <f t="shared" si="17"/>
        <v xml:space="preserve">      342:
        name: Kerrang!</v>
      </c>
    </row>
    <row r="185" spans="1:15" x14ac:dyDescent="0.25">
      <c r="A185">
        <v>344</v>
      </c>
      <c r="B185" t="s">
        <v>157</v>
      </c>
      <c r="D185" t="s">
        <v>302</v>
      </c>
      <c r="E185" t="s">
        <v>302</v>
      </c>
      <c r="J185" t="str">
        <f t="shared" si="15"/>
        <v>Vevo</v>
      </c>
      <c r="K185">
        <f t="shared" si="16"/>
        <v>344</v>
      </c>
      <c r="L185" t="str">
        <f>IF(NOT(ISERROR(VLOOKUP(B185&amp;" HD",B:B,1,FALSE))),VLOOKUP(B185&amp;" HD",J:K,2,FALSE),"")</f>
        <v/>
      </c>
      <c r="M185" t="str">
        <f>IF(NOT(ISERROR(VLOOKUP(B185&amp;" +1",B:B,1,FALSE))),VLOOKUP(B185&amp;" +1",J:K,2,FALSE),"")</f>
        <v/>
      </c>
      <c r="O185" t="str">
        <f t="shared" si="17"/>
        <v xml:space="preserve">      344:
        name: Vevo</v>
      </c>
    </row>
    <row r="186" spans="1:15" x14ac:dyDescent="0.25">
      <c r="A186">
        <v>345</v>
      </c>
      <c r="B186" t="s">
        <v>158</v>
      </c>
      <c r="D186" t="s">
        <v>302</v>
      </c>
      <c r="E186" t="s">
        <v>302</v>
      </c>
      <c r="J186" t="str">
        <f t="shared" si="15"/>
        <v>Clubland TV</v>
      </c>
      <c r="K186">
        <f t="shared" si="16"/>
        <v>345</v>
      </c>
      <c r="L186" t="str">
        <f>IF(NOT(ISERROR(VLOOKUP(B186&amp;" HD",B:B,1,FALSE))),VLOOKUP(B186&amp;" HD",J:K,2,FALSE),"")</f>
        <v/>
      </c>
      <c r="M186" t="str">
        <f>IF(NOT(ISERROR(VLOOKUP(B186&amp;" +1",B:B,1,FALSE))),VLOOKUP(B186&amp;" +1",J:K,2,FALSE),"")</f>
        <v/>
      </c>
      <c r="O186" t="str">
        <f t="shared" si="17"/>
        <v xml:space="preserve">      345:
        name: Clubland TV</v>
      </c>
    </row>
    <row r="187" spans="1:15" x14ac:dyDescent="0.25">
      <c r="A187">
        <v>346</v>
      </c>
      <c r="B187" t="s">
        <v>549</v>
      </c>
      <c r="D187" t="s">
        <v>302</v>
      </c>
      <c r="E187" t="s">
        <v>302</v>
      </c>
      <c r="J187" t="str">
        <f t="shared" ref="J187" si="24">B187</f>
        <v>Now 80s</v>
      </c>
      <c r="K187">
        <f t="shared" ref="K187" si="25">A187</f>
        <v>346</v>
      </c>
      <c r="L187" t="str">
        <f>IF(NOT(ISERROR(VLOOKUP(B187&amp;" HD",B:B,1,FALSE))),VLOOKUP(B187&amp;" HD",J:K,2,FALSE),"")</f>
        <v/>
      </c>
      <c r="M187" t="str">
        <f>IF(NOT(ISERROR(VLOOKUP(B187&amp;" +1",B:B,1,FALSE))),VLOOKUP(B187&amp;" +1",J:K,2,FALSE),"")</f>
        <v/>
      </c>
      <c r="O187" t="str">
        <f t="shared" ref="O187" si="26">SUBSTITUTE(CONCATENATE("      ",A187,":","\nname: ",B187,IF(C187&lt;&gt;"","\nshow: "&amp;C187,""),IF(D187&lt;&gt;"","\nhd_channel: "&amp;D187,""),IF(E187&lt;&gt;"","\nplus_one: "&amp;E187,""),IF(F187&lt;&gt;"","\nlogo: "&amp;F187,""),IF(G187&lt;&gt;"","\ntarget: "&amp;G187,""),IF(H187&lt;&gt;"","\nsource: "&amp;H187,"")),"\n",CHAR(10)&amp;"        ")</f>
        <v xml:space="preserve">      346:
        name: Now 80s</v>
      </c>
    </row>
    <row r="188" spans="1:15" x14ac:dyDescent="0.25">
      <c r="A188">
        <v>400</v>
      </c>
      <c r="B188" t="s">
        <v>11</v>
      </c>
      <c r="D188" t="s">
        <v>302</v>
      </c>
      <c r="E188" t="s">
        <v>302</v>
      </c>
      <c r="J188" t="str">
        <f t="shared" si="15"/>
        <v>Virgin Movies Previews</v>
      </c>
      <c r="K188">
        <f t="shared" si="16"/>
        <v>400</v>
      </c>
      <c r="L188" t="str">
        <f>IF(NOT(ISERROR(VLOOKUP(B188&amp;" HD",B:B,1,FALSE))),VLOOKUP(B188&amp;" HD",J:K,2,FALSE),"")</f>
        <v/>
      </c>
      <c r="M188" t="str">
        <f>IF(NOT(ISERROR(VLOOKUP(B188&amp;" +1",B:B,1,FALSE))),VLOOKUP(B188&amp;" +1",J:K,2,FALSE),"")</f>
        <v/>
      </c>
      <c r="O188" t="str">
        <f t="shared" si="17"/>
        <v xml:space="preserve">      400:
        name: Virgin Movies Previews</v>
      </c>
    </row>
    <row r="189" spans="1:15" x14ac:dyDescent="0.25">
      <c r="A189">
        <v>401</v>
      </c>
      <c r="B189" t="s">
        <v>159</v>
      </c>
      <c r="D189" t="s">
        <v>302</v>
      </c>
      <c r="E189" t="s">
        <v>302</v>
      </c>
      <c r="J189" t="str">
        <f t="shared" si="15"/>
        <v>Sky Cinema Premiere HD</v>
      </c>
      <c r="K189">
        <f t="shared" si="16"/>
        <v>401</v>
      </c>
      <c r="L189" t="str">
        <f>IF(NOT(ISERROR(VLOOKUP(B189&amp;" HD",B:B,1,FALSE))),VLOOKUP(B189&amp;" HD",J:K,2,FALSE),"")</f>
        <v/>
      </c>
      <c r="M189" t="str">
        <f>IF(NOT(ISERROR(VLOOKUP(B189&amp;" +1",B:B,1,FALSE))),VLOOKUP(B189&amp;" +1",J:K,2,FALSE),"")</f>
        <v/>
      </c>
      <c r="O189" t="str">
        <f t="shared" si="17"/>
        <v xml:space="preserve">      401:
        name: Sky Cinema Premiere HD</v>
      </c>
    </row>
    <row r="190" spans="1:15" x14ac:dyDescent="0.25">
      <c r="A190">
        <v>402</v>
      </c>
      <c r="B190" t="s">
        <v>176</v>
      </c>
      <c r="D190" t="s">
        <v>302</v>
      </c>
      <c r="E190" t="s">
        <v>302</v>
      </c>
      <c r="J190" t="str">
        <f t="shared" si="15"/>
        <v>Sky Cinema Premiere +1</v>
      </c>
      <c r="K190">
        <f t="shared" si="16"/>
        <v>402</v>
      </c>
      <c r="L190" t="str">
        <f>IF(NOT(ISERROR(VLOOKUP(B190&amp;" HD",B:B,1,FALSE))),VLOOKUP(B190&amp;" HD",J:K,2,FALSE),"")</f>
        <v/>
      </c>
      <c r="M190" t="str">
        <f>IF(NOT(ISERROR(VLOOKUP(B190&amp;" +1",B:B,1,FALSE))),VLOOKUP(B190&amp;" +1",J:K,2,FALSE),"")</f>
        <v/>
      </c>
      <c r="O190" t="str">
        <f t="shared" si="17"/>
        <v xml:space="preserve">      402:
        name: Sky Cinema Premiere +1</v>
      </c>
    </row>
    <row r="191" spans="1:15" x14ac:dyDescent="0.25">
      <c r="A191">
        <v>403</v>
      </c>
      <c r="B191" t="s">
        <v>160</v>
      </c>
      <c r="D191" t="s">
        <v>302</v>
      </c>
      <c r="E191" t="s">
        <v>302</v>
      </c>
      <c r="J191" t="str">
        <f t="shared" si="15"/>
        <v>Sky Cinema Hits HD</v>
      </c>
      <c r="K191">
        <f t="shared" si="16"/>
        <v>403</v>
      </c>
      <c r="L191" t="str">
        <f>IF(NOT(ISERROR(VLOOKUP(B191&amp;" HD",B:B,1,FALSE))),VLOOKUP(B191&amp;" HD",J:K,2,FALSE),"")</f>
        <v/>
      </c>
      <c r="M191" t="str">
        <f>IF(NOT(ISERROR(VLOOKUP(B191&amp;" +1",B:B,1,FALSE))),VLOOKUP(B191&amp;" +1",J:K,2,FALSE),"")</f>
        <v/>
      </c>
      <c r="O191" t="str">
        <f t="shared" si="17"/>
        <v xml:space="preserve">      403:
        name: Sky Cinema Hits HD</v>
      </c>
    </row>
    <row r="192" spans="1:15" x14ac:dyDescent="0.25">
      <c r="A192">
        <v>404</v>
      </c>
      <c r="B192" t="s">
        <v>161</v>
      </c>
      <c r="D192" t="s">
        <v>302</v>
      </c>
      <c r="E192" t="s">
        <v>302</v>
      </c>
      <c r="J192" t="str">
        <f t="shared" si="15"/>
        <v>Sky Cinema Greats HD</v>
      </c>
      <c r="K192">
        <f t="shared" si="16"/>
        <v>404</v>
      </c>
      <c r="L192" t="str">
        <f>IF(NOT(ISERROR(VLOOKUP(B192&amp;" HD",B:B,1,FALSE))),VLOOKUP(B192&amp;" HD",J:K,2,FALSE),"")</f>
        <v/>
      </c>
      <c r="M192" t="str">
        <f>IF(NOT(ISERROR(VLOOKUP(B192&amp;" +1",B:B,1,FALSE))),VLOOKUP(B192&amp;" +1",J:K,2,FALSE),"")</f>
        <v/>
      </c>
      <c r="O192" t="str">
        <f t="shared" si="17"/>
        <v xml:space="preserve">      404:
        name: Sky Cinema Greats HD</v>
      </c>
    </row>
    <row r="193" spans="1:15" x14ac:dyDescent="0.25">
      <c r="A193">
        <v>405</v>
      </c>
      <c r="B193" t="s">
        <v>162</v>
      </c>
      <c r="D193" t="s">
        <v>302</v>
      </c>
      <c r="E193" t="s">
        <v>302</v>
      </c>
      <c r="J193" t="str">
        <f t="shared" si="15"/>
        <v>Sky Cinema Disney HD</v>
      </c>
      <c r="K193">
        <f t="shared" si="16"/>
        <v>405</v>
      </c>
      <c r="L193" t="str">
        <f>IF(NOT(ISERROR(VLOOKUP(B193&amp;" HD",B:B,1,FALSE))),VLOOKUP(B193&amp;" HD",J:K,2,FALSE),"")</f>
        <v/>
      </c>
      <c r="M193" t="str">
        <f>IF(NOT(ISERROR(VLOOKUP(B193&amp;" +1",B:B,1,FALSE))),VLOOKUP(B193&amp;" +1",J:K,2,FALSE),"")</f>
        <v/>
      </c>
      <c r="O193" t="str">
        <f t="shared" si="17"/>
        <v xml:space="preserve">      405:
        name: Sky Cinema Disney HD</v>
      </c>
    </row>
    <row r="194" spans="1:15" x14ac:dyDescent="0.25">
      <c r="A194">
        <v>406</v>
      </c>
      <c r="B194" t="s">
        <v>163</v>
      </c>
      <c r="D194" t="s">
        <v>302</v>
      </c>
      <c r="E194" t="s">
        <v>302</v>
      </c>
      <c r="J194" t="str">
        <f t="shared" si="15"/>
        <v>Sky Cinema Family HD</v>
      </c>
      <c r="K194">
        <f t="shared" si="16"/>
        <v>406</v>
      </c>
      <c r="L194" t="str">
        <f>IF(NOT(ISERROR(VLOOKUP(B194&amp;" HD",B:B,1,FALSE))),VLOOKUP(B194&amp;" HD",J:K,2,FALSE),"")</f>
        <v/>
      </c>
      <c r="M194" t="str">
        <f>IF(NOT(ISERROR(VLOOKUP(B194&amp;" +1",B:B,1,FALSE))),VLOOKUP(B194&amp;" +1",J:K,2,FALSE),"")</f>
        <v/>
      </c>
      <c r="O194" t="str">
        <f t="shared" si="17"/>
        <v xml:space="preserve">      406:
        name: Sky Cinema Family HD</v>
      </c>
    </row>
    <row r="195" spans="1:15" x14ac:dyDescent="0.25">
      <c r="A195">
        <v>407</v>
      </c>
      <c r="B195" t="s">
        <v>558</v>
      </c>
      <c r="D195" t="s">
        <v>302</v>
      </c>
      <c r="E195" t="s">
        <v>302</v>
      </c>
      <c r="J195" t="str">
        <f t="shared" si="15"/>
        <v>Sky Cinema Action HD</v>
      </c>
      <c r="K195">
        <f t="shared" si="16"/>
        <v>407</v>
      </c>
      <c r="L195" t="str">
        <f>IF(NOT(ISERROR(VLOOKUP(B195&amp;" HD",B:B,1,FALSE))),VLOOKUP(B195&amp;" HD",J:K,2,FALSE),"")</f>
        <v/>
      </c>
      <c r="M195" t="str">
        <f>IF(NOT(ISERROR(VLOOKUP(B195&amp;" +1",B:B,1,FALSE))),VLOOKUP(B195&amp;" +1",J:K,2,FALSE),"")</f>
        <v/>
      </c>
      <c r="O195" t="str">
        <f t="shared" si="17"/>
        <v xml:space="preserve">      407:
        name: Sky Cinema Action HD</v>
      </c>
    </row>
    <row r="196" spans="1:15" x14ac:dyDescent="0.25">
      <c r="A196">
        <v>408</v>
      </c>
      <c r="B196" t="s">
        <v>164</v>
      </c>
      <c r="D196" t="s">
        <v>302</v>
      </c>
      <c r="E196" t="s">
        <v>302</v>
      </c>
      <c r="J196" t="str">
        <f t="shared" si="15"/>
        <v>Sky Cinema Comedy HD</v>
      </c>
      <c r="K196">
        <f t="shared" si="16"/>
        <v>408</v>
      </c>
      <c r="L196" t="str">
        <f>IF(NOT(ISERROR(VLOOKUP(B196&amp;" HD",B:B,1,FALSE))),VLOOKUP(B196&amp;" HD",J:K,2,FALSE),"")</f>
        <v/>
      </c>
      <c r="M196" t="str">
        <f>IF(NOT(ISERROR(VLOOKUP(B196&amp;" +1",B:B,1,FALSE))),VLOOKUP(B196&amp;" +1",J:K,2,FALSE),"")</f>
        <v/>
      </c>
      <c r="O196" t="str">
        <f t="shared" si="17"/>
        <v xml:space="preserve">      408:
        name: Sky Cinema Comedy HD</v>
      </c>
    </row>
    <row r="197" spans="1:15" x14ac:dyDescent="0.25">
      <c r="A197">
        <v>409</v>
      </c>
      <c r="B197" t="s">
        <v>561</v>
      </c>
      <c r="D197" t="s">
        <v>302</v>
      </c>
      <c r="E197" t="s">
        <v>302</v>
      </c>
      <c r="J197" t="str">
        <f t="shared" si="15"/>
        <v>Sky Cinema Thriller HD</v>
      </c>
      <c r="K197">
        <f t="shared" si="16"/>
        <v>409</v>
      </c>
      <c r="L197" t="str">
        <f>IF(NOT(ISERROR(VLOOKUP(B197&amp;" HD",B:B,1,FALSE))),VLOOKUP(B197&amp;" HD",J:K,2,FALSE),"")</f>
        <v/>
      </c>
      <c r="M197" t="str">
        <f>IF(NOT(ISERROR(VLOOKUP(B197&amp;" +1",B:B,1,FALSE))),VLOOKUP(B197&amp;" +1",J:K,2,FALSE),"")</f>
        <v/>
      </c>
      <c r="O197" t="str">
        <f t="shared" si="17"/>
        <v xml:space="preserve">      409:
        name: Sky Cinema Thriller HD</v>
      </c>
    </row>
    <row r="198" spans="1:15" x14ac:dyDescent="0.25">
      <c r="A198">
        <v>410</v>
      </c>
      <c r="B198" t="s">
        <v>563</v>
      </c>
      <c r="D198" t="s">
        <v>302</v>
      </c>
      <c r="E198" t="s">
        <v>302</v>
      </c>
      <c r="J198" t="str">
        <f t="shared" si="15"/>
        <v>Sky Cinema Drama HD</v>
      </c>
      <c r="K198">
        <f t="shared" si="16"/>
        <v>410</v>
      </c>
      <c r="L198" t="str">
        <f>IF(NOT(ISERROR(VLOOKUP(B198&amp;" HD",B:B,1,FALSE))),VLOOKUP(B198&amp;" HD",J:K,2,FALSE),"")</f>
        <v/>
      </c>
      <c r="M198" t="str">
        <f>IF(NOT(ISERROR(VLOOKUP(B198&amp;" +1",B:B,1,FALSE))),VLOOKUP(B198&amp;" +1",J:K,2,FALSE),"")</f>
        <v/>
      </c>
      <c r="O198" t="str">
        <f t="shared" si="17"/>
        <v xml:space="preserve">      410:
        name: Sky Cinema Drama HD</v>
      </c>
    </row>
    <row r="199" spans="1:15" x14ac:dyDescent="0.25">
      <c r="A199">
        <v>411</v>
      </c>
      <c r="B199" t="s">
        <v>565</v>
      </c>
      <c r="D199" t="s">
        <v>302</v>
      </c>
      <c r="E199" t="s">
        <v>302</v>
      </c>
      <c r="J199" t="str">
        <f t="shared" si="15"/>
        <v>Sky Cinema Sci-Fi &amp; Horror HD</v>
      </c>
      <c r="K199">
        <f t="shared" si="16"/>
        <v>411</v>
      </c>
      <c r="L199" t="str">
        <f>IF(NOT(ISERROR(VLOOKUP(B199&amp;" HD",B:B,1,FALSE))),VLOOKUP(B199&amp;" HD",J:K,2,FALSE),"")</f>
        <v/>
      </c>
      <c r="M199" t="str">
        <f>IF(NOT(ISERROR(VLOOKUP(B199&amp;" +1",B:B,1,FALSE))),VLOOKUP(B199&amp;" +1",J:K,2,FALSE),"")</f>
        <v/>
      </c>
      <c r="O199" t="str">
        <f t="shared" si="17"/>
        <v xml:space="preserve">      411:
        name: Sky Cinema Sci-Fi &amp; Horror HD</v>
      </c>
    </row>
    <row r="200" spans="1:15" x14ac:dyDescent="0.25">
      <c r="A200">
        <v>412</v>
      </c>
      <c r="B200" t="s">
        <v>165</v>
      </c>
      <c r="D200" t="s">
        <v>302</v>
      </c>
      <c r="E200" t="s">
        <v>302</v>
      </c>
      <c r="J200" t="str">
        <f t="shared" si="15"/>
        <v>Sky Cinema Select HD</v>
      </c>
      <c r="K200">
        <f t="shared" si="16"/>
        <v>412</v>
      </c>
      <c r="L200" t="str">
        <f>IF(NOT(ISERROR(VLOOKUP(B200&amp;" HD",B:B,1,FALSE))),VLOOKUP(B200&amp;" HD",J:K,2,FALSE),"")</f>
        <v/>
      </c>
      <c r="M200" t="str">
        <f>IF(NOT(ISERROR(VLOOKUP(B200&amp;" +1",B:B,1,FALSE))),VLOOKUP(B200&amp;" +1",J:K,2,FALSE),"")</f>
        <v/>
      </c>
      <c r="O200" t="str">
        <f t="shared" si="17"/>
        <v xml:space="preserve">      412:
        name: Sky Cinema Select HD</v>
      </c>
    </row>
    <row r="201" spans="1:15" x14ac:dyDescent="0.25">
      <c r="A201">
        <v>415</v>
      </c>
      <c r="B201" t="s">
        <v>166</v>
      </c>
      <c r="D201">
        <v>416</v>
      </c>
      <c r="E201">
        <v>417</v>
      </c>
      <c r="J201" t="str">
        <f t="shared" si="15"/>
        <v>TCM</v>
      </c>
      <c r="K201">
        <f t="shared" si="16"/>
        <v>415</v>
      </c>
      <c r="L201">
        <f>IF(NOT(ISERROR(VLOOKUP(B201&amp;" HD",B:B,1,FALSE))),VLOOKUP(B201&amp;" HD",J:K,2,FALSE),"")</f>
        <v>416</v>
      </c>
      <c r="M201">
        <f>IF(NOT(ISERROR(VLOOKUP(B201&amp;" +1",B:B,1,FALSE))),VLOOKUP(B201&amp;" +1",J:K,2,FALSE),"")</f>
        <v>417</v>
      </c>
      <c r="O201" t="str">
        <f t="shared" si="17"/>
        <v xml:space="preserve">      415:
        name: TCM
        hd_channel: 416
        plus_one: 417</v>
      </c>
    </row>
    <row r="202" spans="1:15" x14ac:dyDescent="0.25">
      <c r="A202">
        <v>416</v>
      </c>
      <c r="B202" t="s">
        <v>167</v>
      </c>
      <c r="D202" t="s">
        <v>302</v>
      </c>
      <c r="E202" t="s">
        <v>302</v>
      </c>
      <c r="J202" t="str">
        <f t="shared" si="15"/>
        <v>TCM HD</v>
      </c>
      <c r="K202">
        <f t="shared" si="16"/>
        <v>416</v>
      </c>
      <c r="L202" t="str">
        <f>IF(NOT(ISERROR(VLOOKUP(B202&amp;" HD",B:B,1,FALSE))),VLOOKUP(B202&amp;" HD",J:K,2,FALSE),"")</f>
        <v/>
      </c>
      <c r="M202" t="str">
        <f>IF(NOT(ISERROR(VLOOKUP(B202&amp;" +1",B:B,1,FALSE))),VLOOKUP(B202&amp;" +1",J:K,2,FALSE),"")</f>
        <v/>
      </c>
      <c r="O202" t="str">
        <f t="shared" si="17"/>
        <v xml:space="preserve">      416:
        name: TCM HD</v>
      </c>
    </row>
    <row r="203" spans="1:15" x14ac:dyDescent="0.25">
      <c r="A203">
        <v>417</v>
      </c>
      <c r="B203" t="s">
        <v>168</v>
      </c>
      <c r="D203" t="s">
        <v>302</v>
      </c>
      <c r="E203" t="s">
        <v>302</v>
      </c>
      <c r="J203" t="str">
        <f t="shared" si="15"/>
        <v>TCM +1</v>
      </c>
      <c r="K203">
        <f t="shared" si="16"/>
        <v>417</v>
      </c>
      <c r="L203" t="str">
        <f>IF(NOT(ISERROR(VLOOKUP(B203&amp;" HD",B:B,1,FALSE))),VLOOKUP(B203&amp;" HD",J:K,2,FALSE),"")</f>
        <v/>
      </c>
      <c r="M203" t="str">
        <f>IF(NOT(ISERROR(VLOOKUP(B203&amp;" +1",B:B,1,FALSE))),VLOOKUP(B203&amp;" +1",J:K,2,FALSE),"")</f>
        <v/>
      </c>
      <c r="O203" t="str">
        <f t="shared" si="17"/>
        <v xml:space="preserve">      417:
        name: TCM +1</v>
      </c>
    </row>
    <row r="204" spans="1:15" x14ac:dyDescent="0.25">
      <c r="A204">
        <v>419</v>
      </c>
      <c r="B204" t="s">
        <v>169</v>
      </c>
      <c r="D204" t="s">
        <v>302</v>
      </c>
      <c r="E204">
        <v>420</v>
      </c>
      <c r="J204" t="str">
        <f t="shared" si="15"/>
        <v>Movies 24</v>
      </c>
      <c r="K204">
        <f t="shared" si="16"/>
        <v>419</v>
      </c>
      <c r="L204" t="str">
        <f>IF(NOT(ISERROR(VLOOKUP(B204&amp;" HD",B:B,1,FALSE))),VLOOKUP(B204&amp;" HD",J:K,2,FALSE),"")</f>
        <v/>
      </c>
      <c r="M204" t="str">
        <f>IF(NOT(ISERROR(VLOOKUP(B204&amp;" +1",B:B,1,FALSE))),VLOOKUP(B204&amp;" +1",J:K,2,FALSE),"")</f>
        <v/>
      </c>
      <c r="O204" t="str">
        <f t="shared" si="17"/>
        <v xml:space="preserve">      419:
        name: Movies 24
        plus_one: 420</v>
      </c>
    </row>
    <row r="205" spans="1:15" x14ac:dyDescent="0.25">
      <c r="A205">
        <v>420</v>
      </c>
      <c r="B205" t="s">
        <v>572</v>
      </c>
      <c r="D205" t="s">
        <v>302</v>
      </c>
      <c r="E205" t="s">
        <v>302</v>
      </c>
      <c r="J205" t="str">
        <f t="shared" si="15"/>
        <v>Movies 24 + 1</v>
      </c>
      <c r="K205">
        <f t="shared" si="16"/>
        <v>420</v>
      </c>
      <c r="L205" t="str">
        <f>IF(NOT(ISERROR(VLOOKUP(B205&amp;" HD",B:B,1,FALSE))),VLOOKUP(B205&amp;" HD",J:K,2,FALSE),"")</f>
        <v/>
      </c>
      <c r="M205" t="str">
        <f>IF(NOT(ISERROR(VLOOKUP(B205&amp;" +1",B:B,1,FALSE))),VLOOKUP(B205&amp;" +1",J:K,2,FALSE),"")</f>
        <v/>
      </c>
      <c r="O205" t="str">
        <f t="shared" si="17"/>
        <v xml:space="preserve">      420:
        name: Movies 24 + 1</v>
      </c>
    </row>
    <row r="206" spans="1:15" x14ac:dyDescent="0.25">
      <c r="A206">
        <v>424</v>
      </c>
      <c r="B206" t="s">
        <v>574</v>
      </c>
      <c r="D206" t="s">
        <v>302</v>
      </c>
      <c r="E206" t="s">
        <v>302</v>
      </c>
      <c r="J206" t="str">
        <f t="shared" si="15"/>
        <v>True Movies</v>
      </c>
      <c r="K206">
        <f t="shared" si="16"/>
        <v>424</v>
      </c>
      <c r="L206" t="str">
        <f>IF(NOT(ISERROR(VLOOKUP(B206&amp;" HD",B:B,1,FALSE))),VLOOKUP(B206&amp;" HD",J:K,2,FALSE),"")</f>
        <v/>
      </c>
      <c r="M206" t="str">
        <f>IF(NOT(ISERROR(VLOOKUP(B206&amp;" +1",B:B,1,FALSE))),VLOOKUP(B206&amp;" +1",J:K,2,FALSE),"")</f>
        <v/>
      </c>
      <c r="O206" t="str">
        <f t="shared" si="17"/>
        <v xml:space="preserve">      424:
        name: True Movies</v>
      </c>
    </row>
    <row r="207" spans="1:15" x14ac:dyDescent="0.25">
      <c r="A207">
        <v>425</v>
      </c>
      <c r="B207" t="s">
        <v>170</v>
      </c>
      <c r="D207" t="s">
        <v>302</v>
      </c>
      <c r="E207" t="s">
        <v>302</v>
      </c>
      <c r="J207" t="str">
        <f t="shared" si="15"/>
        <v>Sony Movie Channel</v>
      </c>
      <c r="K207">
        <f t="shared" si="16"/>
        <v>425</v>
      </c>
      <c r="L207" t="str">
        <f>IF(NOT(ISERROR(VLOOKUP(B207&amp;" HD",B:B,1,FALSE))),VLOOKUP(B207&amp;" HD",J:K,2,FALSE),"")</f>
        <v/>
      </c>
      <c r="M207" t="str">
        <f>IF(NOT(ISERROR(VLOOKUP(B207&amp;" +1",B:B,1,FALSE))),VLOOKUP(B207&amp;" +1",J:K,2,FALSE),"")</f>
        <v/>
      </c>
      <c r="O207" t="str">
        <f t="shared" si="17"/>
        <v xml:space="preserve">      425:
        name: Sony Movie Channel</v>
      </c>
    </row>
    <row r="208" spans="1:15" x14ac:dyDescent="0.25">
      <c r="A208">
        <v>426</v>
      </c>
      <c r="B208" t="s">
        <v>171</v>
      </c>
      <c r="D208" t="s">
        <v>302</v>
      </c>
      <c r="E208" t="s">
        <v>302</v>
      </c>
      <c r="J208" t="str">
        <f t="shared" si="15"/>
        <v>Movies4Men</v>
      </c>
      <c r="K208">
        <f t="shared" si="16"/>
        <v>426</v>
      </c>
      <c r="L208" t="str">
        <f>IF(NOT(ISERROR(VLOOKUP(B208&amp;" HD",B:B,1,FALSE))),VLOOKUP(B208&amp;" HD",J:K,2,FALSE),"")</f>
        <v/>
      </c>
      <c r="M208" t="str">
        <f>IF(NOT(ISERROR(VLOOKUP(B208&amp;" +1",B:B,1,FALSE))),VLOOKUP(B208&amp;" +1",J:K,2,FALSE),"")</f>
        <v/>
      </c>
      <c r="O208" t="str">
        <f t="shared" si="17"/>
        <v xml:space="preserve">      426:
        name: Movies4Men</v>
      </c>
    </row>
    <row r="209" spans="1:15" x14ac:dyDescent="0.25">
      <c r="A209">
        <v>428</v>
      </c>
      <c r="B209" t="s">
        <v>172</v>
      </c>
      <c r="C209" t="str">
        <f>"true"</f>
        <v>true</v>
      </c>
      <c r="D209">
        <v>429</v>
      </c>
      <c r="E209">
        <v>430</v>
      </c>
      <c r="J209" t="str">
        <f t="shared" ref="J209:J273" si="27">B209</f>
        <v>Film4</v>
      </c>
      <c r="K209">
        <f t="shared" ref="K209:K273" si="28">A209</f>
        <v>428</v>
      </c>
      <c r="L209">
        <f>IF(NOT(ISERROR(VLOOKUP(B209&amp;" HD",B:B,1,FALSE))),VLOOKUP(B209&amp;" HD",J:K,2,FALSE),"")</f>
        <v>429</v>
      </c>
      <c r="M209">
        <f>IF(NOT(ISERROR(VLOOKUP(B209&amp;" +1",B:B,1,FALSE))),VLOOKUP(B209&amp;" +1",J:K,2,FALSE),"")</f>
        <v>430</v>
      </c>
      <c r="O209" t="str">
        <f t="shared" ref="O209:O273" si="29">SUBSTITUTE(CONCATENATE("      ",A209,":","\nname: ",B209,IF(C209&lt;&gt;"","\nshow: "&amp;C209,""),IF(D209&lt;&gt;"","\nhd_channel: "&amp;D209,""),IF(E209&lt;&gt;"","\nplus_one: "&amp;E209,""),IF(F209&lt;&gt;"","\nlogo: "&amp;F209,""),IF(G209&lt;&gt;"","\ntarget: "&amp;G209,""),IF(H209&lt;&gt;"","\nsource: "&amp;H209,"")),"\n",CHAR(10)&amp;"        ")</f>
        <v xml:space="preserve">      428:
        name: Film4
        show: true
        hd_channel: 429
        plus_one: 430</v>
      </c>
    </row>
    <row r="210" spans="1:15" x14ac:dyDescent="0.25">
      <c r="A210">
        <v>429</v>
      </c>
      <c r="B210" t="s">
        <v>173</v>
      </c>
      <c r="D210" t="s">
        <v>302</v>
      </c>
      <c r="E210" t="s">
        <v>302</v>
      </c>
      <c r="J210" t="str">
        <f t="shared" si="27"/>
        <v>Film4 HD</v>
      </c>
      <c r="K210">
        <f t="shared" si="28"/>
        <v>429</v>
      </c>
      <c r="L210" t="str">
        <f>IF(NOT(ISERROR(VLOOKUP(B210&amp;" HD",B:B,1,FALSE))),VLOOKUP(B210&amp;" HD",J:K,2,FALSE),"")</f>
        <v/>
      </c>
      <c r="M210" t="str">
        <f>IF(NOT(ISERROR(VLOOKUP(B210&amp;" +1",B:B,1,FALSE))),VLOOKUP(B210&amp;" +1",J:K,2,FALSE),"")</f>
        <v/>
      </c>
      <c r="O210" t="str">
        <f t="shared" si="29"/>
        <v xml:space="preserve">      429:
        name: Film4 HD</v>
      </c>
    </row>
    <row r="211" spans="1:15" x14ac:dyDescent="0.25">
      <c r="A211">
        <v>430</v>
      </c>
      <c r="B211" t="s">
        <v>174</v>
      </c>
      <c r="D211" t="s">
        <v>302</v>
      </c>
      <c r="E211" t="s">
        <v>302</v>
      </c>
      <c r="J211" t="str">
        <f t="shared" si="27"/>
        <v>Film4 +1</v>
      </c>
      <c r="K211">
        <f t="shared" si="28"/>
        <v>430</v>
      </c>
      <c r="L211" t="str">
        <f>IF(NOT(ISERROR(VLOOKUP(B211&amp;" HD",B:B,1,FALSE))),VLOOKUP(B211&amp;" HD",J:K,2,FALSE),"")</f>
        <v/>
      </c>
      <c r="M211" t="str">
        <f>IF(NOT(ISERROR(VLOOKUP(B211&amp;" +1",B:B,1,FALSE))),VLOOKUP(B211&amp;" +1",J:K,2,FALSE),"")</f>
        <v/>
      </c>
      <c r="O211" t="str">
        <f t="shared" si="29"/>
        <v xml:space="preserve">      430:
        name: Film4 +1</v>
      </c>
    </row>
    <row r="212" spans="1:15" x14ac:dyDescent="0.25">
      <c r="A212">
        <v>431</v>
      </c>
      <c r="B212" t="s">
        <v>175</v>
      </c>
      <c r="D212">
        <v>401</v>
      </c>
      <c r="E212">
        <v>432</v>
      </c>
      <c r="J212" t="str">
        <f t="shared" si="27"/>
        <v>Sky Cinema Premiere</v>
      </c>
      <c r="K212">
        <f t="shared" si="28"/>
        <v>431</v>
      </c>
      <c r="L212">
        <f>IF(NOT(ISERROR(VLOOKUP(B212&amp;" HD",B:B,1,FALSE))),VLOOKUP(B212&amp;" HD",J:K,2,FALSE),"")</f>
        <v>401</v>
      </c>
      <c r="M212">
        <f>IF(NOT(ISERROR(VLOOKUP(B212&amp;" +1",B:B,1,FALSE))),VLOOKUP(B212&amp;" +1",J:K,2,FALSE),"")</f>
        <v>402</v>
      </c>
      <c r="O212" t="str">
        <f t="shared" si="29"/>
        <v xml:space="preserve">      431:
        name: Sky Cinema Premiere
        hd_channel: 401
        plus_one: 432</v>
      </c>
    </row>
    <row r="213" spans="1:15" x14ac:dyDescent="0.25">
      <c r="A213">
        <v>433</v>
      </c>
      <c r="B213" t="s">
        <v>177</v>
      </c>
      <c r="D213">
        <v>403</v>
      </c>
      <c r="E213" t="s">
        <v>302</v>
      </c>
      <c r="J213" t="str">
        <f t="shared" si="27"/>
        <v>Sky Cinema Hits</v>
      </c>
      <c r="K213">
        <f t="shared" si="28"/>
        <v>433</v>
      </c>
      <c r="L213">
        <f>IF(NOT(ISERROR(VLOOKUP(B213&amp;" HD",B:B,1,FALSE))),VLOOKUP(B213&amp;" HD",J:K,2,FALSE),"")</f>
        <v>403</v>
      </c>
      <c r="M213" t="str">
        <f>IF(NOT(ISERROR(VLOOKUP(B213&amp;" +1",B:B,1,FALSE))),VLOOKUP(B213&amp;" +1",J:K,2,FALSE),"")</f>
        <v/>
      </c>
      <c r="O213" t="str">
        <f t="shared" si="29"/>
        <v xml:space="preserve">      433:
        name: Sky Cinema Hits
        hd_channel: 403</v>
      </c>
    </row>
    <row r="214" spans="1:15" x14ac:dyDescent="0.25">
      <c r="A214">
        <v>434</v>
      </c>
      <c r="B214" t="s">
        <v>178</v>
      </c>
      <c r="D214">
        <v>404</v>
      </c>
      <c r="E214" t="s">
        <v>302</v>
      </c>
      <c r="J214" t="str">
        <f t="shared" si="27"/>
        <v>Sky Cinema Greats</v>
      </c>
      <c r="K214">
        <f t="shared" si="28"/>
        <v>434</v>
      </c>
      <c r="L214">
        <f>IF(NOT(ISERROR(VLOOKUP(B214&amp;" HD",B:B,1,FALSE))),VLOOKUP(B214&amp;" HD",J:K,2,FALSE),"")</f>
        <v>404</v>
      </c>
      <c r="M214" t="str">
        <f>IF(NOT(ISERROR(VLOOKUP(B214&amp;" +1",B:B,1,FALSE))),VLOOKUP(B214&amp;" +1",J:K,2,FALSE),"")</f>
        <v/>
      </c>
      <c r="O214" t="str">
        <f t="shared" si="29"/>
        <v xml:space="preserve">      434:
        name: Sky Cinema Greats
        hd_channel: 404</v>
      </c>
    </row>
    <row r="215" spans="1:15" x14ac:dyDescent="0.25">
      <c r="A215">
        <v>435</v>
      </c>
      <c r="B215" t="s">
        <v>179</v>
      </c>
      <c r="D215">
        <v>405</v>
      </c>
      <c r="E215" t="s">
        <v>302</v>
      </c>
      <c r="J215" t="str">
        <f t="shared" si="27"/>
        <v>Sky Cinema Disney</v>
      </c>
      <c r="K215">
        <f t="shared" si="28"/>
        <v>435</v>
      </c>
      <c r="L215">
        <f>IF(NOT(ISERROR(VLOOKUP(B215&amp;" HD",B:B,1,FALSE))),VLOOKUP(B215&amp;" HD",J:K,2,FALSE),"")</f>
        <v>405</v>
      </c>
      <c r="M215" t="str">
        <f>IF(NOT(ISERROR(VLOOKUP(B215&amp;" +1",B:B,1,FALSE))),VLOOKUP(B215&amp;" +1",J:K,2,FALSE),"")</f>
        <v/>
      </c>
      <c r="O215" t="str">
        <f t="shared" si="29"/>
        <v xml:space="preserve">      435:
        name: Sky Cinema Disney
        hd_channel: 405</v>
      </c>
    </row>
    <row r="216" spans="1:15" x14ac:dyDescent="0.25">
      <c r="A216">
        <v>436</v>
      </c>
      <c r="B216" t="s">
        <v>180</v>
      </c>
      <c r="D216">
        <v>406</v>
      </c>
      <c r="E216" t="s">
        <v>302</v>
      </c>
      <c r="J216" t="str">
        <f t="shared" si="27"/>
        <v>Sky Cinema Family</v>
      </c>
      <c r="K216">
        <f t="shared" si="28"/>
        <v>436</v>
      </c>
      <c r="L216">
        <f>IF(NOT(ISERROR(VLOOKUP(B216&amp;" HD",B:B,1,FALSE))),VLOOKUP(B216&amp;" HD",J:K,2,FALSE),"")</f>
        <v>406</v>
      </c>
      <c r="M216" t="str">
        <f>IF(NOT(ISERROR(VLOOKUP(B216&amp;" +1",B:B,1,FALSE))),VLOOKUP(B216&amp;" +1",J:K,2,FALSE),"")</f>
        <v/>
      </c>
      <c r="O216" t="str">
        <f t="shared" si="29"/>
        <v xml:space="preserve">      436:
        name: Sky Cinema Family
        hd_channel: 406</v>
      </c>
    </row>
    <row r="217" spans="1:15" x14ac:dyDescent="0.25">
      <c r="A217">
        <v>437</v>
      </c>
      <c r="B217" t="s">
        <v>586</v>
      </c>
      <c r="D217">
        <v>407</v>
      </c>
      <c r="E217" t="s">
        <v>302</v>
      </c>
      <c r="J217" t="str">
        <f t="shared" si="27"/>
        <v>Sky Cinema Action</v>
      </c>
      <c r="K217">
        <f t="shared" si="28"/>
        <v>437</v>
      </c>
      <c r="L217">
        <f>IF(NOT(ISERROR(VLOOKUP(B217&amp;" HD",B:B,1,FALSE))),VLOOKUP(B217&amp;" HD",J:K,2,FALSE),"")</f>
        <v>407</v>
      </c>
      <c r="M217" t="str">
        <f>IF(NOT(ISERROR(VLOOKUP(B217&amp;" +1",B:B,1,FALSE))),VLOOKUP(B217&amp;" +1",J:K,2,FALSE),"")</f>
        <v/>
      </c>
      <c r="O217" t="str">
        <f t="shared" si="29"/>
        <v xml:space="preserve">      437:
        name: Sky Cinema Action
        hd_channel: 407</v>
      </c>
    </row>
    <row r="218" spans="1:15" x14ac:dyDescent="0.25">
      <c r="A218">
        <v>438</v>
      </c>
      <c r="B218" t="s">
        <v>181</v>
      </c>
      <c r="D218">
        <v>408</v>
      </c>
      <c r="E218" t="s">
        <v>302</v>
      </c>
      <c r="J218" t="str">
        <f t="shared" si="27"/>
        <v>Sky Cinema Comedy</v>
      </c>
      <c r="K218">
        <f t="shared" si="28"/>
        <v>438</v>
      </c>
      <c r="L218">
        <f>IF(NOT(ISERROR(VLOOKUP(B218&amp;" HD",B:B,1,FALSE))),VLOOKUP(B218&amp;" HD",J:K,2,FALSE),"")</f>
        <v>408</v>
      </c>
      <c r="M218" t="str">
        <f>IF(NOT(ISERROR(VLOOKUP(B218&amp;" +1",B:B,1,FALSE))),VLOOKUP(B218&amp;" +1",J:K,2,FALSE),"")</f>
        <v/>
      </c>
      <c r="O218" t="str">
        <f t="shared" si="29"/>
        <v xml:space="preserve">      438:
        name: Sky Cinema Comedy
        hd_channel: 408</v>
      </c>
    </row>
    <row r="219" spans="1:15" x14ac:dyDescent="0.25">
      <c r="A219">
        <v>439</v>
      </c>
      <c r="B219" t="s">
        <v>589</v>
      </c>
      <c r="D219">
        <v>409</v>
      </c>
      <c r="E219" t="s">
        <v>302</v>
      </c>
      <c r="J219" t="str">
        <f t="shared" si="27"/>
        <v>Sky Cinema Thriller</v>
      </c>
      <c r="K219">
        <f t="shared" si="28"/>
        <v>439</v>
      </c>
      <c r="L219">
        <f>IF(NOT(ISERROR(VLOOKUP(B219&amp;" HD",B:B,1,FALSE))),VLOOKUP(B219&amp;" HD",J:K,2,FALSE),"")</f>
        <v>409</v>
      </c>
      <c r="M219" t="str">
        <f>IF(NOT(ISERROR(VLOOKUP(B219&amp;" +1",B:B,1,FALSE))),VLOOKUP(B219&amp;" +1",J:K,2,FALSE),"")</f>
        <v/>
      </c>
      <c r="O219" t="str">
        <f t="shared" si="29"/>
        <v xml:space="preserve">      439:
        name: Sky Cinema Thriller
        hd_channel: 409</v>
      </c>
    </row>
    <row r="220" spans="1:15" x14ac:dyDescent="0.25">
      <c r="A220">
        <v>440</v>
      </c>
      <c r="B220" t="s">
        <v>591</v>
      </c>
      <c r="D220">
        <v>410</v>
      </c>
      <c r="E220" t="s">
        <v>302</v>
      </c>
      <c r="J220" t="str">
        <f t="shared" si="27"/>
        <v>Sky Cinema Drama</v>
      </c>
      <c r="K220">
        <f t="shared" si="28"/>
        <v>440</v>
      </c>
      <c r="L220">
        <f>IF(NOT(ISERROR(VLOOKUP(B220&amp;" HD",B:B,1,FALSE))),VLOOKUP(B220&amp;" HD",J:K,2,FALSE),"")</f>
        <v>410</v>
      </c>
      <c r="M220" t="str">
        <f>IF(NOT(ISERROR(VLOOKUP(B220&amp;" +1",B:B,1,FALSE))),VLOOKUP(B220&amp;" +1",J:K,2,FALSE),"")</f>
        <v/>
      </c>
      <c r="O220" t="str">
        <f t="shared" si="29"/>
        <v xml:space="preserve">      440:
        name: Sky Cinema Drama
        hd_channel: 410</v>
      </c>
    </row>
    <row r="221" spans="1:15" x14ac:dyDescent="0.25">
      <c r="A221">
        <v>441</v>
      </c>
      <c r="B221" t="s">
        <v>593</v>
      </c>
      <c r="D221">
        <v>411</v>
      </c>
      <c r="E221" t="s">
        <v>302</v>
      </c>
      <c r="J221" t="str">
        <f t="shared" si="27"/>
        <v>Sky Cinema Sci-Fi &amp; Horror</v>
      </c>
      <c r="K221">
        <f t="shared" si="28"/>
        <v>441</v>
      </c>
      <c r="L221">
        <f>IF(NOT(ISERROR(VLOOKUP(B221&amp;" HD",B:B,1,FALSE))),VLOOKUP(B221&amp;" HD",J:K,2,FALSE),"")</f>
        <v>411</v>
      </c>
      <c r="M221" t="str">
        <f>IF(NOT(ISERROR(VLOOKUP(B221&amp;" +1",B:B,1,FALSE))),VLOOKUP(B221&amp;" +1",J:K,2,FALSE),"")</f>
        <v/>
      </c>
      <c r="O221" t="str">
        <f t="shared" si="29"/>
        <v xml:space="preserve">      441:
        name: Sky Cinema Sci-Fi &amp; Horror
        hd_channel: 411</v>
      </c>
    </row>
    <row r="222" spans="1:15" x14ac:dyDescent="0.25">
      <c r="A222">
        <v>442</v>
      </c>
      <c r="B222" t="s">
        <v>182</v>
      </c>
      <c r="D222">
        <v>412</v>
      </c>
      <c r="E222" t="s">
        <v>302</v>
      </c>
      <c r="J222" t="str">
        <f t="shared" si="27"/>
        <v>Sky Cinema Select</v>
      </c>
      <c r="K222">
        <f t="shared" si="28"/>
        <v>442</v>
      </c>
      <c r="L222">
        <f>IF(NOT(ISERROR(VLOOKUP(B222&amp;" HD",B:B,1,FALSE))),VLOOKUP(B222&amp;" HD",J:K,2,FALSE),"")</f>
        <v>412</v>
      </c>
      <c r="M222" t="str">
        <f>IF(NOT(ISERROR(VLOOKUP(B222&amp;" +1",B:B,1,FALSE))),VLOOKUP(B222&amp;" +1",J:K,2,FALSE),"")</f>
        <v/>
      </c>
      <c r="O222" t="str">
        <f t="shared" si="29"/>
        <v xml:space="preserve">      442:
        name: Sky Cinema Select
        hd_channel: 412</v>
      </c>
    </row>
    <row r="223" spans="1:15" x14ac:dyDescent="0.25">
      <c r="A223">
        <v>445</v>
      </c>
      <c r="B223" t="s">
        <v>183</v>
      </c>
      <c r="D223" t="s">
        <v>302</v>
      </c>
      <c r="E223" t="s">
        <v>302</v>
      </c>
      <c r="J223" t="str">
        <f t="shared" si="27"/>
        <v>Talking Pictures TV</v>
      </c>
      <c r="K223">
        <f t="shared" si="28"/>
        <v>445</v>
      </c>
      <c r="L223" t="str">
        <f>IF(NOT(ISERROR(VLOOKUP(B223&amp;" HD",B:B,1,FALSE))),VLOOKUP(B223&amp;" HD",J:K,2,FALSE),"")</f>
        <v/>
      </c>
      <c r="M223" t="str">
        <f>IF(NOT(ISERROR(VLOOKUP(B223&amp;" +1",B:B,1,FALSE))),VLOOKUP(B223&amp;" +1",J:K,2,FALSE),"")</f>
        <v/>
      </c>
      <c r="O223" t="str">
        <f t="shared" si="29"/>
        <v xml:space="preserve">      445:
        name: Talking Pictures TV</v>
      </c>
    </row>
    <row r="224" spans="1:15" x14ac:dyDescent="0.25">
      <c r="A224">
        <v>501</v>
      </c>
      <c r="B224" t="s">
        <v>184</v>
      </c>
      <c r="D224" t="s">
        <v>302</v>
      </c>
      <c r="E224" t="s">
        <v>302</v>
      </c>
      <c r="J224" t="str">
        <f t="shared" si="27"/>
        <v>Sky Sports Main Event HD</v>
      </c>
      <c r="K224">
        <f t="shared" si="28"/>
        <v>501</v>
      </c>
      <c r="L224" t="str">
        <f>IF(NOT(ISERROR(VLOOKUP(B224&amp;" HD",B:B,1,FALSE))),VLOOKUP(B224&amp;" HD",J:K,2,FALSE),"")</f>
        <v/>
      </c>
      <c r="M224" t="str">
        <f>IF(NOT(ISERROR(VLOOKUP(B224&amp;" +1",B:B,1,FALSE))),VLOOKUP(B224&amp;" +1",J:K,2,FALSE),"")</f>
        <v/>
      </c>
      <c r="O224" t="str">
        <f t="shared" si="29"/>
        <v xml:space="preserve">      501:
        name: Sky Sports Main Event HD</v>
      </c>
    </row>
    <row r="225" spans="1:15" x14ac:dyDescent="0.25">
      <c r="A225">
        <v>502</v>
      </c>
      <c r="B225" t="s">
        <v>185</v>
      </c>
      <c r="D225" t="s">
        <v>302</v>
      </c>
      <c r="E225" t="s">
        <v>302</v>
      </c>
      <c r="J225" t="str">
        <f t="shared" si="27"/>
        <v>Sky Sports Premier League HD</v>
      </c>
      <c r="K225">
        <f t="shared" si="28"/>
        <v>502</v>
      </c>
      <c r="L225" t="str">
        <f>IF(NOT(ISERROR(VLOOKUP(B225&amp;" HD",B:B,1,FALSE))),VLOOKUP(B225&amp;" HD",J:K,2,FALSE),"")</f>
        <v/>
      </c>
      <c r="M225" t="str">
        <f>IF(NOT(ISERROR(VLOOKUP(B225&amp;" +1",B:B,1,FALSE))),VLOOKUP(B225&amp;" +1",J:K,2,FALSE),"")</f>
        <v/>
      </c>
      <c r="O225" t="str">
        <f t="shared" si="29"/>
        <v xml:space="preserve">      502:
        name: Sky Sports Premier League HD</v>
      </c>
    </row>
    <row r="226" spans="1:15" x14ac:dyDescent="0.25">
      <c r="A226">
        <v>503</v>
      </c>
      <c r="B226" t="s">
        <v>186</v>
      </c>
      <c r="D226" t="s">
        <v>302</v>
      </c>
      <c r="E226" t="s">
        <v>302</v>
      </c>
      <c r="J226" t="str">
        <f t="shared" si="27"/>
        <v>Sky Sports Football HD</v>
      </c>
      <c r="K226">
        <f t="shared" si="28"/>
        <v>503</v>
      </c>
      <c r="L226" t="str">
        <f>IF(NOT(ISERROR(VLOOKUP(B226&amp;" HD",B:B,1,FALSE))),VLOOKUP(B226&amp;" HD",J:K,2,FALSE),"")</f>
        <v/>
      </c>
      <c r="M226" t="str">
        <f>IF(NOT(ISERROR(VLOOKUP(B226&amp;" +1",B:B,1,FALSE))),VLOOKUP(B226&amp;" +1",J:K,2,FALSE),"")</f>
        <v/>
      </c>
      <c r="O226" t="str">
        <f t="shared" si="29"/>
        <v xml:space="preserve">      503:
        name: Sky Sports Football HD</v>
      </c>
    </row>
    <row r="227" spans="1:15" x14ac:dyDescent="0.25">
      <c r="A227">
        <v>504</v>
      </c>
      <c r="B227" t="s">
        <v>187</v>
      </c>
      <c r="D227" t="s">
        <v>302</v>
      </c>
      <c r="E227" t="s">
        <v>302</v>
      </c>
      <c r="J227" t="str">
        <f t="shared" si="27"/>
        <v>Sky Sports Cricket HD</v>
      </c>
      <c r="K227">
        <f t="shared" si="28"/>
        <v>504</v>
      </c>
      <c r="L227" t="str">
        <f>IF(NOT(ISERROR(VLOOKUP(B227&amp;" HD",B:B,1,FALSE))),VLOOKUP(B227&amp;" HD",J:K,2,FALSE),"")</f>
        <v/>
      </c>
      <c r="M227" t="str">
        <f>IF(NOT(ISERROR(VLOOKUP(B227&amp;" +1",B:B,1,FALSE))),VLOOKUP(B227&amp;" +1",J:K,2,FALSE),"")</f>
        <v/>
      </c>
      <c r="O227" t="str">
        <f t="shared" si="29"/>
        <v xml:space="preserve">      504:
        name: Sky Sports Cricket HD</v>
      </c>
    </row>
    <row r="228" spans="1:15" x14ac:dyDescent="0.25">
      <c r="A228">
        <v>505</v>
      </c>
      <c r="B228" t="s">
        <v>188</v>
      </c>
      <c r="D228" t="s">
        <v>302</v>
      </c>
      <c r="E228" t="s">
        <v>302</v>
      </c>
      <c r="J228" t="str">
        <f t="shared" si="27"/>
        <v>Sky Sports Golf HD</v>
      </c>
      <c r="K228">
        <f t="shared" si="28"/>
        <v>505</v>
      </c>
      <c r="L228" t="str">
        <f>IF(NOT(ISERROR(VLOOKUP(B228&amp;" HD",B:B,1,FALSE))),VLOOKUP(B228&amp;" HD",J:K,2,FALSE),"")</f>
        <v/>
      </c>
      <c r="M228" t="str">
        <f>IF(NOT(ISERROR(VLOOKUP(B228&amp;" +1",B:B,1,FALSE))),VLOOKUP(B228&amp;" +1",J:K,2,FALSE),"")</f>
        <v/>
      </c>
      <c r="O228" t="str">
        <f t="shared" si="29"/>
        <v xml:space="preserve">      505:
        name: Sky Sports Golf HD</v>
      </c>
    </row>
    <row r="229" spans="1:15" x14ac:dyDescent="0.25">
      <c r="A229">
        <v>506</v>
      </c>
      <c r="B229" t="s">
        <v>189</v>
      </c>
      <c r="D229" t="s">
        <v>302</v>
      </c>
      <c r="E229" t="s">
        <v>302</v>
      </c>
      <c r="J229" t="str">
        <f t="shared" si="27"/>
        <v>Sky Sports F1 HD</v>
      </c>
      <c r="K229">
        <f t="shared" si="28"/>
        <v>506</v>
      </c>
      <c r="L229" t="str">
        <f>IF(NOT(ISERROR(VLOOKUP(B229&amp;" HD",B:B,1,FALSE))),VLOOKUP(B229&amp;" HD",J:K,2,FALSE),"")</f>
        <v/>
      </c>
      <c r="M229" t="str">
        <f>IF(NOT(ISERROR(VLOOKUP(B229&amp;" +1",B:B,1,FALSE))),VLOOKUP(B229&amp;" +1",J:K,2,FALSE),"")</f>
        <v/>
      </c>
      <c r="O229" t="str">
        <f t="shared" si="29"/>
        <v xml:space="preserve">      506:
        name: Sky Sports F1 HD</v>
      </c>
    </row>
    <row r="230" spans="1:15" x14ac:dyDescent="0.25">
      <c r="A230">
        <v>507</v>
      </c>
      <c r="B230" t="s">
        <v>190</v>
      </c>
      <c r="D230" t="s">
        <v>302</v>
      </c>
      <c r="E230" t="s">
        <v>302</v>
      </c>
      <c r="J230" t="str">
        <f t="shared" si="27"/>
        <v>Sky Sports Action HD</v>
      </c>
      <c r="K230">
        <f t="shared" si="28"/>
        <v>507</v>
      </c>
      <c r="L230" t="str">
        <f>IF(NOT(ISERROR(VLOOKUP(B230&amp;" HD",B:B,1,FALSE))),VLOOKUP(B230&amp;" HD",J:K,2,FALSE),"")</f>
        <v/>
      </c>
      <c r="M230" t="str">
        <f>IF(NOT(ISERROR(VLOOKUP(B230&amp;" +1",B:B,1,FALSE))),VLOOKUP(B230&amp;" +1",J:K,2,FALSE),"")</f>
        <v/>
      </c>
      <c r="O230" t="str">
        <f t="shared" si="29"/>
        <v xml:space="preserve">      507:
        name: Sky Sports Action HD</v>
      </c>
    </row>
    <row r="231" spans="1:15" x14ac:dyDescent="0.25">
      <c r="A231">
        <v>508</v>
      </c>
      <c r="B231" t="s">
        <v>191</v>
      </c>
      <c r="D231" t="s">
        <v>302</v>
      </c>
      <c r="E231" t="s">
        <v>302</v>
      </c>
      <c r="J231" t="str">
        <f t="shared" si="27"/>
        <v>Sky Sports Arena HD</v>
      </c>
      <c r="K231">
        <f t="shared" si="28"/>
        <v>508</v>
      </c>
      <c r="L231" t="str">
        <f>IF(NOT(ISERROR(VLOOKUP(B231&amp;" HD",B:B,1,FALSE))),VLOOKUP(B231&amp;" HD",J:K,2,FALSE),"")</f>
        <v/>
      </c>
      <c r="M231" t="str">
        <f>IF(NOT(ISERROR(VLOOKUP(B231&amp;" +1",B:B,1,FALSE))),VLOOKUP(B231&amp;" +1",J:K,2,FALSE),"")</f>
        <v/>
      </c>
      <c r="O231" t="str">
        <f t="shared" si="29"/>
        <v xml:space="preserve">      508:
        name: Sky Sports Arena HD</v>
      </c>
    </row>
    <row r="232" spans="1:15" x14ac:dyDescent="0.25">
      <c r="A232">
        <v>509</v>
      </c>
      <c r="B232" t="s">
        <v>192</v>
      </c>
      <c r="D232" t="s">
        <v>302</v>
      </c>
      <c r="E232" t="s">
        <v>302</v>
      </c>
      <c r="J232" t="str">
        <f t="shared" si="27"/>
        <v>Sky Sports News HD</v>
      </c>
      <c r="K232">
        <f t="shared" si="28"/>
        <v>509</v>
      </c>
      <c r="L232" t="str">
        <f>IF(NOT(ISERROR(VLOOKUP(B232&amp;" HD",B:B,1,FALSE))),VLOOKUP(B232&amp;" HD",J:K,2,FALSE),"")</f>
        <v/>
      </c>
      <c r="M232" t="str">
        <f>IF(NOT(ISERROR(VLOOKUP(B232&amp;" +1",B:B,1,FALSE))),VLOOKUP(B232&amp;" +1",J:K,2,FALSE),"")</f>
        <v/>
      </c>
      <c r="O232" t="str">
        <f t="shared" si="29"/>
        <v xml:space="preserve">      509:
        name: Sky Sports News HD</v>
      </c>
    </row>
    <row r="233" spans="1:15" x14ac:dyDescent="0.25">
      <c r="A233">
        <v>510</v>
      </c>
      <c r="B233" t="s">
        <v>193</v>
      </c>
      <c r="D233" t="s">
        <v>302</v>
      </c>
      <c r="E233" t="s">
        <v>302</v>
      </c>
      <c r="J233" t="str">
        <f t="shared" si="27"/>
        <v>Sky Sports Mix HD</v>
      </c>
      <c r="K233">
        <f t="shared" si="28"/>
        <v>510</v>
      </c>
      <c r="L233" t="str">
        <f>IF(NOT(ISERROR(VLOOKUP(B233&amp;" HD",B:B,1,FALSE))),VLOOKUP(B233&amp;" HD",J:K,2,FALSE),"")</f>
        <v/>
      </c>
      <c r="M233" t="str">
        <f>IF(NOT(ISERROR(VLOOKUP(B233&amp;" +1",B:B,1,FALSE))),VLOOKUP(B233&amp;" +1",J:K,2,FALSE),"")</f>
        <v/>
      </c>
      <c r="O233" t="str">
        <f t="shared" si="29"/>
        <v xml:space="preserve">      510:
        name: Sky Sports Mix HD</v>
      </c>
    </row>
    <row r="234" spans="1:15" x14ac:dyDescent="0.25">
      <c r="A234">
        <v>511</v>
      </c>
      <c r="B234" t="s">
        <v>194</v>
      </c>
      <c r="D234">
        <v>501</v>
      </c>
      <c r="E234" t="s">
        <v>302</v>
      </c>
      <c r="J234" t="str">
        <f t="shared" si="27"/>
        <v>Sky Sports Main Event</v>
      </c>
      <c r="K234">
        <f t="shared" si="28"/>
        <v>511</v>
      </c>
      <c r="L234">
        <f>IF(NOT(ISERROR(VLOOKUP(B234&amp;" HD",B:B,1,FALSE))),VLOOKUP(B234&amp;" HD",J:K,2,FALSE),"")</f>
        <v>501</v>
      </c>
      <c r="M234" t="str">
        <f>IF(NOT(ISERROR(VLOOKUP(B234&amp;" +1",B:B,1,FALSE))),VLOOKUP(B234&amp;" +1",J:K,2,FALSE),"")</f>
        <v/>
      </c>
      <c r="O234" t="str">
        <f t="shared" si="29"/>
        <v xml:space="preserve">      511:
        name: Sky Sports Main Event
        hd_channel: 501</v>
      </c>
    </row>
    <row r="235" spans="1:15" x14ac:dyDescent="0.25">
      <c r="A235">
        <v>512</v>
      </c>
      <c r="B235" t="s">
        <v>195</v>
      </c>
      <c r="D235">
        <v>502</v>
      </c>
      <c r="E235" t="s">
        <v>302</v>
      </c>
      <c r="J235" t="str">
        <f t="shared" si="27"/>
        <v>Sky Sports Premier League</v>
      </c>
      <c r="K235">
        <f t="shared" si="28"/>
        <v>512</v>
      </c>
      <c r="L235">
        <f>IF(NOT(ISERROR(VLOOKUP(B235&amp;" HD",B:B,1,FALSE))),VLOOKUP(B235&amp;" HD",J:K,2,FALSE),"")</f>
        <v>502</v>
      </c>
      <c r="M235" t="str">
        <f>IF(NOT(ISERROR(VLOOKUP(B235&amp;" +1",B:B,1,FALSE))),VLOOKUP(B235&amp;" +1",J:K,2,FALSE),"")</f>
        <v/>
      </c>
      <c r="O235" t="str">
        <f t="shared" si="29"/>
        <v xml:space="preserve">      512:
        name: Sky Sports Premier League
        hd_channel: 502</v>
      </c>
    </row>
    <row r="236" spans="1:15" x14ac:dyDescent="0.25">
      <c r="A236">
        <v>513</v>
      </c>
      <c r="B236" t="s">
        <v>196</v>
      </c>
      <c r="D236">
        <v>503</v>
      </c>
      <c r="E236" t="s">
        <v>302</v>
      </c>
      <c r="J236" t="str">
        <f t="shared" si="27"/>
        <v>Sky Sports Football</v>
      </c>
      <c r="K236">
        <f t="shared" si="28"/>
        <v>513</v>
      </c>
      <c r="L236">
        <f>IF(NOT(ISERROR(VLOOKUP(B236&amp;" HD",B:B,1,FALSE))),VLOOKUP(B236&amp;" HD",J:K,2,FALSE),"")</f>
        <v>503</v>
      </c>
      <c r="M236" t="str">
        <f>IF(NOT(ISERROR(VLOOKUP(B236&amp;" +1",B:B,1,FALSE))),VLOOKUP(B236&amp;" +1",J:K,2,FALSE),"")</f>
        <v/>
      </c>
      <c r="O236" t="str">
        <f t="shared" si="29"/>
        <v xml:space="preserve">      513:
        name: Sky Sports Football
        hd_channel: 503</v>
      </c>
    </row>
    <row r="237" spans="1:15" x14ac:dyDescent="0.25">
      <c r="A237">
        <v>514</v>
      </c>
      <c r="B237" t="s">
        <v>197</v>
      </c>
      <c r="D237">
        <v>504</v>
      </c>
      <c r="E237" t="s">
        <v>302</v>
      </c>
      <c r="J237" t="str">
        <f t="shared" si="27"/>
        <v>Sky Sports Cricket</v>
      </c>
      <c r="K237">
        <f t="shared" si="28"/>
        <v>514</v>
      </c>
      <c r="L237">
        <f>IF(NOT(ISERROR(VLOOKUP(B237&amp;" HD",B:B,1,FALSE))),VLOOKUP(B237&amp;" HD",J:K,2,FALSE),"")</f>
        <v>504</v>
      </c>
      <c r="M237" t="str">
        <f>IF(NOT(ISERROR(VLOOKUP(B237&amp;" +1",B:B,1,FALSE))),VLOOKUP(B237&amp;" +1",J:K,2,FALSE),"")</f>
        <v/>
      </c>
      <c r="O237" t="str">
        <f t="shared" si="29"/>
        <v xml:space="preserve">      514:
        name: Sky Sports Cricket
        hd_channel: 504</v>
      </c>
    </row>
    <row r="238" spans="1:15" x14ac:dyDescent="0.25">
      <c r="A238">
        <v>515</v>
      </c>
      <c r="B238" t="s">
        <v>198</v>
      </c>
      <c r="D238">
        <v>505</v>
      </c>
      <c r="E238" t="s">
        <v>302</v>
      </c>
      <c r="J238" t="str">
        <f t="shared" si="27"/>
        <v>Sky Sports Golf</v>
      </c>
      <c r="K238">
        <f t="shared" si="28"/>
        <v>515</v>
      </c>
      <c r="L238">
        <f>IF(NOT(ISERROR(VLOOKUP(B238&amp;" HD",B:B,1,FALSE))),VLOOKUP(B238&amp;" HD",J:K,2,FALSE),"")</f>
        <v>505</v>
      </c>
      <c r="M238" t="str">
        <f>IF(NOT(ISERROR(VLOOKUP(B238&amp;" +1",B:B,1,FALSE))),VLOOKUP(B238&amp;" +1",J:K,2,FALSE),"")</f>
        <v/>
      </c>
      <c r="O238" t="str">
        <f t="shared" si="29"/>
        <v xml:space="preserve">      515:
        name: Sky Sports Golf
        hd_channel: 505</v>
      </c>
    </row>
    <row r="239" spans="1:15" x14ac:dyDescent="0.25">
      <c r="A239">
        <v>516</v>
      </c>
      <c r="B239" t="s">
        <v>199</v>
      </c>
      <c r="D239">
        <v>506</v>
      </c>
      <c r="E239" t="s">
        <v>302</v>
      </c>
      <c r="J239" t="str">
        <f t="shared" si="27"/>
        <v>Sky Sports F1</v>
      </c>
      <c r="K239">
        <f t="shared" si="28"/>
        <v>516</v>
      </c>
      <c r="L239">
        <f>IF(NOT(ISERROR(VLOOKUP(B239&amp;" HD",B:B,1,FALSE))),VLOOKUP(B239&amp;" HD",J:K,2,FALSE),"")</f>
        <v>506</v>
      </c>
      <c r="M239" t="str">
        <f>IF(NOT(ISERROR(VLOOKUP(B239&amp;" +1",B:B,1,FALSE))),VLOOKUP(B239&amp;" +1",J:K,2,FALSE),"")</f>
        <v/>
      </c>
      <c r="O239" t="str">
        <f t="shared" si="29"/>
        <v xml:space="preserve">      516:
        name: Sky Sports F1
        hd_channel: 506</v>
      </c>
    </row>
    <row r="240" spans="1:15" x14ac:dyDescent="0.25">
      <c r="A240">
        <v>517</v>
      </c>
      <c r="B240" t="s">
        <v>200</v>
      </c>
      <c r="D240">
        <v>507</v>
      </c>
      <c r="E240" t="s">
        <v>302</v>
      </c>
      <c r="J240" t="str">
        <f t="shared" si="27"/>
        <v>Sky Sports Action</v>
      </c>
      <c r="K240">
        <f t="shared" si="28"/>
        <v>517</v>
      </c>
      <c r="L240">
        <f>IF(NOT(ISERROR(VLOOKUP(B240&amp;" HD",B:B,1,FALSE))),VLOOKUP(B240&amp;" HD",J:K,2,FALSE),"")</f>
        <v>507</v>
      </c>
      <c r="M240" t="str">
        <f>IF(NOT(ISERROR(VLOOKUP(B240&amp;" +1",B:B,1,FALSE))),VLOOKUP(B240&amp;" +1",J:K,2,FALSE),"")</f>
        <v/>
      </c>
      <c r="O240" t="str">
        <f t="shared" si="29"/>
        <v xml:space="preserve">      517:
        name: Sky Sports Action
        hd_channel: 507</v>
      </c>
    </row>
    <row r="241" spans="1:15" x14ac:dyDescent="0.25">
      <c r="A241">
        <v>518</v>
      </c>
      <c r="B241" t="s">
        <v>201</v>
      </c>
      <c r="D241">
        <v>508</v>
      </c>
      <c r="E241" t="s">
        <v>302</v>
      </c>
      <c r="J241" t="str">
        <f t="shared" si="27"/>
        <v>Sky Sports Arena</v>
      </c>
      <c r="K241">
        <f t="shared" si="28"/>
        <v>518</v>
      </c>
      <c r="L241">
        <f>IF(NOT(ISERROR(VLOOKUP(B241&amp;" HD",B:B,1,FALSE))),VLOOKUP(B241&amp;" HD",J:K,2,FALSE),"")</f>
        <v>508</v>
      </c>
      <c r="M241" t="str">
        <f>IF(NOT(ISERROR(VLOOKUP(B241&amp;" +1",B:B,1,FALSE))),VLOOKUP(B241&amp;" +1",J:K,2,FALSE),"")</f>
        <v/>
      </c>
      <c r="O241" t="str">
        <f t="shared" si="29"/>
        <v xml:space="preserve">      518:
        name: Sky Sports Arena
        hd_channel: 508</v>
      </c>
    </row>
    <row r="242" spans="1:15" x14ac:dyDescent="0.25">
      <c r="A242">
        <v>519</v>
      </c>
      <c r="B242" t="s">
        <v>202</v>
      </c>
      <c r="D242">
        <v>509</v>
      </c>
      <c r="E242" t="s">
        <v>302</v>
      </c>
      <c r="J242" t="str">
        <f t="shared" si="27"/>
        <v>Sky Sports News</v>
      </c>
      <c r="K242">
        <f t="shared" si="28"/>
        <v>519</v>
      </c>
      <c r="L242">
        <f>IF(NOT(ISERROR(VLOOKUP(B242&amp;" HD",B:B,1,FALSE))),VLOOKUP(B242&amp;" HD",J:K,2,FALSE),"")</f>
        <v>509</v>
      </c>
      <c r="M242" t="str">
        <f>IF(NOT(ISERROR(VLOOKUP(B242&amp;" +1",B:B,1,FALSE))),VLOOKUP(B242&amp;" +1",J:K,2,FALSE),"")</f>
        <v/>
      </c>
      <c r="O242" t="str">
        <f t="shared" si="29"/>
        <v xml:space="preserve">      519:
        name: Sky Sports News
        hd_channel: 509</v>
      </c>
    </row>
    <row r="243" spans="1:15" x14ac:dyDescent="0.25">
      <c r="A243">
        <v>520</v>
      </c>
      <c r="B243" t="s">
        <v>203</v>
      </c>
      <c r="D243">
        <v>510</v>
      </c>
      <c r="E243" t="s">
        <v>302</v>
      </c>
      <c r="J243" t="str">
        <f t="shared" si="27"/>
        <v>Sky Sports Mix</v>
      </c>
      <c r="K243">
        <f t="shared" si="28"/>
        <v>520</v>
      </c>
      <c r="L243">
        <f>IF(NOT(ISERROR(VLOOKUP(B243&amp;" HD",B:B,1,FALSE))),VLOOKUP(B243&amp;" HD",J:K,2,FALSE),"")</f>
        <v>510</v>
      </c>
      <c r="M243" t="str">
        <f>IF(NOT(ISERROR(VLOOKUP(B243&amp;" +1",B:B,1,FALSE))),VLOOKUP(B243&amp;" +1",J:K,2,FALSE),"")</f>
        <v/>
      </c>
      <c r="O243" t="str">
        <f t="shared" si="29"/>
        <v xml:space="preserve">      520:
        name: Sky Sports Mix
        hd_channel: 510</v>
      </c>
    </row>
    <row r="244" spans="1:15" x14ac:dyDescent="0.25">
      <c r="A244">
        <v>521</v>
      </c>
      <c r="B244" t="s">
        <v>204</v>
      </c>
      <c r="D244" t="s">
        <v>302</v>
      </c>
      <c r="E244" t="s">
        <v>302</v>
      </c>
      <c r="J244" t="str">
        <f t="shared" si="27"/>
        <v>Eurosport 1 HD</v>
      </c>
      <c r="K244">
        <f t="shared" si="28"/>
        <v>521</v>
      </c>
      <c r="L244" t="str">
        <f>IF(NOT(ISERROR(VLOOKUP(B244&amp;" HD",B:B,1,FALSE))),VLOOKUP(B244&amp;" HD",J:K,2,FALSE),"")</f>
        <v/>
      </c>
      <c r="M244" t="str">
        <f>IF(NOT(ISERROR(VLOOKUP(B244&amp;" +1",B:B,1,FALSE))),VLOOKUP(B244&amp;" +1",J:K,2,FALSE),"")</f>
        <v/>
      </c>
      <c r="O244" t="str">
        <f t="shared" si="29"/>
        <v xml:space="preserve">      521:
        name: Eurosport 1 HD</v>
      </c>
    </row>
    <row r="245" spans="1:15" x14ac:dyDescent="0.25">
      <c r="A245">
        <v>522</v>
      </c>
      <c r="B245" t="s">
        <v>205</v>
      </c>
      <c r="D245" t="s">
        <v>302</v>
      </c>
      <c r="E245" t="s">
        <v>302</v>
      </c>
      <c r="J245" t="str">
        <f t="shared" si="27"/>
        <v>Eurosport 2 HD</v>
      </c>
      <c r="K245">
        <f t="shared" si="28"/>
        <v>522</v>
      </c>
      <c r="L245" t="str">
        <f>IF(NOT(ISERROR(VLOOKUP(B245&amp;" HD",B:B,1,FALSE))),VLOOKUP(B245&amp;" HD",J:K,2,FALSE),"")</f>
        <v/>
      </c>
      <c r="M245" t="str">
        <f>IF(NOT(ISERROR(VLOOKUP(B245&amp;" +1",B:B,1,FALSE))),VLOOKUP(B245&amp;" +1",J:K,2,FALSE),"")</f>
        <v/>
      </c>
      <c r="O245" t="str">
        <f t="shared" si="29"/>
        <v xml:space="preserve">      522:
        name: Eurosport 2 HD</v>
      </c>
    </row>
    <row r="246" spans="1:15" x14ac:dyDescent="0.25">
      <c r="A246">
        <v>523</v>
      </c>
      <c r="B246" t="s">
        <v>206</v>
      </c>
      <c r="D246">
        <v>521</v>
      </c>
      <c r="E246" t="s">
        <v>302</v>
      </c>
      <c r="J246" t="str">
        <f t="shared" si="27"/>
        <v>Eurosport 1</v>
      </c>
      <c r="K246">
        <f t="shared" si="28"/>
        <v>523</v>
      </c>
      <c r="L246">
        <f>IF(NOT(ISERROR(VLOOKUP(B246&amp;" HD",B:B,1,FALSE))),VLOOKUP(B246&amp;" HD",J:K,2,FALSE),"")</f>
        <v>521</v>
      </c>
      <c r="M246" t="str">
        <f>IF(NOT(ISERROR(VLOOKUP(B246&amp;" +1",B:B,1,FALSE))),VLOOKUP(B246&amp;" +1",J:K,2,FALSE),"")</f>
        <v/>
      </c>
      <c r="O246" t="str">
        <f t="shared" si="29"/>
        <v xml:space="preserve">      523:
        name: Eurosport 1
        hd_channel: 521</v>
      </c>
    </row>
    <row r="247" spans="1:15" x14ac:dyDescent="0.25">
      <c r="A247">
        <v>524</v>
      </c>
      <c r="B247" t="s">
        <v>207</v>
      </c>
      <c r="D247">
        <v>522</v>
      </c>
      <c r="E247" t="s">
        <v>302</v>
      </c>
      <c r="J247" t="str">
        <f t="shared" si="27"/>
        <v>Eurosport 2</v>
      </c>
      <c r="K247">
        <f t="shared" si="28"/>
        <v>524</v>
      </c>
      <c r="L247">
        <f>IF(NOT(ISERROR(VLOOKUP(B247&amp;" HD",B:B,1,FALSE))),VLOOKUP(B247&amp;" HD",J:K,2,FALSE),"")</f>
        <v>522</v>
      </c>
      <c r="M247" t="str">
        <f>IF(NOT(ISERROR(VLOOKUP(B247&amp;" +1",B:B,1,FALSE))),VLOOKUP(B247&amp;" +1",J:K,2,FALSE),"")</f>
        <v/>
      </c>
      <c r="O247" t="str">
        <f t="shared" si="29"/>
        <v xml:space="preserve">      524:
        name: Eurosport 2
        hd_channel: 522</v>
      </c>
    </row>
    <row r="248" spans="1:15" x14ac:dyDescent="0.25">
      <c r="A248">
        <v>526</v>
      </c>
      <c r="B248" t="s">
        <v>208</v>
      </c>
      <c r="D248" t="s">
        <v>302</v>
      </c>
      <c r="E248" t="s">
        <v>302</v>
      </c>
      <c r="J248" t="str">
        <f t="shared" si="27"/>
        <v>MUTV</v>
      </c>
      <c r="K248">
        <f t="shared" si="28"/>
        <v>526</v>
      </c>
      <c r="L248" t="str">
        <f>IF(NOT(ISERROR(VLOOKUP(B248&amp;" HD",B:B,1,FALSE))),VLOOKUP(B248&amp;" HD",J:K,2,FALSE),"")</f>
        <v/>
      </c>
      <c r="M248" t="str">
        <f>IF(NOT(ISERROR(VLOOKUP(B248&amp;" +1",B:B,1,FALSE))),VLOOKUP(B248&amp;" +1",J:K,2,FALSE),"")</f>
        <v/>
      </c>
      <c r="O248" t="str">
        <f t="shared" si="29"/>
        <v xml:space="preserve">      526:
        name: MUTV</v>
      </c>
    </row>
    <row r="249" spans="1:15" x14ac:dyDescent="0.25">
      <c r="A249">
        <v>527</v>
      </c>
      <c r="B249" t="s">
        <v>209</v>
      </c>
      <c r="D249" t="s">
        <v>302</v>
      </c>
      <c r="E249" t="s">
        <v>302</v>
      </c>
      <c r="J249" t="str">
        <f t="shared" si="27"/>
        <v>BT Sport 1 HD</v>
      </c>
      <c r="K249">
        <f t="shared" si="28"/>
        <v>527</v>
      </c>
      <c r="L249" t="str">
        <f>IF(NOT(ISERROR(VLOOKUP(B249&amp;" HD",B:B,1,FALSE))),VLOOKUP(B249&amp;" HD",J:K,2,FALSE),"")</f>
        <v/>
      </c>
      <c r="M249" t="str">
        <f>IF(NOT(ISERROR(VLOOKUP(B249&amp;" +1",B:B,1,FALSE))),VLOOKUP(B249&amp;" +1",J:K,2,FALSE),"")</f>
        <v/>
      </c>
      <c r="O249" t="str">
        <f t="shared" si="29"/>
        <v xml:space="preserve">      527:
        name: BT Sport 1 HD</v>
      </c>
    </row>
    <row r="250" spans="1:15" x14ac:dyDescent="0.25">
      <c r="A250">
        <v>528</v>
      </c>
      <c r="B250" t="s">
        <v>210</v>
      </c>
      <c r="D250" t="s">
        <v>302</v>
      </c>
      <c r="E250" t="s">
        <v>302</v>
      </c>
      <c r="J250" t="str">
        <f t="shared" si="27"/>
        <v>BT Sport 2 HD</v>
      </c>
      <c r="K250">
        <f t="shared" si="28"/>
        <v>528</v>
      </c>
      <c r="L250" t="str">
        <f>IF(NOT(ISERROR(VLOOKUP(B250&amp;" HD",B:B,1,FALSE))),VLOOKUP(B250&amp;" HD",J:K,2,FALSE),"")</f>
        <v/>
      </c>
      <c r="M250" t="str">
        <f>IF(NOT(ISERROR(VLOOKUP(B250&amp;" +1",B:B,1,FALSE))),VLOOKUP(B250&amp;" +1",J:K,2,FALSE),"")</f>
        <v/>
      </c>
      <c r="O250" t="str">
        <f t="shared" si="29"/>
        <v xml:space="preserve">      528:
        name: BT Sport 2 HD</v>
      </c>
    </row>
    <row r="251" spans="1:15" x14ac:dyDescent="0.25">
      <c r="A251">
        <v>529</v>
      </c>
      <c r="B251" t="s">
        <v>211</v>
      </c>
      <c r="D251" t="s">
        <v>302</v>
      </c>
      <c r="E251" t="s">
        <v>302</v>
      </c>
      <c r="J251" t="str">
        <f t="shared" si="27"/>
        <v>BT Sport 3 HD</v>
      </c>
      <c r="K251">
        <f t="shared" si="28"/>
        <v>529</v>
      </c>
      <c r="L251" t="str">
        <f>IF(NOT(ISERROR(VLOOKUP(B251&amp;" HD",B:B,1,FALSE))),VLOOKUP(B251&amp;" HD",J:K,2,FALSE),"")</f>
        <v/>
      </c>
      <c r="M251" t="str">
        <f>IF(NOT(ISERROR(VLOOKUP(B251&amp;" +1",B:B,1,FALSE))),VLOOKUP(B251&amp;" +1",J:K,2,FALSE),"")</f>
        <v/>
      </c>
      <c r="O251" t="str">
        <f t="shared" si="29"/>
        <v xml:space="preserve">      529:
        name: BT Sport 3 HD</v>
      </c>
    </row>
    <row r="252" spans="1:15" x14ac:dyDescent="0.25">
      <c r="A252">
        <v>530</v>
      </c>
      <c r="B252" t="s">
        <v>212</v>
      </c>
      <c r="D252" t="s">
        <v>302</v>
      </c>
      <c r="E252" t="s">
        <v>302</v>
      </c>
      <c r="J252" t="str">
        <f t="shared" si="27"/>
        <v>BT Sport ESPN HD</v>
      </c>
      <c r="K252">
        <f t="shared" si="28"/>
        <v>530</v>
      </c>
      <c r="L252" t="str">
        <f>IF(NOT(ISERROR(VLOOKUP(B252&amp;" HD",B:B,1,FALSE))),VLOOKUP(B252&amp;" HD",J:K,2,FALSE),"")</f>
        <v/>
      </c>
      <c r="M252" t="str">
        <f>IF(NOT(ISERROR(VLOOKUP(B252&amp;" +1",B:B,1,FALSE))),VLOOKUP(B252&amp;" +1",J:K,2,FALSE),"")</f>
        <v/>
      </c>
      <c r="O252" t="str">
        <f t="shared" si="29"/>
        <v xml:space="preserve">      530:
        name: BT Sport ESPN HD</v>
      </c>
    </row>
    <row r="253" spans="1:15" x14ac:dyDescent="0.25">
      <c r="A253">
        <v>531</v>
      </c>
      <c r="B253" t="s">
        <v>213</v>
      </c>
      <c r="D253">
        <v>527</v>
      </c>
      <c r="E253" t="s">
        <v>302</v>
      </c>
      <c r="J253" t="str">
        <f t="shared" si="27"/>
        <v>BT Sport 1</v>
      </c>
      <c r="K253">
        <f t="shared" si="28"/>
        <v>531</v>
      </c>
      <c r="L253">
        <f>IF(NOT(ISERROR(VLOOKUP(B253&amp;" HD",B:B,1,FALSE))),VLOOKUP(B253&amp;" HD",J:K,2,FALSE),"")</f>
        <v>527</v>
      </c>
      <c r="M253" t="str">
        <f>IF(NOT(ISERROR(VLOOKUP(B253&amp;" +1",B:B,1,FALSE))),VLOOKUP(B253&amp;" +1",J:K,2,FALSE),"")</f>
        <v/>
      </c>
      <c r="O253" t="str">
        <f t="shared" si="29"/>
        <v xml:space="preserve">      531:
        name: BT Sport 1
        hd_channel: 527</v>
      </c>
    </row>
    <row r="254" spans="1:15" x14ac:dyDescent="0.25">
      <c r="A254">
        <v>532</v>
      </c>
      <c r="B254" t="s">
        <v>214</v>
      </c>
      <c r="D254">
        <v>528</v>
      </c>
      <c r="E254" t="s">
        <v>302</v>
      </c>
      <c r="J254" t="str">
        <f t="shared" si="27"/>
        <v>BT Sport 2</v>
      </c>
      <c r="K254">
        <f t="shared" si="28"/>
        <v>532</v>
      </c>
      <c r="L254">
        <f>IF(NOT(ISERROR(VLOOKUP(B254&amp;" HD",B:B,1,FALSE))),VLOOKUP(B254&amp;" HD",J:K,2,FALSE),"")</f>
        <v>528</v>
      </c>
      <c r="M254" t="str">
        <f>IF(NOT(ISERROR(VLOOKUP(B254&amp;" +1",B:B,1,FALSE))),VLOOKUP(B254&amp;" +1",J:K,2,FALSE),"")</f>
        <v/>
      </c>
      <c r="O254" t="str">
        <f t="shared" si="29"/>
        <v xml:space="preserve">      532:
        name: BT Sport 2
        hd_channel: 528</v>
      </c>
    </row>
    <row r="255" spans="1:15" x14ac:dyDescent="0.25">
      <c r="A255">
        <v>533</v>
      </c>
      <c r="B255" t="s">
        <v>215</v>
      </c>
      <c r="D255">
        <v>529</v>
      </c>
      <c r="E255" t="s">
        <v>302</v>
      </c>
      <c r="J255" t="str">
        <f t="shared" si="27"/>
        <v>BT Sport 3</v>
      </c>
      <c r="K255">
        <f t="shared" si="28"/>
        <v>533</v>
      </c>
      <c r="L255">
        <f>IF(NOT(ISERROR(VLOOKUP(B255&amp;" HD",B:B,1,FALSE))),VLOOKUP(B255&amp;" HD",J:K,2,FALSE),"")</f>
        <v>529</v>
      </c>
      <c r="M255" t="str">
        <f>IF(NOT(ISERROR(VLOOKUP(B255&amp;" +1",B:B,1,FALSE))),VLOOKUP(B255&amp;" +1",J:K,2,FALSE),"")</f>
        <v/>
      </c>
      <c r="O255" t="str">
        <f t="shared" si="29"/>
        <v xml:space="preserve">      533:
        name: BT Sport 3
        hd_channel: 529</v>
      </c>
    </row>
    <row r="256" spans="1:15" x14ac:dyDescent="0.25">
      <c r="A256">
        <v>534</v>
      </c>
      <c r="B256" t="s">
        <v>216</v>
      </c>
      <c r="D256">
        <v>530</v>
      </c>
      <c r="E256" t="s">
        <v>302</v>
      </c>
      <c r="J256" t="str">
        <f t="shared" si="27"/>
        <v>BT Sport ESPN</v>
      </c>
      <c r="K256">
        <f t="shared" si="28"/>
        <v>534</v>
      </c>
      <c r="L256">
        <f>IF(NOT(ISERROR(VLOOKUP(B256&amp;" HD",B:B,1,FALSE))),VLOOKUP(B256&amp;" HD",J:K,2,FALSE),"")</f>
        <v>530</v>
      </c>
      <c r="M256" t="str">
        <f>IF(NOT(ISERROR(VLOOKUP(B256&amp;" +1",B:B,1,FALSE))),VLOOKUP(B256&amp;" +1",J:K,2,FALSE),"")</f>
        <v/>
      </c>
      <c r="O256" t="str">
        <f t="shared" si="29"/>
        <v xml:space="preserve">      534:
        name: BT Sport ESPN
        hd_channel: 530</v>
      </c>
    </row>
    <row r="257" spans="1:15" x14ac:dyDescent="0.25">
      <c r="A257">
        <v>535</v>
      </c>
      <c r="B257" t="s">
        <v>217</v>
      </c>
      <c r="D257" t="s">
        <v>302</v>
      </c>
      <c r="E257" t="s">
        <v>302</v>
      </c>
      <c r="J257" t="str">
        <f t="shared" si="27"/>
        <v>At The Races</v>
      </c>
      <c r="K257">
        <f t="shared" si="28"/>
        <v>535</v>
      </c>
      <c r="L257" t="str">
        <f>IF(NOT(ISERROR(VLOOKUP(B257&amp;" HD",B:B,1,FALSE))),VLOOKUP(B257&amp;" HD",J:K,2,FALSE),"")</f>
        <v/>
      </c>
      <c r="M257" t="str">
        <f>IF(NOT(ISERROR(VLOOKUP(B257&amp;" +1",B:B,1,FALSE))),VLOOKUP(B257&amp;" +1",J:K,2,FALSE),"")</f>
        <v/>
      </c>
      <c r="O257" t="str">
        <f t="shared" si="29"/>
        <v xml:space="preserve">      535:
        name: At The Races</v>
      </c>
    </row>
    <row r="258" spans="1:15" x14ac:dyDescent="0.25">
      <c r="A258">
        <v>536</v>
      </c>
      <c r="B258" t="s">
        <v>631</v>
      </c>
      <c r="D258" t="s">
        <v>302</v>
      </c>
      <c r="E258" t="s">
        <v>302</v>
      </c>
      <c r="J258" t="str">
        <f t="shared" si="27"/>
        <v>Racing UK HD</v>
      </c>
      <c r="K258">
        <f t="shared" si="28"/>
        <v>536</v>
      </c>
      <c r="L258" t="str">
        <f>IF(NOT(ISERROR(VLOOKUP(B258&amp;" HD",B:B,1,FALSE))),VLOOKUP(B258&amp;" HD",J:K,2,FALSE),"")</f>
        <v/>
      </c>
      <c r="M258" t="str">
        <f>IF(NOT(ISERROR(VLOOKUP(B258&amp;" +1",B:B,1,FALSE))),VLOOKUP(B258&amp;" +1",J:K,2,FALSE),"")</f>
        <v/>
      </c>
      <c r="O258" t="str">
        <f t="shared" si="29"/>
        <v xml:space="preserve">      536:
        name: Racing UK HD</v>
      </c>
    </row>
    <row r="259" spans="1:15" x14ac:dyDescent="0.25">
      <c r="A259">
        <v>544</v>
      </c>
      <c r="B259" t="s">
        <v>218</v>
      </c>
      <c r="D259" t="s">
        <v>302</v>
      </c>
      <c r="E259" t="s">
        <v>302</v>
      </c>
      <c r="J259" t="str">
        <f t="shared" si="27"/>
        <v>Liverpool FC TV</v>
      </c>
      <c r="K259">
        <f t="shared" si="28"/>
        <v>544</v>
      </c>
      <c r="L259" t="str">
        <f>IF(NOT(ISERROR(VLOOKUP(B259&amp;" HD",B:B,1,FALSE))),VLOOKUP(B259&amp;" HD",J:K,2,FALSE),"")</f>
        <v/>
      </c>
      <c r="M259" t="str">
        <f>IF(NOT(ISERROR(VLOOKUP(B259&amp;" +1",B:B,1,FALSE))),VLOOKUP(B259&amp;" +1",J:K,2,FALSE),"")</f>
        <v/>
      </c>
      <c r="O259" t="str">
        <f t="shared" si="29"/>
        <v xml:space="preserve">      544:
        name: Liverpool FC TV</v>
      </c>
    </row>
    <row r="260" spans="1:15" x14ac:dyDescent="0.25">
      <c r="A260">
        <v>546</v>
      </c>
      <c r="B260" t="s">
        <v>634</v>
      </c>
      <c r="D260" t="s">
        <v>302</v>
      </c>
      <c r="E260" t="s">
        <v>302</v>
      </c>
      <c r="J260" t="str">
        <f t="shared" si="27"/>
        <v>BoxNation</v>
      </c>
      <c r="K260">
        <f t="shared" si="28"/>
        <v>546</v>
      </c>
      <c r="L260" t="str">
        <f>IF(NOT(ISERROR(VLOOKUP(B260&amp;" HD",B:B,1,FALSE))),VLOOKUP(B260&amp;" HD",J:K,2,FALSE),"")</f>
        <v/>
      </c>
      <c r="M260" t="str">
        <f>IF(NOT(ISERROR(VLOOKUP(B260&amp;" +1",B:B,1,FALSE))),VLOOKUP(B260&amp;" +1",J:K,2,FALSE),"")</f>
        <v/>
      </c>
      <c r="O260" t="str">
        <f t="shared" si="29"/>
        <v xml:space="preserve">      546:
        name: BoxNation</v>
      </c>
    </row>
    <row r="261" spans="1:15" x14ac:dyDescent="0.25">
      <c r="A261">
        <v>551</v>
      </c>
      <c r="B261" t="s">
        <v>636</v>
      </c>
      <c r="D261" t="s">
        <v>302</v>
      </c>
      <c r="E261" t="s">
        <v>302</v>
      </c>
      <c r="J261" t="str">
        <f t="shared" si="27"/>
        <v>Premier Sports 1 HD</v>
      </c>
      <c r="K261">
        <f t="shared" si="28"/>
        <v>551</v>
      </c>
      <c r="L261" t="str">
        <f>IF(NOT(ISERROR(VLOOKUP(B261&amp;" HD",B:B,1,FALSE))),VLOOKUP(B261&amp;" HD",J:K,2,FALSE),"")</f>
        <v/>
      </c>
      <c r="M261" t="str">
        <f>IF(NOT(ISERROR(VLOOKUP(B261&amp;" +1",B:B,1,FALSE))),VLOOKUP(B261&amp;" +1",J:K,2,FALSE),"")</f>
        <v/>
      </c>
      <c r="O261" t="str">
        <f t="shared" si="29"/>
        <v xml:space="preserve">      551:
        name: Premier Sports 1 HD</v>
      </c>
    </row>
    <row r="262" spans="1:15" x14ac:dyDescent="0.25">
      <c r="A262">
        <v>552</v>
      </c>
      <c r="B262" t="s">
        <v>638</v>
      </c>
      <c r="D262" t="s">
        <v>302</v>
      </c>
      <c r="E262" t="s">
        <v>302</v>
      </c>
      <c r="J262" t="str">
        <f t="shared" ref="J262:J264" si="30">B262</f>
        <v>Premier Sports 2</v>
      </c>
      <c r="K262">
        <f t="shared" ref="K262:K264" si="31">A262</f>
        <v>552</v>
      </c>
      <c r="L262" t="str">
        <f>IF(NOT(ISERROR(VLOOKUP(B262&amp;" HD",B:B,1,FALSE))),VLOOKUP(B262&amp;" HD",J:K,2,FALSE),"")</f>
        <v/>
      </c>
      <c r="M262" t="str">
        <f>IF(NOT(ISERROR(VLOOKUP(B262&amp;" +1",B:B,1,FALSE))),VLOOKUP(B262&amp;" +1",J:K,2,FALSE),"")</f>
        <v/>
      </c>
      <c r="O262" t="str">
        <f t="shared" ref="O262:O264" si="32">SUBSTITUTE(CONCATENATE("      ",A262,":","\nname: ",B262,IF(C262&lt;&gt;"","\nshow: "&amp;C262,""),IF(D262&lt;&gt;"","\nhd_channel: "&amp;D262,""),IF(E262&lt;&gt;"","\nplus_one: "&amp;E262,""),IF(F262&lt;&gt;"","\nlogo: "&amp;F262,""),IF(G262&lt;&gt;"","\ntarget: "&amp;G262,""),IF(H262&lt;&gt;"","\nsource: "&amp;H262,"")),"\n",CHAR(10)&amp;"        ")</f>
        <v xml:space="preserve">      552:
        name: Premier Sports 2</v>
      </c>
    </row>
    <row r="263" spans="1:15" x14ac:dyDescent="0.25">
      <c r="A263">
        <v>553</v>
      </c>
      <c r="B263" t="s">
        <v>640</v>
      </c>
      <c r="D263" t="s">
        <v>302</v>
      </c>
      <c r="E263" t="s">
        <v>302</v>
      </c>
      <c r="J263" t="str">
        <f t="shared" si="30"/>
        <v>FreeSports HD</v>
      </c>
      <c r="K263">
        <f t="shared" si="31"/>
        <v>553</v>
      </c>
      <c r="L263" t="str">
        <f>IF(NOT(ISERROR(VLOOKUP(B263&amp;" HD",B:B,1,FALSE))),VLOOKUP(B263&amp;" HD",J:K,2,FALSE),"")</f>
        <v/>
      </c>
      <c r="M263" t="str">
        <f>IF(NOT(ISERROR(VLOOKUP(B263&amp;" +1",B:B,1,FALSE))),VLOOKUP(B263&amp;" +1",J:K,2,FALSE),"")</f>
        <v/>
      </c>
      <c r="O263" t="str">
        <f t="shared" si="32"/>
        <v xml:space="preserve">      553:
        name: FreeSports HD</v>
      </c>
    </row>
    <row r="264" spans="1:15" x14ac:dyDescent="0.25">
      <c r="A264">
        <v>555</v>
      </c>
      <c r="B264" t="s">
        <v>642</v>
      </c>
      <c r="D264" t="s">
        <v>302</v>
      </c>
      <c r="E264" t="s">
        <v>302</v>
      </c>
      <c r="J264" t="str">
        <f t="shared" si="30"/>
        <v>BT Sport 4K UHD</v>
      </c>
      <c r="K264">
        <f t="shared" si="31"/>
        <v>555</v>
      </c>
      <c r="L264" t="str">
        <f>IF(NOT(ISERROR(VLOOKUP(B264&amp;" HD",B:B,1,FALSE))),VLOOKUP(B264&amp;" HD",J:K,2,FALSE),"")</f>
        <v/>
      </c>
      <c r="M264" t="str">
        <f>IF(NOT(ISERROR(VLOOKUP(B264&amp;" +1",B:B,1,FALSE))),VLOOKUP(B264&amp;" +1",J:K,2,FALSE),"")</f>
        <v/>
      </c>
      <c r="O264" t="str">
        <f t="shared" si="32"/>
        <v xml:space="preserve">      555:
        name: BT Sport 4K UHD</v>
      </c>
    </row>
    <row r="265" spans="1:15" x14ac:dyDescent="0.25">
      <c r="A265">
        <v>601</v>
      </c>
      <c r="B265" t="s">
        <v>219</v>
      </c>
      <c r="D265">
        <v>604</v>
      </c>
      <c r="E265" t="s">
        <v>302</v>
      </c>
      <c r="J265" t="str">
        <f t="shared" si="27"/>
        <v>BBC News</v>
      </c>
      <c r="K265">
        <f t="shared" si="28"/>
        <v>601</v>
      </c>
      <c r="L265">
        <f>IF(NOT(ISERROR(VLOOKUP(B265&amp;" HD",B:B,1,FALSE))),VLOOKUP(B265&amp;" HD",J:K,2,FALSE),"")</f>
        <v>604</v>
      </c>
      <c r="M265" t="str">
        <f>IF(NOT(ISERROR(VLOOKUP(B265&amp;" +1",B:B,1,FALSE))),VLOOKUP(B265&amp;" +1",J:K,2,FALSE),"")</f>
        <v/>
      </c>
      <c r="O265" t="str">
        <f t="shared" si="29"/>
        <v xml:space="preserve">      601:
        name: BBC News
        hd_channel: 604</v>
      </c>
    </row>
    <row r="266" spans="1:15" x14ac:dyDescent="0.25">
      <c r="A266">
        <v>602</v>
      </c>
      <c r="B266" t="s">
        <v>220</v>
      </c>
      <c r="D266">
        <v>603</v>
      </c>
      <c r="E266" t="s">
        <v>302</v>
      </c>
      <c r="J266" t="str">
        <f t="shared" si="27"/>
        <v>Sky News</v>
      </c>
      <c r="K266">
        <f t="shared" si="28"/>
        <v>602</v>
      </c>
      <c r="L266">
        <f>IF(NOT(ISERROR(VLOOKUP(B266&amp;" HD",B:B,1,FALSE))),VLOOKUP(B266&amp;" HD",J:K,2,FALSE),"")</f>
        <v>603</v>
      </c>
      <c r="M266" t="str">
        <f>IF(NOT(ISERROR(VLOOKUP(B266&amp;" +1",B:B,1,FALSE))),VLOOKUP(B266&amp;" +1",J:K,2,FALSE),"")</f>
        <v/>
      </c>
      <c r="O266" t="str">
        <f t="shared" si="29"/>
        <v xml:space="preserve">      602:
        name: Sky News
        hd_channel: 603</v>
      </c>
    </row>
    <row r="267" spans="1:15" x14ac:dyDescent="0.25">
      <c r="A267">
        <v>603</v>
      </c>
      <c r="B267" t="s">
        <v>221</v>
      </c>
      <c r="D267" t="s">
        <v>302</v>
      </c>
      <c r="E267" t="s">
        <v>302</v>
      </c>
      <c r="J267" t="str">
        <f t="shared" si="27"/>
        <v>Sky News HD</v>
      </c>
      <c r="K267">
        <f t="shared" si="28"/>
        <v>603</v>
      </c>
      <c r="L267" t="str">
        <f>IF(NOT(ISERROR(VLOOKUP(B267&amp;" HD",B:B,1,FALSE))),VLOOKUP(B267&amp;" HD",J:K,2,FALSE),"")</f>
        <v/>
      </c>
      <c r="M267" t="str">
        <f>IF(NOT(ISERROR(VLOOKUP(B267&amp;" +1",B:B,1,FALSE))),VLOOKUP(B267&amp;" +1",J:K,2,FALSE),"")</f>
        <v/>
      </c>
      <c r="O267" t="str">
        <f t="shared" si="29"/>
        <v xml:space="preserve">      603:
        name: Sky News HD</v>
      </c>
    </row>
    <row r="268" spans="1:15" x14ac:dyDescent="0.25">
      <c r="A268">
        <v>604</v>
      </c>
      <c r="B268" t="s">
        <v>222</v>
      </c>
      <c r="D268" t="s">
        <v>302</v>
      </c>
      <c r="E268" t="s">
        <v>302</v>
      </c>
      <c r="J268" t="str">
        <f t="shared" si="27"/>
        <v>BBC News HD</v>
      </c>
      <c r="K268">
        <f t="shared" si="28"/>
        <v>604</v>
      </c>
      <c r="L268" t="str">
        <f>IF(NOT(ISERROR(VLOOKUP(B268&amp;" HD",B:B,1,FALSE))),VLOOKUP(B268&amp;" HD",J:K,2,FALSE),"")</f>
        <v/>
      </c>
      <c r="M268" t="str">
        <f>IF(NOT(ISERROR(VLOOKUP(B268&amp;" +1",B:B,1,FALSE))),VLOOKUP(B268&amp;" +1",J:K,2,FALSE),"")</f>
        <v/>
      </c>
      <c r="O268" t="str">
        <f t="shared" si="29"/>
        <v xml:space="preserve">      604:
        name: BBC News HD</v>
      </c>
    </row>
    <row r="269" spans="1:15" x14ac:dyDescent="0.25">
      <c r="A269">
        <v>605</v>
      </c>
      <c r="B269" t="s">
        <v>223</v>
      </c>
      <c r="D269" t="s">
        <v>302</v>
      </c>
      <c r="E269" t="s">
        <v>302</v>
      </c>
      <c r="J269" t="str">
        <f t="shared" si="27"/>
        <v>BBC Parliament</v>
      </c>
      <c r="K269">
        <f t="shared" si="28"/>
        <v>605</v>
      </c>
      <c r="L269" t="str">
        <f>IF(NOT(ISERROR(VLOOKUP(B269&amp;" HD",B:B,1,FALSE))),VLOOKUP(B269&amp;" HD",J:K,2,FALSE),"")</f>
        <v/>
      </c>
      <c r="M269" t="str">
        <f>IF(NOT(ISERROR(VLOOKUP(B269&amp;" +1",B:B,1,FALSE))),VLOOKUP(B269&amp;" +1",J:K,2,FALSE),"")</f>
        <v/>
      </c>
      <c r="O269" t="str">
        <f t="shared" si="29"/>
        <v xml:space="preserve">      605:
        name: BBC Parliament</v>
      </c>
    </row>
    <row r="270" spans="1:15" x14ac:dyDescent="0.25">
      <c r="A270">
        <v>607</v>
      </c>
      <c r="B270" t="s">
        <v>649</v>
      </c>
      <c r="D270" t="s">
        <v>302</v>
      </c>
      <c r="E270" t="s">
        <v>302</v>
      </c>
      <c r="J270" t="str">
        <f t="shared" si="27"/>
        <v>CNN</v>
      </c>
      <c r="K270">
        <f t="shared" si="28"/>
        <v>607</v>
      </c>
      <c r="L270" t="str">
        <f>IF(NOT(ISERROR(VLOOKUP(B270&amp;" HD",B:B,1,FALSE))),VLOOKUP(B270&amp;" HD",J:K,2,FALSE),"")</f>
        <v/>
      </c>
      <c r="M270" t="str">
        <f>IF(NOT(ISERROR(VLOOKUP(B270&amp;" +1",B:B,1,FALSE))),VLOOKUP(B270&amp;" +1",J:K,2,FALSE),"")</f>
        <v/>
      </c>
      <c r="O270" t="str">
        <f t="shared" si="29"/>
        <v xml:space="preserve">      607:
        name: CNN</v>
      </c>
    </row>
    <row r="271" spans="1:15" x14ac:dyDescent="0.25">
      <c r="A271">
        <v>609</v>
      </c>
      <c r="B271" t="s">
        <v>651</v>
      </c>
      <c r="D271" t="s">
        <v>302</v>
      </c>
      <c r="E271" t="s">
        <v>302</v>
      </c>
      <c r="J271" t="str">
        <f t="shared" si="27"/>
        <v>Bloomberg HD</v>
      </c>
      <c r="K271">
        <f t="shared" si="28"/>
        <v>609</v>
      </c>
      <c r="L271" t="str">
        <f>IF(NOT(ISERROR(VLOOKUP(B271&amp;" HD",B:B,1,FALSE))),VLOOKUP(B271&amp;" HD",J:K,2,FALSE),"")</f>
        <v/>
      </c>
      <c r="M271" t="str">
        <f>IF(NOT(ISERROR(VLOOKUP(B271&amp;" +1",B:B,1,FALSE))),VLOOKUP(B271&amp;" +1",J:K,2,FALSE),"")</f>
        <v/>
      </c>
      <c r="O271" t="str">
        <f t="shared" si="29"/>
        <v xml:space="preserve">      609:
        name: Bloomberg HD</v>
      </c>
    </row>
    <row r="272" spans="1:15" x14ac:dyDescent="0.25">
      <c r="A272">
        <v>613</v>
      </c>
      <c r="B272" t="s">
        <v>653</v>
      </c>
      <c r="D272" t="s">
        <v>302</v>
      </c>
      <c r="E272" t="s">
        <v>302</v>
      </c>
      <c r="J272" t="str">
        <f t="shared" si="27"/>
        <v>CNBC</v>
      </c>
      <c r="K272">
        <f t="shared" si="28"/>
        <v>613</v>
      </c>
      <c r="L272" t="str">
        <f>IF(NOT(ISERROR(VLOOKUP(B272&amp;" HD",B:B,1,FALSE))),VLOOKUP(B272&amp;" HD",J:K,2,FALSE),"")</f>
        <v/>
      </c>
      <c r="M272" t="str">
        <f>IF(NOT(ISERROR(VLOOKUP(B272&amp;" +1",B:B,1,FALSE))),VLOOKUP(B272&amp;" +1",J:K,2,FALSE),"")</f>
        <v/>
      </c>
      <c r="O272" t="str">
        <f t="shared" si="29"/>
        <v xml:space="preserve">      613:
        name: CNBC</v>
      </c>
    </row>
    <row r="273" spans="1:15" x14ac:dyDescent="0.25">
      <c r="A273">
        <v>620</v>
      </c>
      <c r="B273" t="s">
        <v>224</v>
      </c>
      <c r="D273" t="s">
        <v>302</v>
      </c>
      <c r="E273" t="s">
        <v>302</v>
      </c>
      <c r="J273" t="str">
        <f t="shared" si="27"/>
        <v>Euronews</v>
      </c>
      <c r="K273">
        <f t="shared" si="28"/>
        <v>620</v>
      </c>
      <c r="L273" t="str">
        <f>IF(NOT(ISERROR(VLOOKUP(B273&amp;" HD",B:B,1,FALSE))),VLOOKUP(B273&amp;" HD",J:K,2,FALSE),"")</f>
        <v/>
      </c>
      <c r="M273" t="str">
        <f>IF(NOT(ISERROR(VLOOKUP(B273&amp;" +1",B:B,1,FALSE))),VLOOKUP(B273&amp;" +1",J:K,2,FALSE),"")</f>
        <v/>
      </c>
      <c r="O273" t="str">
        <f t="shared" si="29"/>
        <v xml:space="preserve">      620:
        name: Euronews</v>
      </c>
    </row>
    <row r="274" spans="1:15" x14ac:dyDescent="0.25">
      <c r="A274">
        <v>621</v>
      </c>
      <c r="B274" t="s">
        <v>225</v>
      </c>
      <c r="D274" t="s">
        <v>302</v>
      </c>
      <c r="E274" t="s">
        <v>302</v>
      </c>
      <c r="J274" t="str">
        <f t="shared" ref="J274:J333" si="33">B274</f>
        <v>NDTV 24x7</v>
      </c>
      <c r="K274">
        <f t="shared" ref="K274:K333" si="34">A274</f>
        <v>621</v>
      </c>
      <c r="L274" t="str">
        <f>IF(NOT(ISERROR(VLOOKUP(B274&amp;" HD",B:B,1,FALSE))),VLOOKUP(B274&amp;" HD",J:K,2,FALSE),"")</f>
        <v/>
      </c>
      <c r="M274" t="str">
        <f>IF(NOT(ISERROR(VLOOKUP(B274&amp;" +1",B:B,1,FALSE))),VLOOKUP(B274&amp;" +1",J:K,2,FALSE),"")</f>
        <v/>
      </c>
      <c r="O274" t="str">
        <f t="shared" ref="O274:O333" si="35">SUBSTITUTE(CONCATENATE("      ",A274,":","\nname: ",B274,IF(C274&lt;&gt;"","\nshow: "&amp;C274,""),IF(D274&lt;&gt;"","\nhd_channel: "&amp;D274,""),IF(E274&lt;&gt;"","\nplus_one: "&amp;E274,""),IF(F274&lt;&gt;"","\nlogo: "&amp;F274,""),IF(G274&lt;&gt;"","\ntarget: "&amp;G274,""),IF(H274&lt;&gt;"","\nsource: "&amp;H274,"")),"\n",CHAR(10)&amp;"        ")</f>
        <v xml:space="preserve">      621:
        name: NDTV 24x7</v>
      </c>
    </row>
    <row r="275" spans="1:15" x14ac:dyDescent="0.25">
      <c r="A275">
        <v>622</v>
      </c>
      <c r="B275" t="s">
        <v>226</v>
      </c>
      <c r="D275" t="s">
        <v>302</v>
      </c>
      <c r="E275" t="s">
        <v>302</v>
      </c>
      <c r="J275" t="str">
        <f t="shared" si="33"/>
        <v>Al Jazeera English</v>
      </c>
      <c r="K275">
        <f t="shared" si="34"/>
        <v>622</v>
      </c>
      <c r="L275" t="str">
        <f>IF(NOT(ISERROR(VLOOKUP(B275&amp;" HD",B:B,1,FALSE))),VLOOKUP(B275&amp;" HD",J:K,2,FALSE),"")</f>
        <v/>
      </c>
      <c r="M275" t="str">
        <f>IF(NOT(ISERROR(VLOOKUP(B275&amp;" +1",B:B,1,FALSE))),VLOOKUP(B275&amp;" +1",J:K,2,FALSE),"")</f>
        <v/>
      </c>
      <c r="O275" t="str">
        <f t="shared" si="35"/>
        <v xml:space="preserve">      622:
        name: Al Jazeera English</v>
      </c>
    </row>
    <row r="276" spans="1:15" x14ac:dyDescent="0.25">
      <c r="A276">
        <v>624</v>
      </c>
      <c r="B276" t="s">
        <v>658</v>
      </c>
      <c r="D276" t="s">
        <v>302</v>
      </c>
      <c r="E276" t="s">
        <v>302</v>
      </c>
      <c r="J276" t="str">
        <f t="shared" si="33"/>
        <v>France 24 English HD</v>
      </c>
      <c r="K276">
        <f t="shared" si="34"/>
        <v>624</v>
      </c>
      <c r="L276" t="str">
        <f>IF(NOT(ISERROR(VLOOKUP(B276&amp;" HD",B:B,1,FALSE))),VLOOKUP(B276&amp;" HD",J:K,2,FALSE),"")</f>
        <v/>
      </c>
      <c r="M276" t="str">
        <f>IF(NOT(ISERROR(VLOOKUP(B276&amp;" +1",B:B,1,FALSE))),VLOOKUP(B276&amp;" +1",J:K,2,FALSE),"")</f>
        <v/>
      </c>
      <c r="O276" t="str">
        <f t="shared" si="35"/>
        <v xml:space="preserve">      624:
        name: France 24 English HD</v>
      </c>
    </row>
    <row r="277" spans="1:15" x14ac:dyDescent="0.25">
      <c r="A277">
        <v>625</v>
      </c>
      <c r="B277" t="s">
        <v>660</v>
      </c>
      <c r="D277" t="s">
        <v>302</v>
      </c>
      <c r="E277" t="s">
        <v>302</v>
      </c>
      <c r="J277" t="str">
        <f t="shared" si="33"/>
        <v>NHKworldHD</v>
      </c>
      <c r="K277">
        <f t="shared" si="34"/>
        <v>625</v>
      </c>
      <c r="L277" t="str">
        <f>IF(NOT(ISERROR(VLOOKUP(B277&amp;" HD",B:B,1,FALSE))),VLOOKUP(B277&amp;" HD",J:K,2,FALSE),"")</f>
        <v/>
      </c>
      <c r="M277" t="str">
        <f>IF(NOT(ISERROR(VLOOKUP(B277&amp;" +1",B:B,1,FALSE))),VLOOKUP(B277&amp;" +1",J:K,2,FALSE),"")</f>
        <v/>
      </c>
      <c r="O277" t="str">
        <f t="shared" si="35"/>
        <v xml:space="preserve">      625:
        name: NHKworldHD</v>
      </c>
    </row>
    <row r="278" spans="1:15" x14ac:dyDescent="0.25">
      <c r="A278">
        <v>700</v>
      </c>
      <c r="B278" t="s">
        <v>662</v>
      </c>
      <c r="D278" t="s">
        <v>302</v>
      </c>
      <c r="E278" t="s">
        <v>302</v>
      </c>
      <c r="J278" t="str">
        <f t="shared" si="33"/>
        <v>My Virgin TV Kids</v>
      </c>
      <c r="K278">
        <f t="shared" si="34"/>
        <v>700</v>
      </c>
      <c r="L278" t="str">
        <f>IF(NOT(ISERROR(VLOOKUP(B278&amp;" HD",B:B,1,FALSE))),VLOOKUP(B278&amp;" HD",J:K,2,FALSE),"")</f>
        <v/>
      </c>
      <c r="M278" t="str">
        <f>IF(NOT(ISERROR(VLOOKUP(B278&amp;" +1",B:B,1,FALSE))),VLOOKUP(B278&amp;" +1",J:K,2,FALSE),"")</f>
        <v/>
      </c>
      <c r="O278" t="str">
        <f t="shared" si="35"/>
        <v xml:space="preserve">      700:
        name: My Virgin TV Kids</v>
      </c>
    </row>
    <row r="279" spans="1:15" x14ac:dyDescent="0.25">
      <c r="A279">
        <v>701</v>
      </c>
      <c r="B279" t="s">
        <v>227</v>
      </c>
      <c r="D279">
        <v>710</v>
      </c>
      <c r="E279" t="s">
        <v>302</v>
      </c>
      <c r="J279" t="str">
        <f t="shared" si="33"/>
        <v>CBBC</v>
      </c>
      <c r="K279">
        <f t="shared" si="34"/>
        <v>701</v>
      </c>
      <c r="L279">
        <f>IF(NOT(ISERROR(VLOOKUP(B279&amp;" HD",B:B,1,FALSE))),VLOOKUP(B279&amp;" HD",J:K,2,FALSE),"")</f>
        <v>710</v>
      </c>
      <c r="M279" t="str">
        <f>IF(NOT(ISERROR(VLOOKUP(B279&amp;" +1",B:B,1,FALSE))),VLOOKUP(B279&amp;" +1",J:K,2,FALSE),"")</f>
        <v/>
      </c>
      <c r="O279" t="str">
        <f t="shared" si="35"/>
        <v xml:space="preserve">      701:
        name: CBBC
        hd_channel: 710</v>
      </c>
    </row>
    <row r="280" spans="1:15" x14ac:dyDescent="0.25">
      <c r="A280">
        <v>702</v>
      </c>
      <c r="B280" t="s">
        <v>228</v>
      </c>
      <c r="D280">
        <v>711</v>
      </c>
      <c r="E280" t="s">
        <v>302</v>
      </c>
      <c r="J280" t="str">
        <f t="shared" si="33"/>
        <v>CBeebies</v>
      </c>
      <c r="K280">
        <f t="shared" si="34"/>
        <v>702</v>
      </c>
      <c r="L280">
        <f>IF(NOT(ISERROR(VLOOKUP(B280&amp;" HD",B:B,1,FALSE))),VLOOKUP(B280&amp;" HD",J:K,2,FALSE),"")</f>
        <v>711</v>
      </c>
      <c r="M280" t="str">
        <f>IF(NOT(ISERROR(VLOOKUP(B280&amp;" +1",B:B,1,FALSE))),VLOOKUP(B280&amp;" +1",J:K,2,FALSE),"")</f>
        <v/>
      </c>
      <c r="O280" t="str">
        <f t="shared" si="35"/>
        <v xml:space="preserve">      702:
        name: CBeebies
        hd_channel: 711</v>
      </c>
    </row>
    <row r="281" spans="1:15" x14ac:dyDescent="0.25">
      <c r="A281">
        <v>703</v>
      </c>
      <c r="B281" t="s">
        <v>666</v>
      </c>
      <c r="D281" t="s">
        <v>302</v>
      </c>
      <c r="E281" t="s">
        <v>302</v>
      </c>
      <c r="J281" t="str">
        <f t="shared" si="33"/>
        <v>Baby TV</v>
      </c>
      <c r="K281">
        <f t="shared" si="34"/>
        <v>703</v>
      </c>
      <c r="L281" t="str">
        <f>IF(NOT(ISERROR(VLOOKUP(B281&amp;" HD",B:B,1,FALSE))),VLOOKUP(B281&amp;" HD",J:K,2,FALSE),"")</f>
        <v/>
      </c>
      <c r="M281" t="str">
        <f>IF(NOT(ISERROR(VLOOKUP(B281&amp;" +1",B:B,1,FALSE))),VLOOKUP(B281&amp;" +1",J:K,2,FALSE),"")</f>
        <v/>
      </c>
      <c r="O281" t="str">
        <f t="shared" si="35"/>
        <v xml:space="preserve">      703:
        name: Baby TV</v>
      </c>
    </row>
    <row r="282" spans="1:15" x14ac:dyDescent="0.25">
      <c r="A282">
        <v>704</v>
      </c>
      <c r="B282" t="s">
        <v>229</v>
      </c>
      <c r="D282">
        <v>732</v>
      </c>
      <c r="E282">
        <v>705</v>
      </c>
      <c r="J282" t="str">
        <f t="shared" si="33"/>
        <v>Cartoon Network</v>
      </c>
      <c r="K282">
        <f t="shared" si="34"/>
        <v>704</v>
      </c>
      <c r="L282">
        <f>IF(NOT(ISERROR(VLOOKUP(B282&amp;" HD",B:B,1,FALSE))),VLOOKUP(B282&amp;" HD",J:K,2,FALSE),"")</f>
        <v>732</v>
      </c>
      <c r="M282">
        <f>IF(NOT(ISERROR(VLOOKUP(B282&amp;" +1",B:B,1,FALSE))),VLOOKUP(B282&amp;" +1",J:K,2,FALSE),"")</f>
        <v>705</v>
      </c>
      <c r="O282" t="str">
        <f t="shared" si="35"/>
        <v xml:space="preserve">      704:
        name: Cartoon Network
        hd_channel: 732
        plus_one: 705</v>
      </c>
    </row>
    <row r="283" spans="1:15" x14ac:dyDescent="0.25">
      <c r="A283">
        <v>705</v>
      </c>
      <c r="B283" t="s">
        <v>230</v>
      </c>
      <c r="D283" t="s">
        <v>302</v>
      </c>
      <c r="E283" t="s">
        <v>302</v>
      </c>
      <c r="J283" t="str">
        <f t="shared" si="33"/>
        <v>Cartoon Network +1</v>
      </c>
      <c r="K283">
        <f t="shared" si="34"/>
        <v>705</v>
      </c>
      <c r="L283" t="str">
        <f>IF(NOT(ISERROR(VLOOKUP(B283&amp;" HD",B:B,1,FALSE))),VLOOKUP(B283&amp;" HD",J:K,2,FALSE),"")</f>
        <v/>
      </c>
      <c r="M283" t="str">
        <f>IF(NOT(ISERROR(VLOOKUP(B283&amp;" +1",B:B,1,FALSE))),VLOOKUP(B283&amp;" +1",J:K,2,FALSE),"")</f>
        <v/>
      </c>
      <c r="O283" t="str">
        <f t="shared" si="35"/>
        <v xml:space="preserve">      705:
        name: Cartoon Network +1</v>
      </c>
    </row>
    <row r="284" spans="1:15" x14ac:dyDescent="0.25">
      <c r="A284">
        <v>706</v>
      </c>
      <c r="B284" t="s">
        <v>231</v>
      </c>
      <c r="D284" t="s">
        <v>302</v>
      </c>
      <c r="E284" t="s">
        <v>302</v>
      </c>
      <c r="J284" t="str">
        <f t="shared" si="33"/>
        <v>Cartoonito</v>
      </c>
      <c r="K284">
        <f t="shared" si="34"/>
        <v>706</v>
      </c>
      <c r="L284" t="str">
        <f>IF(NOT(ISERROR(VLOOKUP(B284&amp;" HD",B:B,1,FALSE))),VLOOKUP(B284&amp;" HD",J:K,2,FALSE),"")</f>
        <v/>
      </c>
      <c r="M284" t="str">
        <f>IF(NOT(ISERROR(VLOOKUP(B284&amp;" +1",B:B,1,FALSE))),VLOOKUP(B284&amp;" +1",J:K,2,FALSE),"")</f>
        <v/>
      </c>
      <c r="O284" t="str">
        <f t="shared" si="35"/>
        <v xml:space="preserve">      706:
        name: Cartoonito</v>
      </c>
    </row>
    <row r="285" spans="1:15" x14ac:dyDescent="0.25">
      <c r="A285">
        <v>707</v>
      </c>
      <c r="B285" t="s">
        <v>232</v>
      </c>
      <c r="D285" t="s">
        <v>302</v>
      </c>
      <c r="J285" t="str">
        <f t="shared" si="33"/>
        <v>Disney XD</v>
      </c>
      <c r="K285">
        <f t="shared" si="34"/>
        <v>707</v>
      </c>
      <c r="L285" t="str">
        <f>IF(NOT(ISERROR(VLOOKUP(B285&amp;" HD",B:B,1,FALSE))),VLOOKUP(B285&amp;" HD",J:K,2,FALSE),"")</f>
        <v/>
      </c>
      <c r="M285" t="str">
        <f>IF(NOT(ISERROR(VLOOKUP(B285&amp;" +1",B:B,1,FALSE))),VLOOKUP(B285&amp;" +1",J:K,2,FALSE),"")</f>
        <v/>
      </c>
      <c r="O285" t="str">
        <f t="shared" si="35"/>
        <v xml:space="preserve">      707:
        name: Disney XD</v>
      </c>
    </row>
    <row r="286" spans="1:15" x14ac:dyDescent="0.25">
      <c r="A286">
        <v>710</v>
      </c>
      <c r="B286" t="s">
        <v>233</v>
      </c>
      <c r="D286" t="s">
        <v>302</v>
      </c>
      <c r="E286" t="s">
        <v>302</v>
      </c>
      <c r="J286" t="str">
        <f t="shared" si="33"/>
        <v>CBBC HD</v>
      </c>
      <c r="K286">
        <f t="shared" si="34"/>
        <v>710</v>
      </c>
      <c r="L286" t="str">
        <f>IF(NOT(ISERROR(VLOOKUP(B286&amp;" HD",B:B,1,FALSE))),VLOOKUP(B286&amp;" HD",J:K,2,FALSE),"")</f>
        <v/>
      </c>
      <c r="M286" t="str">
        <f>IF(NOT(ISERROR(VLOOKUP(B286&amp;" +1",B:B,1,FALSE))),VLOOKUP(B286&amp;" +1",J:K,2,FALSE),"")</f>
        <v/>
      </c>
      <c r="O286" t="str">
        <f t="shared" si="35"/>
        <v xml:space="preserve">      710:
        name: CBBC HD</v>
      </c>
    </row>
    <row r="287" spans="1:15" x14ac:dyDescent="0.25">
      <c r="A287">
        <v>711</v>
      </c>
      <c r="B287" t="s">
        <v>234</v>
      </c>
      <c r="D287" t="s">
        <v>302</v>
      </c>
      <c r="E287" t="s">
        <v>302</v>
      </c>
      <c r="J287" t="str">
        <f t="shared" si="33"/>
        <v>CBeebies HD</v>
      </c>
      <c r="K287">
        <f t="shared" si="34"/>
        <v>711</v>
      </c>
      <c r="L287" t="str">
        <f>IF(NOT(ISERROR(VLOOKUP(B287&amp;" HD",B:B,1,FALSE))),VLOOKUP(B287&amp;" HD",J:K,2,FALSE),"")</f>
        <v/>
      </c>
      <c r="M287" t="str">
        <f>IF(NOT(ISERROR(VLOOKUP(B287&amp;" +1",B:B,1,FALSE))),VLOOKUP(B287&amp;" +1",J:K,2,FALSE),"")</f>
        <v/>
      </c>
      <c r="O287" t="str">
        <f t="shared" si="35"/>
        <v xml:space="preserve">      711:
        name: CBeebies HD</v>
      </c>
    </row>
    <row r="288" spans="1:15" x14ac:dyDescent="0.25">
      <c r="A288">
        <v>712</v>
      </c>
      <c r="B288" t="s">
        <v>235</v>
      </c>
      <c r="D288" t="s">
        <v>302</v>
      </c>
      <c r="E288" t="s">
        <v>302</v>
      </c>
      <c r="J288" t="str">
        <f t="shared" si="33"/>
        <v>Nickelodeon</v>
      </c>
      <c r="K288">
        <f t="shared" si="34"/>
        <v>712</v>
      </c>
      <c r="L288" t="str">
        <f>IF(NOT(ISERROR(VLOOKUP(B288&amp;" HD",B:B,1,FALSE))),VLOOKUP(B288&amp;" HD",J:K,2,FALSE),"")</f>
        <v/>
      </c>
      <c r="M288" t="str">
        <f>IF(NOT(ISERROR(VLOOKUP(B288&amp;" +1",B:B,1,FALSE))),VLOOKUP(B288&amp;" +1",J:K,2,FALSE),"")</f>
        <v/>
      </c>
      <c r="O288" t="str">
        <f t="shared" si="35"/>
        <v xml:space="preserve">      712:
        name: Nickelodeon</v>
      </c>
    </row>
    <row r="289" spans="1:15" x14ac:dyDescent="0.25">
      <c r="A289">
        <v>713</v>
      </c>
      <c r="B289" t="s">
        <v>236</v>
      </c>
      <c r="D289" t="s">
        <v>302</v>
      </c>
      <c r="E289" t="s">
        <v>302</v>
      </c>
      <c r="J289" t="str">
        <f t="shared" si="33"/>
        <v>Nick +1</v>
      </c>
      <c r="K289">
        <f t="shared" si="34"/>
        <v>713</v>
      </c>
      <c r="L289" t="str">
        <f>IF(NOT(ISERROR(VLOOKUP(B289&amp;" HD",B:B,1,FALSE))),VLOOKUP(B289&amp;" HD",J:K,2,FALSE),"")</f>
        <v/>
      </c>
      <c r="M289" t="str">
        <f>IF(NOT(ISERROR(VLOOKUP(B289&amp;" +1",B:B,1,FALSE))),VLOOKUP(B289&amp;" +1",J:K,2,FALSE),"")</f>
        <v/>
      </c>
      <c r="O289" t="str">
        <f t="shared" si="35"/>
        <v xml:space="preserve">      713:
        name: Nick +1</v>
      </c>
    </row>
    <row r="290" spans="1:15" x14ac:dyDescent="0.25">
      <c r="A290">
        <v>714</v>
      </c>
      <c r="B290" t="s">
        <v>237</v>
      </c>
      <c r="D290" t="s">
        <v>302</v>
      </c>
      <c r="E290" t="s">
        <v>302</v>
      </c>
      <c r="J290" t="str">
        <f t="shared" si="33"/>
        <v>Nick HD</v>
      </c>
      <c r="K290">
        <f t="shared" si="34"/>
        <v>714</v>
      </c>
      <c r="L290" t="str">
        <f>IF(NOT(ISERROR(VLOOKUP(B290&amp;" HD",B:B,1,FALSE))),VLOOKUP(B290&amp;" HD",J:K,2,FALSE),"")</f>
        <v/>
      </c>
      <c r="M290" t="str">
        <f>IF(NOT(ISERROR(VLOOKUP(B290&amp;" +1",B:B,1,FALSE))),VLOOKUP(B290&amp;" +1",J:K,2,FALSE),"")</f>
        <v/>
      </c>
      <c r="O290" t="str">
        <f t="shared" si="35"/>
        <v xml:space="preserve">      714:
        name: Nick HD</v>
      </c>
    </row>
    <row r="291" spans="1:15" x14ac:dyDescent="0.25">
      <c r="A291">
        <v>715</v>
      </c>
      <c r="B291" t="s">
        <v>238</v>
      </c>
      <c r="D291" t="s">
        <v>302</v>
      </c>
      <c r="E291" t="s">
        <v>302</v>
      </c>
      <c r="J291" t="str">
        <f t="shared" si="33"/>
        <v>Nick Jr.</v>
      </c>
      <c r="K291">
        <f t="shared" si="34"/>
        <v>715</v>
      </c>
      <c r="L291" t="str">
        <f>IF(NOT(ISERROR(VLOOKUP(B291&amp;" HD",B:B,1,FALSE))),VLOOKUP(B291&amp;" HD",J:K,2,FALSE),"")</f>
        <v/>
      </c>
      <c r="M291" t="str">
        <f>IF(NOT(ISERROR(VLOOKUP(B291&amp;" +1",B:B,1,FALSE))),VLOOKUP(B291&amp;" +1",J:K,2,FALSE),"")</f>
        <v/>
      </c>
      <c r="O291" t="str">
        <f t="shared" si="35"/>
        <v xml:space="preserve">      715:
        name: Nick Jr.</v>
      </c>
    </row>
    <row r="292" spans="1:15" x14ac:dyDescent="0.25">
      <c r="A292">
        <v>716</v>
      </c>
      <c r="B292" t="s">
        <v>239</v>
      </c>
      <c r="D292" t="s">
        <v>302</v>
      </c>
      <c r="E292" t="s">
        <v>302</v>
      </c>
      <c r="J292" t="str">
        <f t="shared" si="33"/>
        <v>Nick Jr. Too</v>
      </c>
      <c r="K292">
        <f t="shared" si="34"/>
        <v>716</v>
      </c>
      <c r="L292" t="str">
        <f>IF(NOT(ISERROR(VLOOKUP(B292&amp;" HD",B:B,1,FALSE))),VLOOKUP(B292&amp;" HD",J:K,2,FALSE),"")</f>
        <v/>
      </c>
      <c r="M292" t="str">
        <f>IF(NOT(ISERROR(VLOOKUP(B292&amp;" +1",B:B,1,FALSE))),VLOOKUP(B292&amp;" +1",J:K,2,FALSE),"")</f>
        <v/>
      </c>
      <c r="O292" t="str">
        <f t="shared" si="35"/>
        <v xml:space="preserve">      716:
        name: Nick Jr. Too</v>
      </c>
    </row>
    <row r="293" spans="1:15" x14ac:dyDescent="0.25">
      <c r="A293">
        <v>717</v>
      </c>
      <c r="B293" t="s">
        <v>240</v>
      </c>
      <c r="D293" t="s">
        <v>302</v>
      </c>
      <c r="E293" t="s">
        <v>302</v>
      </c>
      <c r="J293" t="str">
        <f t="shared" si="33"/>
        <v>Nicktoons</v>
      </c>
      <c r="K293">
        <f t="shared" si="34"/>
        <v>717</v>
      </c>
      <c r="L293" t="str">
        <f>IF(NOT(ISERROR(VLOOKUP(B293&amp;" HD",B:B,1,FALSE))),VLOOKUP(B293&amp;" HD",J:K,2,FALSE),"")</f>
        <v/>
      </c>
      <c r="M293" t="str">
        <f>IF(NOT(ISERROR(VLOOKUP(B293&amp;" +1",B:B,1,FALSE))),VLOOKUP(B293&amp;" +1",J:K,2,FALSE),"")</f>
        <v/>
      </c>
      <c r="O293" t="str">
        <f t="shared" si="35"/>
        <v xml:space="preserve">      717:
        name: Nicktoons</v>
      </c>
    </row>
    <row r="294" spans="1:15" x14ac:dyDescent="0.25">
      <c r="A294">
        <v>724</v>
      </c>
      <c r="B294" t="s">
        <v>241</v>
      </c>
      <c r="D294" t="s">
        <v>302</v>
      </c>
      <c r="E294">
        <v>725</v>
      </c>
      <c r="J294" t="str">
        <f t="shared" si="33"/>
        <v>Disney Channel</v>
      </c>
      <c r="K294">
        <f t="shared" si="34"/>
        <v>724</v>
      </c>
      <c r="L294" t="str">
        <f>IF(NOT(ISERROR(VLOOKUP(B294&amp;" HD",B:B,1,FALSE))),VLOOKUP(B294&amp;" HD",J:K,2,FALSE),"")</f>
        <v/>
      </c>
      <c r="M294">
        <f>IF(NOT(ISERROR(VLOOKUP(B294&amp;" +1",B:B,1,FALSE))),VLOOKUP(B294&amp;" +1",J:K,2,FALSE),"")</f>
        <v>725</v>
      </c>
      <c r="O294" t="str">
        <f t="shared" si="35"/>
        <v xml:space="preserve">      724:
        name: Disney Channel
        plus_one: 725</v>
      </c>
    </row>
    <row r="295" spans="1:15" x14ac:dyDescent="0.25">
      <c r="A295">
        <v>725</v>
      </c>
      <c r="B295" t="s">
        <v>242</v>
      </c>
      <c r="D295" t="s">
        <v>302</v>
      </c>
      <c r="E295" t="s">
        <v>302</v>
      </c>
      <c r="J295" t="str">
        <f t="shared" si="33"/>
        <v>Disney Channel +1</v>
      </c>
      <c r="K295">
        <f t="shared" si="34"/>
        <v>725</v>
      </c>
      <c r="L295" t="str">
        <f>IF(NOT(ISERROR(VLOOKUP(B295&amp;" HD",B:B,1,FALSE))),VLOOKUP(B295&amp;" HD",J:K,2,FALSE),"")</f>
        <v/>
      </c>
      <c r="M295" t="str">
        <f>IF(NOT(ISERROR(VLOOKUP(B295&amp;" +1",B:B,1,FALSE))),VLOOKUP(B295&amp;" +1",J:K,2,FALSE),"")</f>
        <v/>
      </c>
      <c r="O295" t="str">
        <f t="shared" si="35"/>
        <v xml:space="preserve">      725:
        name: Disney Channel +1</v>
      </c>
    </row>
    <row r="296" spans="1:15" x14ac:dyDescent="0.25">
      <c r="A296">
        <v>727</v>
      </c>
      <c r="B296" t="s">
        <v>243</v>
      </c>
      <c r="D296" t="s">
        <v>302</v>
      </c>
      <c r="E296" t="s">
        <v>302</v>
      </c>
      <c r="J296" t="str">
        <f t="shared" si="33"/>
        <v>Disney Junior</v>
      </c>
      <c r="K296">
        <f t="shared" si="34"/>
        <v>727</v>
      </c>
      <c r="L296" t="str">
        <f>IF(NOT(ISERROR(VLOOKUP(B296&amp;" HD",B:B,1,FALSE))),VLOOKUP(B296&amp;" HD",J:K,2,FALSE),"")</f>
        <v/>
      </c>
      <c r="M296" t="str">
        <f>IF(NOT(ISERROR(VLOOKUP(B296&amp;" +1",B:B,1,FALSE))),VLOOKUP(B296&amp;" +1",J:K,2,FALSE),"")</f>
        <v/>
      </c>
      <c r="O296" t="str">
        <f t="shared" si="35"/>
        <v xml:space="preserve">      727:
        name: Disney Junior</v>
      </c>
    </row>
    <row r="297" spans="1:15" x14ac:dyDescent="0.25">
      <c r="A297">
        <v>730</v>
      </c>
      <c r="B297" t="s">
        <v>244</v>
      </c>
      <c r="D297" t="s">
        <v>302</v>
      </c>
      <c r="E297">
        <v>731</v>
      </c>
      <c r="J297" t="str">
        <f t="shared" si="33"/>
        <v>Boomerang</v>
      </c>
      <c r="K297">
        <f t="shared" si="34"/>
        <v>730</v>
      </c>
      <c r="L297" t="str">
        <f>IF(NOT(ISERROR(VLOOKUP(B297&amp;" HD",B:B,1,FALSE))),VLOOKUP(B297&amp;" HD",J:K,2,FALSE),"")</f>
        <v/>
      </c>
      <c r="M297">
        <f>IF(NOT(ISERROR(VLOOKUP(B297&amp;" +1",B:B,1,FALSE))),VLOOKUP(B297&amp;" +1",J:K,2,FALSE),"")</f>
        <v>731</v>
      </c>
      <c r="O297" t="str">
        <f t="shared" si="35"/>
        <v xml:space="preserve">      730:
        name: Boomerang
        plus_one: 731</v>
      </c>
    </row>
    <row r="298" spans="1:15" x14ac:dyDescent="0.25">
      <c r="A298">
        <v>731</v>
      </c>
      <c r="B298" t="s">
        <v>245</v>
      </c>
      <c r="D298" t="s">
        <v>302</v>
      </c>
      <c r="E298" t="s">
        <v>302</v>
      </c>
      <c r="J298" t="str">
        <f t="shared" si="33"/>
        <v>Boomerang +1</v>
      </c>
      <c r="K298">
        <f t="shared" si="34"/>
        <v>731</v>
      </c>
      <c r="L298" t="str">
        <f>IF(NOT(ISERROR(VLOOKUP(B298&amp;" HD",B:B,1,FALSE))),VLOOKUP(B298&amp;" HD",J:K,2,FALSE),"")</f>
        <v/>
      </c>
      <c r="M298" t="str">
        <f>IF(NOT(ISERROR(VLOOKUP(B298&amp;" +1",B:B,1,FALSE))),VLOOKUP(B298&amp;" +1",J:K,2,FALSE),"")</f>
        <v/>
      </c>
      <c r="O298" t="str">
        <f t="shared" si="35"/>
        <v xml:space="preserve">      731:
        name: Boomerang +1</v>
      </c>
    </row>
    <row r="299" spans="1:15" x14ac:dyDescent="0.25">
      <c r="A299">
        <v>732</v>
      </c>
      <c r="B299" t="s">
        <v>246</v>
      </c>
      <c r="D299" t="s">
        <v>302</v>
      </c>
      <c r="E299" t="s">
        <v>302</v>
      </c>
      <c r="J299" t="str">
        <f t="shared" si="33"/>
        <v>Cartoon Network HD</v>
      </c>
      <c r="K299">
        <f t="shared" si="34"/>
        <v>732</v>
      </c>
      <c r="L299" t="str">
        <f>IF(NOT(ISERROR(VLOOKUP(B299&amp;" HD",B:B,1,FALSE))),VLOOKUP(B299&amp;" HD",J:K,2,FALSE),"")</f>
        <v/>
      </c>
      <c r="M299" t="str">
        <f>IF(NOT(ISERROR(VLOOKUP(B299&amp;" +1",B:B,1,FALSE))),VLOOKUP(B299&amp;" +1",J:K,2,FALSE),"")</f>
        <v/>
      </c>
      <c r="O299" t="str">
        <f t="shared" si="35"/>
        <v xml:space="preserve">      732:
        name: Cartoon Network HD</v>
      </c>
    </row>
    <row r="300" spans="1:15" x14ac:dyDescent="0.25">
      <c r="A300">
        <v>734</v>
      </c>
      <c r="B300" t="s">
        <v>247</v>
      </c>
      <c r="D300" t="s">
        <v>302</v>
      </c>
      <c r="E300" t="s">
        <v>302</v>
      </c>
      <c r="J300" t="str">
        <f t="shared" si="33"/>
        <v>CITV</v>
      </c>
      <c r="K300">
        <f t="shared" si="34"/>
        <v>734</v>
      </c>
      <c r="L300" t="str">
        <f>IF(NOT(ISERROR(VLOOKUP(B300&amp;" HD",B:B,1,FALSE))),VLOOKUP(B300&amp;" HD",J:K,2,FALSE),"")</f>
        <v/>
      </c>
      <c r="M300" t="str">
        <f>IF(NOT(ISERROR(VLOOKUP(B300&amp;" +1",B:B,1,FALSE))),VLOOKUP(B300&amp;" +1",J:K,2,FALSE),"")</f>
        <v/>
      </c>
      <c r="O300" t="str">
        <f t="shared" si="35"/>
        <v xml:space="preserve">      734:
        name: CITV</v>
      </c>
    </row>
    <row r="301" spans="1:15" x14ac:dyDescent="0.25">
      <c r="A301">
        <v>736</v>
      </c>
      <c r="B301" t="s">
        <v>248</v>
      </c>
      <c r="D301" t="s">
        <v>302</v>
      </c>
      <c r="E301" t="s">
        <v>302</v>
      </c>
      <c r="J301" t="str">
        <f t="shared" si="33"/>
        <v>POP</v>
      </c>
      <c r="K301">
        <f t="shared" si="34"/>
        <v>736</v>
      </c>
      <c r="L301" t="str">
        <f>IF(NOT(ISERROR(VLOOKUP(B301&amp;" HD",B:B,1,FALSE))),VLOOKUP(B301&amp;" HD",J:K,2,FALSE),"")</f>
        <v/>
      </c>
      <c r="M301" t="str">
        <f>IF(NOT(ISERROR(VLOOKUP(B301&amp;" +1",B:B,1,FALSE))),VLOOKUP(B301&amp;" +1",J:K,2,FALSE),"")</f>
        <v/>
      </c>
      <c r="O301" t="str">
        <f t="shared" si="35"/>
        <v xml:space="preserve">      736:
        name: POP</v>
      </c>
    </row>
    <row r="302" spans="1:15" x14ac:dyDescent="0.25">
      <c r="A302">
        <v>737</v>
      </c>
      <c r="B302" t="s">
        <v>249</v>
      </c>
      <c r="D302" t="s">
        <v>302</v>
      </c>
      <c r="E302" t="s">
        <v>302</v>
      </c>
      <c r="J302" t="str">
        <f t="shared" si="33"/>
        <v>Tiny Pop</v>
      </c>
      <c r="K302">
        <f t="shared" si="34"/>
        <v>737</v>
      </c>
      <c r="L302" t="str">
        <f>IF(NOT(ISERROR(VLOOKUP(B302&amp;" HD",B:B,1,FALSE))),VLOOKUP(B302&amp;" HD",J:K,2,FALSE),"")</f>
        <v/>
      </c>
      <c r="M302" t="str">
        <f>IF(NOT(ISERROR(VLOOKUP(B302&amp;" +1",B:B,1,FALSE))),VLOOKUP(B302&amp;" +1",J:K,2,FALSE),"")</f>
        <v/>
      </c>
      <c r="O302" t="str">
        <f t="shared" si="35"/>
        <v xml:space="preserve">      737:
        name: Tiny Pop</v>
      </c>
    </row>
    <row r="303" spans="1:15" x14ac:dyDescent="0.25">
      <c r="A303">
        <v>739</v>
      </c>
      <c r="B303" t="s">
        <v>690</v>
      </c>
      <c r="D303" t="s">
        <v>302</v>
      </c>
      <c r="E303" t="s">
        <v>302</v>
      </c>
      <c r="J303" t="str">
        <f t="shared" ref="J303" si="36">B303</f>
        <v>ZooMoo HD</v>
      </c>
      <c r="K303">
        <f t="shared" ref="K303" si="37">A303</f>
        <v>739</v>
      </c>
      <c r="L303" t="str">
        <f>IF(NOT(ISERROR(VLOOKUP(B303&amp;" HD",B:B,1,FALSE))),VLOOKUP(B303&amp;" HD",J:K,2,FALSE),"")</f>
        <v/>
      </c>
      <c r="M303" t="str">
        <f>IF(NOT(ISERROR(VLOOKUP(B303&amp;" +1",B:B,1,FALSE))),VLOOKUP(B303&amp;" +1",J:K,2,FALSE),"")</f>
        <v/>
      </c>
      <c r="O303" t="str">
        <f t="shared" ref="O303" si="38">SUBSTITUTE(CONCATENATE("      ",A303,":","\nname: ",B303,IF(C303&lt;&gt;"","\nshow: "&amp;C303,""),IF(D303&lt;&gt;"","\nhd_channel: "&amp;D303,""),IF(E303&lt;&gt;"","\nplus_one: "&amp;E303,""),IF(F303&lt;&gt;"","\nlogo: "&amp;F303,""),IF(G303&lt;&gt;"","\ntarget: "&amp;G303,""),IF(H303&lt;&gt;"","\nsource: "&amp;H303,"")),"\n",CHAR(10)&amp;"        ")</f>
        <v xml:space="preserve">      739:
        name: ZooMoo HD</v>
      </c>
    </row>
    <row r="304" spans="1:15" x14ac:dyDescent="0.25">
      <c r="A304">
        <v>740</v>
      </c>
      <c r="B304" t="s">
        <v>250</v>
      </c>
      <c r="D304" t="s">
        <v>302</v>
      </c>
      <c r="E304" t="s">
        <v>302</v>
      </c>
      <c r="J304" t="str">
        <f t="shared" si="33"/>
        <v>QVC</v>
      </c>
      <c r="K304">
        <f t="shared" si="34"/>
        <v>740</v>
      </c>
      <c r="L304" t="str">
        <f>IF(NOT(ISERROR(VLOOKUP(B304&amp;" HD",B:B,1,FALSE))),VLOOKUP(B304&amp;" HD",J:K,2,FALSE),"")</f>
        <v/>
      </c>
      <c r="M304" t="str">
        <f>IF(NOT(ISERROR(VLOOKUP(B304&amp;" +1",B:B,1,FALSE))),VLOOKUP(B304&amp;" +1",J:K,2,FALSE),"")</f>
        <v/>
      </c>
      <c r="O304" t="str">
        <f t="shared" si="35"/>
        <v xml:space="preserve">      740:
        name: QVC</v>
      </c>
    </row>
    <row r="305" spans="1:15" x14ac:dyDescent="0.25">
      <c r="A305">
        <v>741</v>
      </c>
      <c r="B305" t="s">
        <v>251</v>
      </c>
      <c r="D305" t="s">
        <v>302</v>
      </c>
      <c r="E305" t="s">
        <v>302</v>
      </c>
      <c r="J305" t="str">
        <f t="shared" si="33"/>
        <v>QVC Beauty</v>
      </c>
      <c r="K305">
        <f t="shared" si="34"/>
        <v>741</v>
      </c>
      <c r="L305" t="str">
        <f>IF(NOT(ISERROR(VLOOKUP(B305&amp;" HD",B:B,1,FALSE))),VLOOKUP(B305&amp;" HD",J:K,2,FALSE),"")</f>
        <v/>
      </c>
      <c r="M305" t="str">
        <f>IF(NOT(ISERROR(VLOOKUP(B305&amp;" +1",B:B,1,FALSE))),VLOOKUP(B305&amp;" +1",J:K,2,FALSE),"")</f>
        <v/>
      </c>
      <c r="O305" t="str">
        <f t="shared" si="35"/>
        <v xml:space="preserve">      741:
        name: QVC Beauty</v>
      </c>
    </row>
    <row r="306" spans="1:15" x14ac:dyDescent="0.25">
      <c r="A306">
        <v>742</v>
      </c>
      <c r="B306" t="s">
        <v>252</v>
      </c>
      <c r="D306" t="s">
        <v>302</v>
      </c>
      <c r="E306" t="s">
        <v>302</v>
      </c>
      <c r="J306" t="str">
        <f t="shared" si="33"/>
        <v>QVC Style</v>
      </c>
      <c r="K306">
        <f t="shared" si="34"/>
        <v>742</v>
      </c>
      <c r="L306" t="str">
        <f>IF(NOT(ISERROR(VLOOKUP(B306&amp;" HD",B:B,1,FALSE))),VLOOKUP(B306&amp;" HD",J:K,2,FALSE),"")</f>
        <v/>
      </c>
      <c r="M306" t="str">
        <f>IF(NOT(ISERROR(VLOOKUP(B306&amp;" +1",B:B,1,FALSE))),VLOOKUP(B306&amp;" +1",J:K,2,FALSE),"")</f>
        <v/>
      </c>
      <c r="O306" t="str">
        <f t="shared" si="35"/>
        <v xml:space="preserve">      742:
        name: QVC Style</v>
      </c>
    </row>
    <row r="307" spans="1:15" x14ac:dyDescent="0.25">
      <c r="A307">
        <v>747</v>
      </c>
      <c r="B307" t="s">
        <v>253</v>
      </c>
      <c r="D307" t="s">
        <v>302</v>
      </c>
      <c r="E307" t="s">
        <v>302</v>
      </c>
      <c r="J307" t="str">
        <f t="shared" si="33"/>
        <v>Ideal World</v>
      </c>
      <c r="K307">
        <f t="shared" si="34"/>
        <v>747</v>
      </c>
      <c r="L307" t="str">
        <f>IF(NOT(ISERROR(VLOOKUP(B307&amp;" HD",B:B,1,FALSE))),VLOOKUP(B307&amp;" HD",J:K,2,FALSE),"")</f>
        <v/>
      </c>
      <c r="M307" t="str">
        <f>IF(NOT(ISERROR(VLOOKUP(B307&amp;" +1",B:B,1,FALSE))),VLOOKUP(B307&amp;" +1",J:K,2,FALSE),"")</f>
        <v/>
      </c>
      <c r="O307" t="str">
        <f t="shared" si="35"/>
        <v xml:space="preserve">      747:
        name: Ideal World</v>
      </c>
    </row>
    <row r="308" spans="1:15" x14ac:dyDescent="0.25">
      <c r="A308">
        <v>748</v>
      </c>
      <c r="B308" t="s">
        <v>254</v>
      </c>
      <c r="D308" t="s">
        <v>302</v>
      </c>
      <c r="E308" t="s">
        <v>302</v>
      </c>
      <c r="J308" t="str">
        <f t="shared" si="33"/>
        <v>Create and Craft</v>
      </c>
      <c r="K308">
        <f t="shared" si="34"/>
        <v>748</v>
      </c>
      <c r="L308" t="str">
        <f>IF(NOT(ISERROR(VLOOKUP(B308&amp;" HD",B:B,1,FALSE))),VLOOKUP(B308&amp;" HD",J:K,2,FALSE),"")</f>
        <v/>
      </c>
      <c r="M308" t="str">
        <f>IF(NOT(ISERROR(VLOOKUP(B308&amp;" +1",B:B,1,FALSE))),VLOOKUP(B308&amp;" +1",J:K,2,FALSE),"")</f>
        <v/>
      </c>
      <c r="O308" t="str">
        <f t="shared" si="35"/>
        <v xml:space="preserve">      748:
        name: Create and Craft</v>
      </c>
    </row>
    <row r="309" spans="1:15" x14ac:dyDescent="0.25">
      <c r="A309">
        <v>755</v>
      </c>
      <c r="B309" t="s">
        <v>255</v>
      </c>
      <c r="D309" t="s">
        <v>302</v>
      </c>
      <c r="E309" t="s">
        <v>302</v>
      </c>
      <c r="J309" t="str">
        <f t="shared" si="33"/>
        <v>Gems TV</v>
      </c>
      <c r="K309">
        <f t="shared" si="34"/>
        <v>755</v>
      </c>
      <c r="L309" t="str">
        <f>IF(NOT(ISERROR(VLOOKUP(B309&amp;" HD",B:B,1,FALSE))),VLOOKUP(B309&amp;" HD",J:K,2,FALSE),"")</f>
        <v/>
      </c>
      <c r="M309" t="str">
        <f>IF(NOT(ISERROR(VLOOKUP(B309&amp;" +1",B:B,1,FALSE))),VLOOKUP(B309&amp;" +1",J:K,2,FALSE),"")</f>
        <v/>
      </c>
      <c r="O309" t="str">
        <f t="shared" si="35"/>
        <v xml:space="preserve">      755:
        name: Gems TV</v>
      </c>
    </row>
    <row r="310" spans="1:15" x14ac:dyDescent="0.25">
      <c r="A310">
        <v>756</v>
      </c>
      <c r="B310" t="s">
        <v>256</v>
      </c>
      <c r="D310" t="s">
        <v>302</v>
      </c>
      <c r="E310" t="s">
        <v>302</v>
      </c>
      <c r="J310" t="str">
        <f t="shared" si="33"/>
        <v>Jewellery Maker</v>
      </c>
      <c r="K310">
        <f t="shared" si="34"/>
        <v>756</v>
      </c>
      <c r="L310" t="str">
        <f>IF(NOT(ISERROR(VLOOKUP(B310&amp;" HD",B:B,1,FALSE))),VLOOKUP(B310&amp;" HD",J:K,2,FALSE),"")</f>
        <v/>
      </c>
      <c r="M310" t="str">
        <f>IF(NOT(ISERROR(VLOOKUP(B310&amp;" +1",B:B,1,FALSE))),VLOOKUP(B310&amp;" +1",J:K,2,FALSE),"")</f>
        <v/>
      </c>
      <c r="O310" t="str">
        <f t="shared" si="35"/>
        <v xml:space="preserve">      756:
        name: Jewellery Maker</v>
      </c>
    </row>
    <row r="311" spans="1:15" x14ac:dyDescent="0.25">
      <c r="A311">
        <v>757</v>
      </c>
      <c r="B311" t="s">
        <v>257</v>
      </c>
      <c r="D311" t="s">
        <v>302</v>
      </c>
      <c r="E311" t="s">
        <v>302</v>
      </c>
      <c r="J311" t="str">
        <f t="shared" si="33"/>
        <v>TJC</v>
      </c>
      <c r="K311">
        <f t="shared" si="34"/>
        <v>757</v>
      </c>
      <c r="L311" t="str">
        <f>IF(NOT(ISERROR(VLOOKUP(B311&amp;" HD",B:B,1,FALSE))),VLOOKUP(B311&amp;" HD",J:K,2,FALSE),"")</f>
        <v/>
      </c>
      <c r="M311" t="str">
        <f>IF(NOT(ISERROR(VLOOKUP(B311&amp;" +1",B:B,1,FALSE))),VLOOKUP(B311&amp;" +1",J:K,2,FALSE),"")</f>
        <v/>
      </c>
      <c r="O311" t="str">
        <f t="shared" si="35"/>
        <v xml:space="preserve">      757:
        name: TJC</v>
      </c>
    </row>
    <row r="312" spans="1:15" x14ac:dyDescent="0.25">
      <c r="A312">
        <v>801</v>
      </c>
      <c r="B312" t="s">
        <v>700</v>
      </c>
      <c r="D312" t="s">
        <v>302</v>
      </c>
      <c r="E312" t="s">
        <v>302</v>
      </c>
      <c r="J312" t="str">
        <f t="shared" si="33"/>
        <v>Star Gold HD</v>
      </c>
      <c r="K312">
        <f t="shared" si="34"/>
        <v>801</v>
      </c>
      <c r="L312" t="str">
        <f>IF(NOT(ISERROR(VLOOKUP(B312&amp;" HD",B:B,1,FALSE))),VLOOKUP(B312&amp;" HD",J:K,2,FALSE),"")</f>
        <v/>
      </c>
      <c r="M312" t="str">
        <f>IF(NOT(ISERROR(VLOOKUP(B312&amp;" +1",B:B,1,FALSE))),VLOOKUP(B312&amp;" +1",J:K,2,FALSE),"")</f>
        <v/>
      </c>
      <c r="O312" t="str">
        <f t="shared" si="35"/>
        <v xml:space="preserve">      801:
        name: Star Gold HD</v>
      </c>
    </row>
    <row r="313" spans="1:15" x14ac:dyDescent="0.25">
      <c r="A313">
        <v>803</v>
      </c>
      <c r="B313" t="s">
        <v>702</v>
      </c>
      <c r="D313" t="s">
        <v>302</v>
      </c>
      <c r="E313" t="s">
        <v>302</v>
      </c>
      <c r="J313" t="str">
        <f t="shared" si="33"/>
        <v>Star Plus HD</v>
      </c>
      <c r="K313">
        <f t="shared" si="34"/>
        <v>803</v>
      </c>
      <c r="L313" t="str">
        <f>IF(NOT(ISERROR(VLOOKUP(B313&amp;" HD",B:B,1,FALSE))),VLOOKUP(B313&amp;" HD",J:K,2,FALSE),"")</f>
        <v/>
      </c>
      <c r="M313" t="str">
        <f>IF(NOT(ISERROR(VLOOKUP(B313&amp;" +1",B:B,1,FALSE))),VLOOKUP(B313&amp;" +1",J:K,2,FALSE),"")</f>
        <v/>
      </c>
      <c r="O313" t="str">
        <f t="shared" si="35"/>
        <v xml:space="preserve">      803:
        name: Star Plus HD</v>
      </c>
    </row>
    <row r="314" spans="1:15" x14ac:dyDescent="0.25">
      <c r="A314">
        <v>804</v>
      </c>
      <c r="B314" t="s">
        <v>258</v>
      </c>
      <c r="D314" t="s">
        <v>302</v>
      </c>
      <c r="E314" t="s">
        <v>302</v>
      </c>
      <c r="J314" t="str">
        <f t="shared" si="33"/>
        <v>Star Bharat</v>
      </c>
      <c r="K314">
        <f t="shared" si="34"/>
        <v>804</v>
      </c>
      <c r="L314" t="str">
        <f>IF(NOT(ISERROR(VLOOKUP(B314&amp;" HD",B:B,1,FALSE))),VLOOKUP(B314&amp;" HD",J:K,2,FALSE),"")</f>
        <v/>
      </c>
      <c r="M314" t="str">
        <f>IF(NOT(ISERROR(VLOOKUP(B314&amp;" +1",B:B,1,FALSE))),VLOOKUP(B314&amp;" +1",J:K,2,FALSE),"")</f>
        <v/>
      </c>
      <c r="O314" t="str">
        <f t="shared" si="35"/>
        <v xml:space="preserve">      804:
        name: Star Bharat</v>
      </c>
    </row>
    <row r="315" spans="1:15" x14ac:dyDescent="0.25">
      <c r="A315">
        <v>805</v>
      </c>
      <c r="B315" t="s">
        <v>705</v>
      </c>
      <c r="D315" t="s">
        <v>302</v>
      </c>
      <c r="E315" t="s">
        <v>302</v>
      </c>
      <c r="J315" t="str">
        <f t="shared" si="33"/>
        <v>SONY TV Asia HD</v>
      </c>
      <c r="K315">
        <f t="shared" si="34"/>
        <v>805</v>
      </c>
      <c r="L315" t="str">
        <f>IF(NOT(ISERROR(VLOOKUP(B315&amp;" HD",B:B,1,FALSE))),VLOOKUP(B315&amp;" HD",J:K,2,FALSE),"")</f>
        <v/>
      </c>
      <c r="M315" t="str">
        <f>IF(NOT(ISERROR(VLOOKUP(B315&amp;" +1",B:B,1,FALSE))),VLOOKUP(B315&amp;" +1",J:K,2,FALSE),"")</f>
        <v/>
      </c>
      <c r="O315" t="str">
        <f t="shared" si="35"/>
        <v xml:space="preserve">      805:
        name: SONY TV Asia HD</v>
      </c>
    </row>
    <row r="316" spans="1:15" x14ac:dyDescent="0.25">
      <c r="A316">
        <v>806</v>
      </c>
      <c r="B316" t="s">
        <v>707</v>
      </c>
      <c r="D316" t="s">
        <v>302</v>
      </c>
      <c r="E316" t="s">
        <v>302</v>
      </c>
      <c r="J316" t="str">
        <f t="shared" si="33"/>
        <v>SONY Max HD</v>
      </c>
      <c r="K316">
        <f t="shared" si="34"/>
        <v>806</v>
      </c>
      <c r="L316" t="str">
        <f>IF(NOT(ISERROR(VLOOKUP(B316&amp;" HD",B:B,1,FALSE))),VLOOKUP(B316&amp;" HD",J:K,2,FALSE),"")</f>
        <v/>
      </c>
      <c r="M316" t="str">
        <f>IF(NOT(ISERROR(VLOOKUP(B316&amp;" +1",B:B,1,FALSE))),VLOOKUP(B316&amp;" +1",J:K,2,FALSE),"")</f>
        <v/>
      </c>
      <c r="O316" t="str">
        <f t="shared" si="35"/>
        <v xml:space="preserve">      806:
        name: SONY Max HD</v>
      </c>
    </row>
    <row r="317" spans="1:15" x14ac:dyDescent="0.25">
      <c r="A317">
        <v>807</v>
      </c>
      <c r="B317" t="s">
        <v>709</v>
      </c>
      <c r="D317" t="s">
        <v>302</v>
      </c>
      <c r="E317" t="s">
        <v>302</v>
      </c>
      <c r="J317" t="str">
        <f t="shared" si="33"/>
        <v>SONY SAB</v>
      </c>
      <c r="K317">
        <f t="shared" si="34"/>
        <v>807</v>
      </c>
      <c r="L317" t="str">
        <f>IF(NOT(ISERROR(VLOOKUP(B317&amp;" HD",B:B,1,FALSE))),VLOOKUP(B317&amp;" HD",J:K,2,FALSE),"")</f>
        <v/>
      </c>
      <c r="M317" t="str">
        <f>IF(NOT(ISERROR(VLOOKUP(B317&amp;" +1",B:B,1,FALSE))),VLOOKUP(B317&amp;" +1",J:K,2,FALSE),"")</f>
        <v/>
      </c>
      <c r="O317" t="str">
        <f t="shared" si="35"/>
        <v xml:space="preserve">      807:
        name: SONY SAB</v>
      </c>
    </row>
    <row r="318" spans="1:15" x14ac:dyDescent="0.25">
      <c r="A318">
        <v>809</v>
      </c>
      <c r="B318" t="s">
        <v>711</v>
      </c>
      <c r="D318" t="s">
        <v>302</v>
      </c>
      <c r="E318" t="s">
        <v>302</v>
      </c>
      <c r="J318" t="str">
        <f t="shared" si="33"/>
        <v>Zee TV HD</v>
      </c>
      <c r="K318">
        <f t="shared" si="34"/>
        <v>809</v>
      </c>
      <c r="L318" t="str">
        <f>IF(NOT(ISERROR(VLOOKUP(B318&amp;" HD",B:B,1,FALSE))),VLOOKUP(B318&amp;" HD",J:K,2,FALSE),"")</f>
        <v/>
      </c>
      <c r="M318" t="str">
        <f>IF(NOT(ISERROR(VLOOKUP(B318&amp;" +1",B:B,1,FALSE))),VLOOKUP(B318&amp;" +1",J:K,2,FALSE),"")</f>
        <v/>
      </c>
      <c r="O318" t="str">
        <f t="shared" si="35"/>
        <v xml:space="preserve">      809:
        name: Zee TV HD</v>
      </c>
    </row>
    <row r="319" spans="1:15" x14ac:dyDescent="0.25">
      <c r="A319">
        <v>810</v>
      </c>
      <c r="B319" t="s">
        <v>713</v>
      </c>
      <c r="D319" t="s">
        <v>302</v>
      </c>
      <c r="E319" t="s">
        <v>302</v>
      </c>
      <c r="J319" t="str">
        <f t="shared" si="33"/>
        <v>Zee Cinema HD</v>
      </c>
      <c r="K319">
        <f t="shared" si="34"/>
        <v>810</v>
      </c>
      <c r="L319" t="str">
        <f>IF(NOT(ISERROR(VLOOKUP(B319&amp;" HD",B:B,1,FALSE))),VLOOKUP(B319&amp;" HD",J:K,2,FALSE),"")</f>
        <v/>
      </c>
      <c r="M319" t="str">
        <f>IF(NOT(ISERROR(VLOOKUP(B319&amp;" +1",B:B,1,FALSE))),VLOOKUP(B319&amp;" +1",J:K,2,FALSE),"")</f>
        <v/>
      </c>
      <c r="O319" t="str">
        <f t="shared" si="35"/>
        <v xml:space="preserve">      810:
        name: Zee Cinema HD</v>
      </c>
    </row>
    <row r="320" spans="1:15" x14ac:dyDescent="0.25">
      <c r="A320">
        <v>811</v>
      </c>
      <c r="B320" s="2" t="str">
        <f>"'&amp;TV'"</f>
        <v>'&amp;TV'</v>
      </c>
      <c r="D320" t="s">
        <v>302</v>
      </c>
      <c r="E320" t="s">
        <v>302</v>
      </c>
      <c r="J320" t="str">
        <f t="shared" si="33"/>
        <v>'&amp;TV'</v>
      </c>
      <c r="K320">
        <f t="shared" si="34"/>
        <v>811</v>
      </c>
      <c r="L320" t="str">
        <f>IF(NOT(ISERROR(VLOOKUP(B320&amp;" HD",B:B,1,FALSE))),VLOOKUP(B320&amp;" HD",J:K,2,FALSE),"")</f>
        <v/>
      </c>
      <c r="M320" t="str">
        <f>IF(NOT(ISERROR(VLOOKUP(B320&amp;" +1",B:B,1,FALSE))),VLOOKUP(B320&amp;" +1",J:K,2,FALSE),"")</f>
        <v/>
      </c>
      <c r="O320" t="str">
        <f t="shared" si="35"/>
        <v xml:space="preserve">      811:
        name: '&amp;TV'</v>
      </c>
    </row>
    <row r="321" spans="1:15" x14ac:dyDescent="0.25">
      <c r="A321">
        <v>812</v>
      </c>
      <c r="B321" t="s">
        <v>717</v>
      </c>
      <c r="D321" t="s">
        <v>302</v>
      </c>
      <c r="E321" t="s">
        <v>302</v>
      </c>
      <c r="J321" t="str">
        <f t="shared" si="33"/>
        <v>Living Foodz HD</v>
      </c>
      <c r="K321">
        <f t="shared" si="34"/>
        <v>812</v>
      </c>
      <c r="L321" t="str">
        <f>IF(NOT(ISERROR(VLOOKUP(B321&amp;" HD",B:B,1,FALSE))),VLOOKUP(B321&amp;" HD",J:K,2,FALSE),"")</f>
        <v/>
      </c>
      <c r="M321" t="str">
        <f>IF(NOT(ISERROR(VLOOKUP(B321&amp;" +1",B:B,1,FALSE))),VLOOKUP(B321&amp;" +1",J:K,2,FALSE),"")</f>
        <v/>
      </c>
      <c r="O321" t="str">
        <f t="shared" si="35"/>
        <v xml:space="preserve">      812:
        name: Living Foodz HD</v>
      </c>
    </row>
    <row r="322" spans="1:15" x14ac:dyDescent="0.25">
      <c r="A322">
        <v>813</v>
      </c>
      <c r="B322" t="s">
        <v>259</v>
      </c>
      <c r="D322" t="s">
        <v>302</v>
      </c>
      <c r="E322" t="s">
        <v>302</v>
      </c>
      <c r="J322" t="str">
        <f t="shared" si="33"/>
        <v>Zing</v>
      </c>
      <c r="K322">
        <f t="shared" si="34"/>
        <v>813</v>
      </c>
      <c r="L322" t="str">
        <f>IF(NOT(ISERROR(VLOOKUP(B322&amp;" HD",B:B,1,FALSE))),VLOOKUP(B322&amp;" HD",J:K,2,FALSE),"")</f>
        <v/>
      </c>
      <c r="M322" t="str">
        <f>IF(NOT(ISERROR(VLOOKUP(B322&amp;" +1",B:B,1,FALSE))),VLOOKUP(B322&amp;" +1",J:K,2,FALSE),"")</f>
        <v/>
      </c>
      <c r="O322" t="str">
        <f t="shared" si="35"/>
        <v xml:space="preserve">      813:
        name: Zing</v>
      </c>
    </row>
    <row r="323" spans="1:15" x14ac:dyDescent="0.25">
      <c r="A323">
        <v>815</v>
      </c>
      <c r="B323" t="s">
        <v>260</v>
      </c>
      <c r="D323" t="s">
        <v>302</v>
      </c>
      <c r="E323" t="s">
        <v>302</v>
      </c>
      <c r="J323" t="str">
        <f t="shared" si="33"/>
        <v>B4U Movies</v>
      </c>
      <c r="K323">
        <f t="shared" si="34"/>
        <v>815</v>
      </c>
      <c r="L323" t="str">
        <f>IF(NOT(ISERROR(VLOOKUP(B323&amp;" HD",B:B,1,FALSE))),VLOOKUP(B323&amp;" HD",J:K,2,FALSE),"")</f>
        <v/>
      </c>
      <c r="M323" t="str">
        <f>IF(NOT(ISERROR(VLOOKUP(B323&amp;" +1",B:B,1,FALSE))),VLOOKUP(B323&amp;" +1",J:K,2,FALSE),"")</f>
        <v/>
      </c>
      <c r="O323" t="str">
        <f t="shared" si="35"/>
        <v xml:space="preserve">      815:
        name: B4U Movies</v>
      </c>
    </row>
    <row r="324" spans="1:15" x14ac:dyDescent="0.25">
      <c r="A324">
        <v>816</v>
      </c>
      <c r="B324" t="s">
        <v>261</v>
      </c>
      <c r="D324" t="s">
        <v>302</v>
      </c>
      <c r="E324" t="s">
        <v>302</v>
      </c>
      <c r="J324" t="str">
        <f t="shared" si="33"/>
        <v>B4U Music</v>
      </c>
      <c r="K324">
        <f t="shared" si="34"/>
        <v>816</v>
      </c>
      <c r="L324" t="str">
        <f>IF(NOT(ISERROR(VLOOKUP(B324&amp;" HD",B:B,1,FALSE))),VLOOKUP(B324&amp;" HD",J:K,2,FALSE),"")</f>
        <v/>
      </c>
      <c r="M324" t="str">
        <f>IF(NOT(ISERROR(VLOOKUP(B324&amp;" +1",B:B,1,FALSE))),VLOOKUP(B324&amp;" +1",J:K,2,FALSE),"")</f>
        <v/>
      </c>
      <c r="O324" t="str">
        <f t="shared" si="35"/>
        <v xml:space="preserve">      816:
        name: B4U Music</v>
      </c>
    </row>
    <row r="325" spans="1:15" x14ac:dyDescent="0.25">
      <c r="A325">
        <v>825</v>
      </c>
      <c r="B325" t="s">
        <v>722</v>
      </c>
      <c r="D325" t="s">
        <v>302</v>
      </c>
      <c r="E325" t="s">
        <v>302</v>
      </c>
      <c r="J325" t="str">
        <f t="shared" si="33"/>
        <v>TV5MONDE</v>
      </c>
      <c r="K325">
        <f t="shared" si="34"/>
        <v>825</v>
      </c>
      <c r="L325" t="str">
        <f>IF(NOT(ISERROR(VLOOKUP(B325&amp;" HD",B:B,1,FALSE))),VLOOKUP(B325&amp;" HD",J:K,2,FALSE),"")</f>
        <v/>
      </c>
      <c r="M325" t="str">
        <f>IF(NOT(ISERROR(VLOOKUP(B325&amp;" +1",B:B,1,FALSE))),VLOOKUP(B325&amp;" +1",J:K,2,FALSE),"")</f>
        <v/>
      </c>
      <c r="O325" t="str">
        <f t="shared" si="35"/>
        <v xml:space="preserve">      825:
        name: TV5MONDE</v>
      </c>
    </row>
    <row r="326" spans="1:15" x14ac:dyDescent="0.25">
      <c r="A326">
        <v>826</v>
      </c>
      <c r="B326" t="s">
        <v>724</v>
      </c>
      <c r="D326" t="s">
        <v>302</v>
      </c>
      <c r="E326" t="s">
        <v>302</v>
      </c>
      <c r="J326" t="str">
        <f t="shared" si="33"/>
        <v>Colors</v>
      </c>
      <c r="K326">
        <f t="shared" si="34"/>
        <v>826</v>
      </c>
      <c r="L326" t="str">
        <f>IF(NOT(ISERROR(VLOOKUP(B326&amp;" HD",B:B,1,FALSE))),VLOOKUP(B326&amp;" HD",J:K,2,FALSE),"")</f>
        <v/>
      </c>
      <c r="M326" t="str">
        <f>IF(NOT(ISERROR(VLOOKUP(B326&amp;" +1",B:B,1,FALSE))),VLOOKUP(B326&amp;" +1",J:K,2,FALSE),"")</f>
        <v/>
      </c>
      <c r="O326" t="str">
        <f t="shared" si="35"/>
        <v xml:space="preserve">      826:
        name: Colors</v>
      </c>
    </row>
    <row r="327" spans="1:15" x14ac:dyDescent="0.25">
      <c r="A327">
        <v>827</v>
      </c>
      <c r="B327" t="s">
        <v>726</v>
      </c>
      <c r="D327" t="s">
        <v>302</v>
      </c>
      <c r="E327" t="s">
        <v>302</v>
      </c>
      <c r="J327" t="str">
        <f t="shared" si="33"/>
        <v>Rishtey Europe</v>
      </c>
      <c r="K327">
        <f t="shared" si="34"/>
        <v>827</v>
      </c>
      <c r="L327" t="str">
        <f>IF(NOT(ISERROR(VLOOKUP(B327&amp;" HD",B:B,1,FALSE))),VLOOKUP(B327&amp;" HD",J:K,2,FALSE),"")</f>
        <v/>
      </c>
      <c r="M327" t="str">
        <f>IF(NOT(ISERROR(VLOOKUP(B327&amp;" +1",B:B,1,FALSE))),VLOOKUP(B327&amp;" +1",J:K,2,FALSE),"")</f>
        <v/>
      </c>
      <c r="O327" t="str">
        <f t="shared" si="35"/>
        <v xml:space="preserve">      827:
        name: Rishtey Europe</v>
      </c>
    </row>
    <row r="328" spans="1:15" x14ac:dyDescent="0.25">
      <c r="A328">
        <v>828</v>
      </c>
      <c r="B328" t="s">
        <v>262</v>
      </c>
      <c r="D328" t="s">
        <v>302</v>
      </c>
      <c r="E328" t="s">
        <v>302</v>
      </c>
      <c r="J328" t="str">
        <f t="shared" si="33"/>
        <v>Rishtey Cineplex</v>
      </c>
      <c r="K328">
        <f t="shared" si="34"/>
        <v>828</v>
      </c>
      <c r="L328" t="str">
        <f>IF(NOT(ISERROR(VLOOKUP(B328&amp;" HD",B:B,1,FALSE))),VLOOKUP(B328&amp;" HD",J:K,2,FALSE),"")</f>
        <v/>
      </c>
      <c r="M328" t="str">
        <f>IF(NOT(ISERROR(VLOOKUP(B328&amp;" +1",B:B,1,FALSE))),VLOOKUP(B328&amp;" +1",J:K,2,FALSE),"")</f>
        <v/>
      </c>
      <c r="O328" t="str">
        <f t="shared" si="35"/>
        <v xml:space="preserve">      828:
        name: Rishtey Cineplex</v>
      </c>
    </row>
    <row r="329" spans="1:15" x14ac:dyDescent="0.25">
      <c r="A329">
        <v>829</v>
      </c>
      <c r="B329" t="s">
        <v>263</v>
      </c>
      <c r="D329" t="s">
        <v>302</v>
      </c>
      <c r="E329" t="s">
        <v>302</v>
      </c>
      <c r="J329" t="str">
        <f t="shared" si="33"/>
        <v>NDTV Good Times</v>
      </c>
      <c r="K329">
        <f t="shared" si="34"/>
        <v>829</v>
      </c>
      <c r="L329" t="str">
        <f>IF(NOT(ISERROR(VLOOKUP(B329&amp;" HD",B:B,1,FALSE))),VLOOKUP(B329&amp;" HD",J:K,2,FALSE),"")</f>
        <v/>
      </c>
      <c r="M329" t="str">
        <f>IF(NOT(ISERROR(VLOOKUP(B329&amp;" +1",B:B,1,FALSE))),VLOOKUP(B329&amp;" +1",J:K,2,FALSE),"")</f>
        <v/>
      </c>
      <c r="O329" t="str">
        <f t="shared" si="35"/>
        <v xml:space="preserve">      829:
        name: NDTV Good Times</v>
      </c>
    </row>
    <row r="330" spans="1:15" x14ac:dyDescent="0.25">
      <c r="A330">
        <v>831</v>
      </c>
      <c r="B330" t="s">
        <v>264</v>
      </c>
      <c r="D330" t="s">
        <v>302</v>
      </c>
      <c r="E330" t="s">
        <v>302</v>
      </c>
      <c r="J330" t="str">
        <f t="shared" si="33"/>
        <v>Al Jazeera Arabic</v>
      </c>
      <c r="K330">
        <f t="shared" si="34"/>
        <v>831</v>
      </c>
      <c r="L330" t="str">
        <f>IF(NOT(ISERROR(VLOOKUP(B330&amp;" HD",B:B,1,FALSE))),VLOOKUP(B330&amp;" HD",J:K,2,FALSE),"")</f>
        <v/>
      </c>
      <c r="M330" t="str">
        <f>IF(NOT(ISERROR(VLOOKUP(B330&amp;" +1",B:B,1,FALSE))),VLOOKUP(B330&amp;" +1",J:K,2,FALSE),"")</f>
        <v/>
      </c>
      <c r="O330" t="str">
        <f t="shared" si="35"/>
        <v xml:space="preserve">      831:
        name: Al Jazeera Arabic</v>
      </c>
    </row>
    <row r="331" spans="1:15" x14ac:dyDescent="0.25">
      <c r="A331">
        <v>832</v>
      </c>
      <c r="B331" t="s">
        <v>731</v>
      </c>
      <c r="D331" t="s">
        <v>302</v>
      </c>
      <c r="E331" t="s">
        <v>302</v>
      </c>
      <c r="J331" t="str">
        <f t="shared" si="33"/>
        <v>France 24 French HD</v>
      </c>
      <c r="K331">
        <f t="shared" si="34"/>
        <v>832</v>
      </c>
      <c r="L331" t="str">
        <f>IF(NOT(ISERROR(VLOOKUP(B331&amp;" HD",B:B,1,FALSE))),VLOOKUP(B331&amp;" HD",J:K,2,FALSE),"")</f>
        <v/>
      </c>
      <c r="M331" t="str">
        <f>IF(NOT(ISERROR(VLOOKUP(B331&amp;" +1",B:B,1,FALSE))),VLOOKUP(B331&amp;" +1",J:K,2,FALSE),"")</f>
        <v/>
      </c>
      <c r="O331" t="str">
        <f t="shared" si="35"/>
        <v xml:space="preserve">      832:
        name: France 24 French HD</v>
      </c>
    </row>
    <row r="332" spans="1:15" x14ac:dyDescent="0.25">
      <c r="A332">
        <v>833</v>
      </c>
      <c r="B332" t="s">
        <v>265</v>
      </c>
      <c r="D332" t="s">
        <v>302</v>
      </c>
      <c r="E332" t="s">
        <v>302</v>
      </c>
      <c r="J332" t="str">
        <f t="shared" si="33"/>
        <v>Hum Europe</v>
      </c>
      <c r="K332">
        <f t="shared" si="34"/>
        <v>833</v>
      </c>
      <c r="L332" t="str">
        <f>IF(NOT(ISERROR(VLOOKUP(B332&amp;" HD",B:B,1,FALSE))),VLOOKUP(B332&amp;" HD",J:K,2,FALSE),"")</f>
        <v/>
      </c>
      <c r="M332" t="str">
        <f>IF(NOT(ISERROR(VLOOKUP(B332&amp;" +1",B:B,1,FALSE))),VLOOKUP(B332&amp;" +1",J:K,2,FALSE),"")</f>
        <v/>
      </c>
      <c r="O332" t="str">
        <f t="shared" si="35"/>
        <v xml:space="preserve">      833:
        name: Hum Europe</v>
      </c>
    </row>
    <row r="333" spans="1:15" x14ac:dyDescent="0.25">
      <c r="A333">
        <v>834</v>
      </c>
      <c r="B333" t="s">
        <v>12</v>
      </c>
      <c r="D333" t="s">
        <v>302</v>
      </c>
      <c r="E333" t="s">
        <v>302</v>
      </c>
      <c r="J333" t="str">
        <f t="shared" si="33"/>
        <v>Worldbox</v>
      </c>
      <c r="K333">
        <f t="shared" si="34"/>
        <v>834</v>
      </c>
      <c r="L333" t="str">
        <f>IF(NOT(ISERROR(VLOOKUP(B333&amp;" HD",B:B,1,FALSE))),VLOOKUP(B333&amp;" HD",J:K,2,FALSE),"")</f>
        <v/>
      </c>
      <c r="M333" t="str">
        <f>IF(NOT(ISERROR(VLOOKUP(B333&amp;" +1",B:B,1,FALSE))),VLOOKUP(B333&amp;" +1",J:K,2,FALSE),"")</f>
        <v/>
      </c>
      <c r="O333" t="str">
        <f t="shared" si="35"/>
        <v xml:space="preserve">      834:
        name: Worldbox</v>
      </c>
    </row>
    <row r="334" spans="1:15" x14ac:dyDescent="0.25">
      <c r="A334">
        <v>836</v>
      </c>
      <c r="B334" t="s">
        <v>266</v>
      </c>
      <c r="D334" t="s">
        <v>302</v>
      </c>
      <c r="E334" t="s">
        <v>302</v>
      </c>
      <c r="J334" t="str">
        <f t="shared" ref="J334:J397" si="39">B334</f>
        <v>NDTV India</v>
      </c>
      <c r="K334">
        <f t="shared" ref="K334:K397" si="40">A334</f>
        <v>836</v>
      </c>
      <c r="L334" t="str">
        <f>IF(NOT(ISERROR(VLOOKUP(B334&amp;" HD",B:B,1,FALSE))),VLOOKUP(B334&amp;" HD",J:K,2,FALSE),"")</f>
        <v/>
      </c>
      <c r="M334" t="str">
        <f>IF(NOT(ISERROR(VLOOKUP(B334&amp;" +1",B:B,1,FALSE))),VLOOKUP(B334&amp;" +1",J:K,2,FALSE),"")</f>
        <v/>
      </c>
      <c r="O334" t="str">
        <f t="shared" ref="O334:O397" si="41">SUBSTITUTE(CONCATENATE("      ",A334,":","\nname: ",B334,IF(C334&lt;&gt;"","\nshow: "&amp;C334,""),IF(D334&lt;&gt;"","\nhd_channel: "&amp;D334,""),IF(E334&lt;&gt;"","\nplus_one: "&amp;E334,""),IF(F334&lt;&gt;"","\nlogo: "&amp;F334,""),IF(G334&lt;&gt;"","\ntarget: "&amp;G334,""),IF(H334&lt;&gt;"","\nsource: "&amp;H334,"")),"\n",CHAR(10)&amp;"        ")</f>
        <v xml:space="preserve">      836:
        name: NDTV India</v>
      </c>
    </row>
    <row r="335" spans="1:15" x14ac:dyDescent="0.25">
      <c r="A335">
        <v>837</v>
      </c>
      <c r="B335" t="s">
        <v>267</v>
      </c>
      <c r="D335" t="s">
        <v>302</v>
      </c>
      <c r="E335" t="s">
        <v>302</v>
      </c>
      <c r="J335" t="str">
        <f t="shared" si="39"/>
        <v>NDTV Spice</v>
      </c>
      <c r="K335">
        <f t="shared" si="40"/>
        <v>837</v>
      </c>
      <c r="L335" t="str">
        <f>IF(NOT(ISERROR(VLOOKUP(B335&amp;" HD",B:B,1,FALSE))),VLOOKUP(B335&amp;" HD",J:K,2,FALSE),"")</f>
        <v/>
      </c>
      <c r="M335" t="str">
        <f>IF(NOT(ISERROR(VLOOKUP(B335&amp;" +1",B:B,1,FALSE))),VLOOKUP(B335&amp;" +1",J:K,2,FALSE),"")</f>
        <v/>
      </c>
      <c r="O335" t="str">
        <f t="shared" si="41"/>
        <v xml:space="preserve">      837:
        name: NDTV Spice</v>
      </c>
    </row>
    <row r="336" spans="1:15" x14ac:dyDescent="0.25">
      <c r="A336">
        <v>838</v>
      </c>
      <c r="B336" t="s">
        <v>737</v>
      </c>
      <c r="D336" t="s">
        <v>302</v>
      </c>
      <c r="E336" t="s">
        <v>302</v>
      </c>
      <c r="J336" t="str">
        <f t="shared" si="39"/>
        <v>Islam Channel</v>
      </c>
      <c r="K336">
        <f t="shared" si="40"/>
        <v>838</v>
      </c>
      <c r="L336" t="str">
        <f>IF(NOT(ISERROR(VLOOKUP(B336&amp;" HD",B:B,1,FALSE))),VLOOKUP(B336&amp;" HD",J:K,2,FALSE),"")</f>
        <v/>
      </c>
      <c r="M336" t="str">
        <f>IF(NOT(ISERROR(VLOOKUP(B336&amp;" +1",B:B,1,FALSE))),VLOOKUP(B336&amp;" +1",J:K,2,FALSE),"")</f>
        <v/>
      </c>
      <c r="O336" t="str">
        <f t="shared" si="41"/>
        <v xml:space="preserve">      838:
        name: Islam Channel</v>
      </c>
    </row>
    <row r="337" spans="1:15" x14ac:dyDescent="0.25">
      <c r="A337">
        <v>839</v>
      </c>
      <c r="B337" t="s">
        <v>268</v>
      </c>
      <c r="D337" t="s">
        <v>302</v>
      </c>
      <c r="E337" t="s">
        <v>302</v>
      </c>
      <c r="J337" t="str">
        <f t="shared" si="39"/>
        <v>Islam Channel Urdu</v>
      </c>
      <c r="K337">
        <f t="shared" si="40"/>
        <v>839</v>
      </c>
      <c r="L337" t="str">
        <f>IF(NOT(ISERROR(VLOOKUP(B337&amp;" HD",B:B,1,FALSE))),VLOOKUP(B337&amp;" HD",J:K,2,FALSE),"")</f>
        <v/>
      </c>
      <c r="M337" t="str">
        <f>IF(NOT(ISERROR(VLOOKUP(B337&amp;" +1",B:B,1,FALSE))),VLOOKUP(B337&amp;" +1",J:K,2,FALSE),"")</f>
        <v/>
      </c>
      <c r="O337" t="str">
        <f t="shared" si="41"/>
        <v xml:space="preserve">      839:
        name: Islam Channel Urdu</v>
      </c>
    </row>
    <row r="338" spans="1:15" x14ac:dyDescent="0.25">
      <c r="A338">
        <v>840</v>
      </c>
      <c r="B338" t="s">
        <v>740</v>
      </c>
      <c r="D338" t="s">
        <v>302</v>
      </c>
      <c r="E338" t="s">
        <v>302</v>
      </c>
      <c r="J338" t="str">
        <f t="shared" si="39"/>
        <v>BritAsia TV</v>
      </c>
      <c r="K338">
        <f t="shared" si="40"/>
        <v>840</v>
      </c>
      <c r="L338" t="str">
        <f>IF(NOT(ISERROR(VLOOKUP(B338&amp;" HD",B:B,1,FALSE))),VLOOKUP(B338&amp;" HD",J:K,2,FALSE),"")</f>
        <v/>
      </c>
      <c r="M338" t="str">
        <f>IF(NOT(ISERROR(VLOOKUP(B338&amp;" +1",B:B,1,FALSE))),VLOOKUP(B338&amp;" +1",J:K,2,FALSE),"")</f>
        <v/>
      </c>
      <c r="O338" t="str">
        <f t="shared" si="41"/>
        <v xml:space="preserve">      840:
        name: BritAsia TV</v>
      </c>
    </row>
    <row r="339" spans="1:15" x14ac:dyDescent="0.25">
      <c r="A339">
        <v>841</v>
      </c>
      <c r="B339" t="s">
        <v>269</v>
      </c>
      <c r="D339" t="s">
        <v>302</v>
      </c>
      <c r="E339" t="s">
        <v>302</v>
      </c>
      <c r="J339" t="str">
        <f t="shared" si="39"/>
        <v>MTV Beats</v>
      </c>
      <c r="K339">
        <f t="shared" si="40"/>
        <v>841</v>
      </c>
      <c r="L339" t="str">
        <f>IF(NOT(ISERROR(VLOOKUP(B339&amp;" HD",B:B,1,FALSE))),VLOOKUP(B339&amp;" HD",J:K,2,FALSE),"")</f>
        <v/>
      </c>
      <c r="M339" t="str">
        <f>IF(NOT(ISERROR(VLOOKUP(B339&amp;" +1",B:B,1,FALSE))),VLOOKUP(B339&amp;" +1",J:K,2,FALSE),"")</f>
        <v/>
      </c>
      <c r="O339" t="str">
        <f t="shared" si="41"/>
        <v xml:space="preserve">      841:
        name: MTV Beats</v>
      </c>
    </row>
    <row r="340" spans="1:15" x14ac:dyDescent="0.25">
      <c r="A340">
        <v>842</v>
      </c>
      <c r="B340" t="s">
        <v>743</v>
      </c>
      <c r="D340" t="s">
        <v>302</v>
      </c>
      <c r="E340" t="s">
        <v>302</v>
      </c>
      <c r="J340" t="str">
        <f t="shared" si="39"/>
        <v>ABN</v>
      </c>
      <c r="K340">
        <f t="shared" si="40"/>
        <v>842</v>
      </c>
      <c r="L340" t="str">
        <f>IF(NOT(ISERROR(VLOOKUP(B340&amp;" HD",B:B,1,FALSE))),VLOOKUP(B340&amp;" HD",J:K,2,FALSE),"")</f>
        <v/>
      </c>
      <c r="M340" t="str">
        <f>IF(NOT(ISERROR(VLOOKUP(B340&amp;" +1",B:B,1,FALSE))),VLOOKUP(B340&amp;" +1",J:K,2,FALSE),"")</f>
        <v/>
      </c>
      <c r="O340" t="str">
        <f t="shared" si="41"/>
        <v xml:space="preserve">      842:
        name: ABN</v>
      </c>
    </row>
    <row r="341" spans="1:15" x14ac:dyDescent="0.25">
      <c r="A341">
        <v>851</v>
      </c>
      <c r="B341" t="s">
        <v>745</v>
      </c>
      <c r="D341" t="s">
        <v>302</v>
      </c>
      <c r="E341" t="s">
        <v>302</v>
      </c>
      <c r="J341" t="str">
        <f t="shared" si="39"/>
        <v>BBC One AD</v>
      </c>
      <c r="K341">
        <f t="shared" si="40"/>
        <v>851</v>
      </c>
      <c r="L341" t="str">
        <f>IF(NOT(ISERROR(VLOOKUP(B341&amp;" HD",B:B,1,FALSE))),VLOOKUP(B341&amp;" HD",J:K,2,FALSE),"")</f>
        <v/>
      </c>
      <c r="M341" t="str">
        <f>IF(NOT(ISERROR(VLOOKUP(B341&amp;" +1",B:B,1,FALSE))),VLOOKUP(B341&amp;" +1",J:K,2,FALSE),"")</f>
        <v/>
      </c>
      <c r="O341" t="str">
        <f t="shared" si="41"/>
        <v xml:space="preserve">      851:
        name: BBC One AD</v>
      </c>
    </row>
    <row r="342" spans="1:15" x14ac:dyDescent="0.25">
      <c r="A342">
        <v>852</v>
      </c>
      <c r="B342" t="s">
        <v>747</v>
      </c>
      <c r="D342" t="s">
        <v>302</v>
      </c>
      <c r="E342" t="s">
        <v>302</v>
      </c>
      <c r="J342" t="str">
        <f t="shared" si="39"/>
        <v>BBC Two AD</v>
      </c>
      <c r="K342">
        <f t="shared" si="40"/>
        <v>852</v>
      </c>
      <c r="L342" t="str">
        <f>IF(NOT(ISERROR(VLOOKUP(B342&amp;" HD",B:B,1,FALSE))),VLOOKUP(B342&amp;" HD",J:K,2,FALSE),"")</f>
        <v/>
      </c>
      <c r="M342" t="str">
        <f>IF(NOT(ISERROR(VLOOKUP(B342&amp;" +1",B:B,1,FALSE))),VLOOKUP(B342&amp;" +1",J:K,2,FALSE),"")</f>
        <v/>
      </c>
      <c r="O342" t="str">
        <f t="shared" si="41"/>
        <v xml:space="preserve">      852:
        name: BBC Two AD</v>
      </c>
    </row>
    <row r="343" spans="1:15" x14ac:dyDescent="0.25">
      <c r="A343">
        <v>853</v>
      </c>
      <c r="B343" t="s">
        <v>749</v>
      </c>
      <c r="D343" t="s">
        <v>302</v>
      </c>
      <c r="E343" t="s">
        <v>302</v>
      </c>
      <c r="J343" t="str">
        <f t="shared" si="39"/>
        <v>ITV AD</v>
      </c>
      <c r="K343">
        <f t="shared" si="40"/>
        <v>853</v>
      </c>
      <c r="L343" t="str">
        <f>IF(NOT(ISERROR(VLOOKUP(B343&amp;" HD",B:B,1,FALSE))),VLOOKUP(B343&amp;" HD",J:K,2,FALSE),"")</f>
        <v/>
      </c>
      <c r="M343" t="str">
        <f>IF(NOT(ISERROR(VLOOKUP(B343&amp;" +1",B:B,1,FALSE))),VLOOKUP(B343&amp;" +1",J:K,2,FALSE),"")</f>
        <v/>
      </c>
      <c r="O343" t="str">
        <f t="shared" si="41"/>
        <v xml:space="preserve">      853:
        name: ITV AD</v>
      </c>
    </row>
    <row r="344" spans="1:15" x14ac:dyDescent="0.25">
      <c r="A344">
        <v>854</v>
      </c>
      <c r="B344" t="s">
        <v>751</v>
      </c>
      <c r="D344" t="s">
        <v>302</v>
      </c>
      <c r="E344" t="s">
        <v>302</v>
      </c>
      <c r="J344" t="str">
        <f t="shared" si="39"/>
        <v>Channel 4 AD</v>
      </c>
      <c r="K344">
        <f t="shared" si="40"/>
        <v>854</v>
      </c>
      <c r="L344" t="str">
        <f>IF(NOT(ISERROR(VLOOKUP(B344&amp;" HD",B:B,1,FALSE))),VLOOKUP(B344&amp;" HD",J:K,2,FALSE),"")</f>
        <v/>
      </c>
      <c r="M344" t="str">
        <f>IF(NOT(ISERROR(VLOOKUP(B344&amp;" +1",B:B,1,FALSE))),VLOOKUP(B344&amp;" +1",J:K,2,FALSE),"")</f>
        <v/>
      </c>
      <c r="O344" t="str">
        <f t="shared" si="41"/>
        <v xml:space="preserve">      854:
        name: Channel 4 AD</v>
      </c>
    </row>
    <row r="345" spans="1:15" x14ac:dyDescent="0.25">
      <c r="A345">
        <v>855</v>
      </c>
      <c r="B345" t="s">
        <v>753</v>
      </c>
      <c r="D345" t="s">
        <v>302</v>
      </c>
      <c r="E345" t="s">
        <v>302</v>
      </c>
      <c r="J345" t="str">
        <f t="shared" si="39"/>
        <v>Channel 5 AD</v>
      </c>
      <c r="K345">
        <f t="shared" si="40"/>
        <v>855</v>
      </c>
      <c r="L345" t="str">
        <f>IF(NOT(ISERROR(VLOOKUP(B345&amp;" HD",B:B,1,FALSE))),VLOOKUP(B345&amp;" HD",J:K,2,FALSE),"")</f>
        <v/>
      </c>
      <c r="M345" t="str">
        <f>IF(NOT(ISERROR(VLOOKUP(B345&amp;" +1",B:B,1,FALSE))),VLOOKUP(B345&amp;" +1",J:K,2,FALSE),"")</f>
        <v/>
      </c>
      <c r="O345" t="str">
        <f t="shared" si="41"/>
        <v xml:space="preserve">      855:
        name: Channel 5 AD</v>
      </c>
    </row>
    <row r="346" spans="1:15" x14ac:dyDescent="0.25">
      <c r="A346">
        <v>856</v>
      </c>
      <c r="B346" t="s">
        <v>755</v>
      </c>
      <c r="D346" t="s">
        <v>302</v>
      </c>
      <c r="E346" t="s">
        <v>302</v>
      </c>
      <c r="J346" t="str">
        <f t="shared" si="39"/>
        <v>S4C AD</v>
      </c>
      <c r="K346">
        <f t="shared" si="40"/>
        <v>856</v>
      </c>
      <c r="L346" t="str">
        <f>IF(NOT(ISERROR(VLOOKUP(B346&amp;" HD",B:B,1,FALSE))),VLOOKUP(B346&amp;" HD",J:K,2,FALSE),"")</f>
        <v/>
      </c>
      <c r="M346" t="str">
        <f>IF(NOT(ISERROR(VLOOKUP(B346&amp;" +1",B:B,1,FALSE))),VLOOKUP(B346&amp;" +1",J:K,2,FALSE),"")</f>
        <v/>
      </c>
      <c r="O346" t="str">
        <f t="shared" si="41"/>
        <v xml:space="preserve">      856:
        name: S4C AD</v>
      </c>
    </row>
    <row r="347" spans="1:15" x14ac:dyDescent="0.25">
      <c r="A347">
        <v>861</v>
      </c>
      <c r="B347" t="s">
        <v>270</v>
      </c>
      <c r="D347" t="s">
        <v>302</v>
      </c>
      <c r="E347" t="s">
        <v>302</v>
      </c>
      <c r="J347" t="str">
        <f t="shared" si="39"/>
        <v>BBC One England</v>
      </c>
      <c r="K347">
        <f t="shared" si="40"/>
        <v>861</v>
      </c>
      <c r="L347" t="str">
        <f>IF(NOT(ISERROR(VLOOKUP(B347&amp;" HD",B:B,1,FALSE))),VLOOKUP(B347&amp;" HD",J:K,2,FALSE),"")</f>
        <v/>
      </c>
      <c r="M347" t="str">
        <f>IF(NOT(ISERROR(VLOOKUP(B347&amp;" +1",B:B,1,FALSE))),VLOOKUP(B347&amp;" +1",J:K,2,FALSE),"")</f>
        <v/>
      </c>
      <c r="O347" t="str">
        <f t="shared" si="41"/>
        <v xml:space="preserve">      861:
        name: BBC One England</v>
      </c>
    </row>
    <row r="348" spans="1:15" x14ac:dyDescent="0.25">
      <c r="A348">
        <v>862</v>
      </c>
      <c r="B348" t="s">
        <v>271</v>
      </c>
      <c r="D348" t="s">
        <v>302</v>
      </c>
      <c r="E348" t="s">
        <v>302</v>
      </c>
      <c r="J348" t="str">
        <f t="shared" si="39"/>
        <v>BBC One Scotland</v>
      </c>
      <c r="K348">
        <f t="shared" si="40"/>
        <v>862</v>
      </c>
      <c r="L348" t="str">
        <f>IF(NOT(ISERROR(VLOOKUP(B348&amp;" HD",B:B,1,FALSE))),VLOOKUP(B348&amp;" HD",J:K,2,FALSE),"")</f>
        <v/>
      </c>
      <c r="M348" t="str">
        <f>IF(NOT(ISERROR(VLOOKUP(B348&amp;" +1",B:B,1,FALSE))),VLOOKUP(B348&amp;" +1",J:K,2,FALSE),"")</f>
        <v/>
      </c>
      <c r="O348" t="str">
        <f t="shared" si="41"/>
        <v xml:space="preserve">      862:
        name: BBC One Scotland</v>
      </c>
    </row>
    <row r="349" spans="1:15" x14ac:dyDescent="0.25">
      <c r="A349">
        <v>863</v>
      </c>
      <c r="B349" t="s">
        <v>759</v>
      </c>
      <c r="D349" t="s">
        <v>302</v>
      </c>
      <c r="E349" t="s">
        <v>302</v>
      </c>
      <c r="J349" t="str">
        <f t="shared" si="39"/>
        <v>BBC One NI</v>
      </c>
      <c r="K349">
        <f t="shared" si="40"/>
        <v>863</v>
      </c>
      <c r="L349" t="str">
        <f>IF(NOT(ISERROR(VLOOKUP(B349&amp;" HD",B:B,1,FALSE))),VLOOKUP(B349&amp;" HD",J:K,2,FALSE),"")</f>
        <v/>
      </c>
      <c r="M349" t="str">
        <f>IF(NOT(ISERROR(VLOOKUP(B349&amp;" +1",B:B,1,FALSE))),VLOOKUP(B349&amp;" +1",J:K,2,FALSE),"")</f>
        <v/>
      </c>
      <c r="O349" t="str">
        <f t="shared" si="41"/>
        <v xml:space="preserve">      863:
        name: BBC One NI</v>
      </c>
    </row>
    <row r="350" spans="1:15" x14ac:dyDescent="0.25">
      <c r="A350">
        <v>864</v>
      </c>
      <c r="B350" t="s">
        <v>272</v>
      </c>
      <c r="D350" t="s">
        <v>302</v>
      </c>
      <c r="E350" t="s">
        <v>302</v>
      </c>
      <c r="J350" t="str">
        <f t="shared" si="39"/>
        <v>BBC One Wales</v>
      </c>
      <c r="K350">
        <f t="shared" si="40"/>
        <v>864</v>
      </c>
      <c r="L350" t="str">
        <f>IF(NOT(ISERROR(VLOOKUP(B350&amp;" HD",B:B,1,FALSE))),VLOOKUP(B350&amp;" HD",J:K,2,FALSE),"")</f>
        <v/>
      </c>
      <c r="M350" t="str">
        <f>IF(NOT(ISERROR(VLOOKUP(B350&amp;" +1",B:B,1,FALSE))),VLOOKUP(B350&amp;" +1",J:K,2,FALSE),"")</f>
        <v/>
      </c>
      <c r="O350" t="str">
        <f t="shared" si="41"/>
        <v xml:space="preserve">      864:
        name: BBC One Wales</v>
      </c>
    </row>
    <row r="351" spans="1:15" x14ac:dyDescent="0.25">
      <c r="A351">
        <v>865</v>
      </c>
      <c r="B351" t="s">
        <v>273</v>
      </c>
      <c r="D351" t="s">
        <v>302</v>
      </c>
      <c r="E351" t="s">
        <v>302</v>
      </c>
      <c r="J351" t="str">
        <f t="shared" si="39"/>
        <v>BBC Two England</v>
      </c>
      <c r="K351">
        <f t="shared" si="40"/>
        <v>865</v>
      </c>
      <c r="L351" t="str">
        <f>IF(NOT(ISERROR(VLOOKUP(B351&amp;" HD",B:B,1,FALSE))),VLOOKUP(B351&amp;" HD",J:K,2,FALSE),"")</f>
        <v/>
      </c>
      <c r="M351" t="str">
        <f>IF(NOT(ISERROR(VLOOKUP(B351&amp;" +1",B:B,1,FALSE))),VLOOKUP(B351&amp;" +1",J:K,2,FALSE),"")</f>
        <v/>
      </c>
      <c r="O351" t="str">
        <f t="shared" si="41"/>
        <v xml:space="preserve">      865:
        name: BBC Two England</v>
      </c>
    </row>
    <row r="352" spans="1:15" x14ac:dyDescent="0.25">
      <c r="A352">
        <v>875</v>
      </c>
      <c r="B352" t="s">
        <v>305</v>
      </c>
      <c r="C352" t="str">
        <f>"true"</f>
        <v>true</v>
      </c>
      <c r="D352" t="s">
        <v>302</v>
      </c>
      <c r="E352" t="s">
        <v>302</v>
      </c>
      <c r="F352" s="3" t="s">
        <v>312</v>
      </c>
      <c r="J352" t="str">
        <f t="shared" si="39"/>
        <v>RTÉ One</v>
      </c>
      <c r="K352">
        <f t="shared" si="40"/>
        <v>875</v>
      </c>
      <c r="L352" t="str">
        <f>IF(NOT(ISERROR(VLOOKUP(B352&amp;" HD",B:B,1,FALSE))),VLOOKUP(B352&amp;" HD",J:K,2,FALSE),"")</f>
        <v/>
      </c>
      <c r="M352" t="str">
        <f>IF(NOT(ISERROR(VLOOKUP(B352&amp;" +1",B:B,1,FALSE))),VLOOKUP(B352&amp;" +1",J:K,2,FALSE),"")</f>
        <v/>
      </c>
      <c r="O352" t="str">
        <f t="shared" si="41"/>
        <v xml:space="preserve">      875:
        name: RTÉ One
        show: true
        logo: https://www.freeview.co.uk/app/themes/freeview/assets/images/channels/entertainment/rteone.png</v>
      </c>
    </row>
    <row r="353" spans="1:15" x14ac:dyDescent="0.25">
      <c r="A353">
        <v>876</v>
      </c>
      <c r="B353" t="s">
        <v>306</v>
      </c>
      <c r="C353" t="str">
        <f>"true"</f>
        <v>true</v>
      </c>
      <c r="D353" t="s">
        <v>302</v>
      </c>
      <c r="E353" t="s">
        <v>302</v>
      </c>
      <c r="F353" s="3" t="s">
        <v>312</v>
      </c>
      <c r="J353" t="str">
        <f t="shared" si="39"/>
        <v>RTÉ2</v>
      </c>
      <c r="K353">
        <f t="shared" si="40"/>
        <v>876</v>
      </c>
      <c r="L353" t="str">
        <f>IF(NOT(ISERROR(VLOOKUP(B353&amp;" HD",B:B,1,FALSE))),VLOOKUP(B353&amp;" HD",J:K,2,FALSE),"")</f>
        <v/>
      </c>
      <c r="M353" t="str">
        <f>IF(NOT(ISERROR(VLOOKUP(B353&amp;" +1",B:B,1,FALSE))),VLOOKUP(B353&amp;" +1",J:K,2,FALSE),"")</f>
        <v/>
      </c>
      <c r="O353" t="str">
        <f t="shared" si="41"/>
        <v xml:space="preserve">      876:
        name: RTÉ2
        show: true
        logo: https://www.freeview.co.uk/app/themes/freeview/assets/images/channels/entertainment/rteone.png</v>
      </c>
    </row>
    <row r="354" spans="1:15" x14ac:dyDescent="0.25">
      <c r="A354">
        <v>877</v>
      </c>
      <c r="B354" t="s">
        <v>307</v>
      </c>
      <c r="D354" t="s">
        <v>302</v>
      </c>
      <c r="E354" t="s">
        <v>302</v>
      </c>
      <c r="J354" t="str">
        <f t="shared" si="39"/>
        <v>TG4</v>
      </c>
      <c r="K354">
        <f t="shared" si="40"/>
        <v>877</v>
      </c>
      <c r="L354" t="str">
        <f>IF(NOT(ISERROR(VLOOKUP(B354&amp;" HD",B:B,1,FALSE))),VLOOKUP(B354&amp;" HD",J:K,2,FALSE),"")</f>
        <v/>
      </c>
      <c r="M354" t="str">
        <f>IF(NOT(ISERROR(VLOOKUP(B354&amp;" +1",B:B,1,FALSE))),VLOOKUP(B354&amp;" +1",J:K,2,FALSE),"")</f>
        <v/>
      </c>
      <c r="O354" t="str">
        <f t="shared" si="41"/>
        <v xml:space="preserve">      877:
        name: TG4</v>
      </c>
    </row>
    <row r="355" spans="1:15" x14ac:dyDescent="0.25">
      <c r="A355">
        <v>901</v>
      </c>
      <c r="B355" t="s">
        <v>274</v>
      </c>
      <c r="D355" t="s">
        <v>302</v>
      </c>
      <c r="E355" t="s">
        <v>302</v>
      </c>
      <c r="G355" t="s">
        <v>308</v>
      </c>
      <c r="H355" t="s">
        <v>309</v>
      </c>
      <c r="J355" t="str">
        <f t="shared" si="39"/>
        <v>BBC Radio 1</v>
      </c>
      <c r="K355">
        <f t="shared" si="40"/>
        <v>901</v>
      </c>
      <c r="L355" t="str">
        <f>IF(NOT(ISERROR(VLOOKUP(B355&amp;" HD",B:B,1,FALSE))),VLOOKUP(B355&amp;" HD",J:K,2,FALSE),"")</f>
        <v/>
      </c>
      <c r="M355" t="str">
        <f>IF(NOT(ISERROR(VLOOKUP(B355&amp;" +1",B:B,1,FALSE))),VLOOKUP(B355&amp;" +1",J:K,2,FALSE),"")</f>
        <v/>
      </c>
      <c r="O355" t="str">
        <f t="shared" si="41"/>
        <v xml:space="preserve">      901:
        name: BBC Radio 1
        target: media_player.family_room
        source: Virgin V6</v>
      </c>
    </row>
    <row r="356" spans="1:15" x14ac:dyDescent="0.25">
      <c r="A356">
        <v>902</v>
      </c>
      <c r="B356" t="s">
        <v>275</v>
      </c>
      <c r="D356" t="s">
        <v>302</v>
      </c>
      <c r="E356" t="s">
        <v>302</v>
      </c>
      <c r="G356" t="s">
        <v>308</v>
      </c>
      <c r="H356" t="s">
        <v>310</v>
      </c>
      <c r="J356" t="str">
        <f t="shared" si="39"/>
        <v>BBC Radio 2</v>
      </c>
      <c r="K356">
        <f t="shared" si="40"/>
        <v>902</v>
      </c>
      <c r="L356" t="str">
        <f>IF(NOT(ISERROR(VLOOKUP(B356&amp;" HD",B:B,1,FALSE))),VLOOKUP(B356&amp;" HD",J:K,2,FALSE),"")</f>
        <v/>
      </c>
      <c r="M356" t="str">
        <f>IF(NOT(ISERROR(VLOOKUP(B356&amp;" +1",B:B,1,FALSE))),VLOOKUP(B356&amp;" +1",J:K,2,FALSE),"")</f>
        <v/>
      </c>
      <c r="O356" t="str">
        <f t="shared" si="41"/>
        <v xml:space="preserve">      902:
        name: BBC Radio 2
        target: media_player.family_room
        source: Virgin Tivo</v>
      </c>
    </row>
    <row r="357" spans="1:15" x14ac:dyDescent="0.25">
      <c r="A357">
        <v>903</v>
      </c>
      <c r="B357" t="s">
        <v>276</v>
      </c>
      <c r="D357" t="s">
        <v>302</v>
      </c>
      <c r="E357" t="s">
        <v>302</v>
      </c>
      <c r="G357" t="s">
        <v>308</v>
      </c>
      <c r="H357" t="s">
        <v>311</v>
      </c>
      <c r="J357" t="str">
        <f t="shared" si="39"/>
        <v>BBC Radio 3</v>
      </c>
      <c r="K357">
        <f t="shared" si="40"/>
        <v>903</v>
      </c>
      <c r="L357" t="str">
        <f>IF(NOT(ISERROR(VLOOKUP(B357&amp;" HD",B:B,1,FALSE))),VLOOKUP(B357&amp;" HD",J:K,2,FALSE),"")</f>
        <v/>
      </c>
      <c r="M357" t="str">
        <f>IF(NOT(ISERROR(VLOOKUP(B357&amp;" +1",B:B,1,FALSE))),VLOOKUP(B357&amp;" +1",J:K,2,FALSE),"")</f>
        <v/>
      </c>
      <c r="O357" t="str">
        <f t="shared" si="41"/>
        <v xml:space="preserve">      903:
        name: BBC Radio 3
        target: media_player.family_room
        source: CCTV</v>
      </c>
    </row>
    <row r="358" spans="1:15" x14ac:dyDescent="0.25">
      <c r="A358">
        <v>904</v>
      </c>
      <c r="B358" t="s">
        <v>766</v>
      </c>
      <c r="D358" t="s">
        <v>302</v>
      </c>
      <c r="E358" t="s">
        <v>302</v>
      </c>
      <c r="J358" t="str">
        <f t="shared" si="39"/>
        <v>BBC Radio 4</v>
      </c>
      <c r="K358">
        <f t="shared" si="40"/>
        <v>904</v>
      </c>
      <c r="L358" t="str">
        <f>IF(NOT(ISERROR(VLOOKUP(B358&amp;" HD",B:B,1,FALSE))),VLOOKUP(B358&amp;" HD",J:K,2,FALSE),"")</f>
        <v/>
      </c>
      <c r="M358" t="str">
        <f>IF(NOT(ISERROR(VLOOKUP(B358&amp;" +1",B:B,1,FALSE))),VLOOKUP(B358&amp;" +1",J:K,2,FALSE),"")</f>
        <v/>
      </c>
      <c r="O358" t="str">
        <f t="shared" si="41"/>
        <v xml:space="preserve">      904:
        name: BBC Radio 4</v>
      </c>
    </row>
    <row r="359" spans="1:15" x14ac:dyDescent="0.25">
      <c r="A359">
        <v>905</v>
      </c>
      <c r="B359" t="s">
        <v>277</v>
      </c>
      <c r="D359" t="s">
        <v>302</v>
      </c>
      <c r="E359" t="s">
        <v>302</v>
      </c>
      <c r="J359" t="str">
        <f t="shared" si="39"/>
        <v>BBC Radio 5 Live</v>
      </c>
      <c r="K359">
        <f t="shared" si="40"/>
        <v>905</v>
      </c>
      <c r="L359" t="str">
        <f>IF(NOT(ISERROR(VLOOKUP(B359&amp;" HD",B:B,1,FALSE))),VLOOKUP(B359&amp;" HD",J:K,2,FALSE),"")</f>
        <v/>
      </c>
      <c r="M359" t="str">
        <f>IF(NOT(ISERROR(VLOOKUP(B359&amp;" +1",B:B,1,FALSE))),VLOOKUP(B359&amp;" +1",J:K,2,FALSE),"")</f>
        <v/>
      </c>
      <c r="O359" t="str">
        <f t="shared" si="41"/>
        <v xml:space="preserve">      905:
        name: BBC Radio 5 Live</v>
      </c>
    </row>
    <row r="360" spans="1:15" x14ac:dyDescent="0.25">
      <c r="A360">
        <v>906</v>
      </c>
      <c r="B360" t="s">
        <v>278</v>
      </c>
      <c r="D360" t="s">
        <v>302</v>
      </c>
      <c r="E360" t="s">
        <v>302</v>
      </c>
      <c r="J360" t="str">
        <f t="shared" si="39"/>
        <v>BBC World Service</v>
      </c>
      <c r="K360">
        <f t="shared" si="40"/>
        <v>906</v>
      </c>
      <c r="L360" t="str">
        <f>IF(NOT(ISERROR(VLOOKUP(B360&amp;" HD",B:B,1,FALSE))),VLOOKUP(B360&amp;" HD",J:K,2,FALSE),"")</f>
        <v/>
      </c>
      <c r="M360" t="str">
        <f>IF(NOT(ISERROR(VLOOKUP(B360&amp;" +1",B:B,1,FALSE))),VLOOKUP(B360&amp;" +1",J:K,2,FALSE),"")</f>
        <v/>
      </c>
      <c r="O360" t="str">
        <f t="shared" si="41"/>
        <v xml:space="preserve">      906:
        name: BBC World Service</v>
      </c>
    </row>
    <row r="361" spans="1:15" x14ac:dyDescent="0.25">
      <c r="A361">
        <v>907</v>
      </c>
      <c r="B361" t="s">
        <v>770</v>
      </c>
      <c r="D361" t="s">
        <v>302</v>
      </c>
      <c r="E361" t="s">
        <v>302</v>
      </c>
      <c r="J361" t="str">
        <f t="shared" si="39"/>
        <v>BBC Radio 1 Xtra</v>
      </c>
      <c r="K361">
        <f t="shared" si="40"/>
        <v>907</v>
      </c>
      <c r="L361" t="str">
        <f>IF(NOT(ISERROR(VLOOKUP(B361&amp;" HD",B:B,1,FALSE))),VLOOKUP(B361&amp;" HD",J:K,2,FALSE),"")</f>
        <v/>
      </c>
      <c r="M361" t="str">
        <f>IF(NOT(ISERROR(VLOOKUP(B361&amp;" +1",B:B,1,FALSE))),VLOOKUP(B361&amp;" +1",J:K,2,FALSE),"")</f>
        <v/>
      </c>
      <c r="O361" t="str">
        <f t="shared" si="41"/>
        <v xml:space="preserve">      907:
        name: BBC Radio 1 Xtra</v>
      </c>
    </row>
    <row r="362" spans="1:15" x14ac:dyDescent="0.25">
      <c r="A362">
        <v>908</v>
      </c>
      <c r="B362" t="s">
        <v>772</v>
      </c>
      <c r="D362" t="s">
        <v>302</v>
      </c>
      <c r="E362" t="s">
        <v>302</v>
      </c>
      <c r="J362" t="str">
        <f t="shared" si="39"/>
        <v>BBC Radio 5 Sports Extra</v>
      </c>
      <c r="K362">
        <f t="shared" si="40"/>
        <v>908</v>
      </c>
      <c r="L362" t="str">
        <f>IF(NOT(ISERROR(VLOOKUP(B362&amp;" HD",B:B,1,FALSE))),VLOOKUP(B362&amp;" HD",J:K,2,FALSE),"")</f>
        <v/>
      </c>
      <c r="M362" t="str">
        <f>IF(NOT(ISERROR(VLOOKUP(B362&amp;" +1",B:B,1,FALSE))),VLOOKUP(B362&amp;" +1",J:K,2,FALSE),"")</f>
        <v/>
      </c>
      <c r="O362" t="str">
        <f t="shared" si="41"/>
        <v xml:space="preserve">      908:
        name: BBC Radio 5 Sports Extra</v>
      </c>
    </row>
    <row r="363" spans="1:15" x14ac:dyDescent="0.25">
      <c r="A363">
        <v>909</v>
      </c>
      <c r="B363" t="s">
        <v>279</v>
      </c>
      <c r="D363" t="s">
        <v>302</v>
      </c>
      <c r="E363" t="s">
        <v>302</v>
      </c>
      <c r="J363" t="str">
        <f t="shared" si="39"/>
        <v>BBC Radio 6 Music</v>
      </c>
      <c r="K363">
        <f t="shared" si="40"/>
        <v>909</v>
      </c>
      <c r="L363" t="str">
        <f>IF(NOT(ISERROR(VLOOKUP(B363&amp;" HD",B:B,1,FALSE))),VLOOKUP(B363&amp;" HD",J:K,2,FALSE),"")</f>
        <v/>
      </c>
      <c r="M363" t="str">
        <f>IF(NOT(ISERROR(VLOOKUP(B363&amp;" +1",B:B,1,FALSE))),VLOOKUP(B363&amp;" +1",J:K,2,FALSE),"")</f>
        <v/>
      </c>
      <c r="O363" t="str">
        <f t="shared" si="41"/>
        <v xml:space="preserve">      909:
        name: BBC Radio 6 Music</v>
      </c>
    </row>
    <row r="364" spans="1:15" x14ac:dyDescent="0.25">
      <c r="A364">
        <v>910</v>
      </c>
      <c r="B364" t="s">
        <v>280</v>
      </c>
      <c r="D364" t="s">
        <v>302</v>
      </c>
      <c r="E364" t="s">
        <v>302</v>
      </c>
      <c r="J364" t="str">
        <f t="shared" si="39"/>
        <v>BBC Radio 4 Extra</v>
      </c>
      <c r="K364">
        <f t="shared" si="40"/>
        <v>910</v>
      </c>
      <c r="L364" t="str">
        <f>IF(NOT(ISERROR(VLOOKUP(B364&amp;" HD",B:B,1,FALSE))),VLOOKUP(B364&amp;" HD",J:K,2,FALSE),"")</f>
        <v/>
      </c>
      <c r="M364" t="str">
        <f>IF(NOT(ISERROR(VLOOKUP(B364&amp;" +1",B:B,1,FALSE))),VLOOKUP(B364&amp;" +1",J:K,2,FALSE),"")</f>
        <v/>
      </c>
      <c r="O364" t="str">
        <f t="shared" si="41"/>
        <v xml:space="preserve">      910:
        name: BBC Radio 4 Extra</v>
      </c>
    </row>
    <row r="365" spans="1:15" x14ac:dyDescent="0.25">
      <c r="A365">
        <v>911</v>
      </c>
      <c r="B365" t="s">
        <v>776</v>
      </c>
      <c r="D365" t="s">
        <v>302</v>
      </c>
      <c r="E365" t="s">
        <v>302</v>
      </c>
      <c r="J365" t="str">
        <f t="shared" si="39"/>
        <v>BBC Radio 4 LW</v>
      </c>
      <c r="K365">
        <f t="shared" si="40"/>
        <v>911</v>
      </c>
      <c r="L365" t="str">
        <f>IF(NOT(ISERROR(VLOOKUP(B365&amp;" HD",B:B,1,FALSE))),VLOOKUP(B365&amp;" HD",J:K,2,FALSE),"")</f>
        <v/>
      </c>
      <c r="M365" t="str">
        <f>IF(NOT(ISERROR(VLOOKUP(B365&amp;" +1",B:B,1,FALSE))),VLOOKUP(B365&amp;" +1",J:K,2,FALSE),"")</f>
        <v/>
      </c>
      <c r="O365" t="str">
        <f t="shared" si="41"/>
        <v xml:space="preserve">      911:
        name: BBC Radio 4 LW</v>
      </c>
    </row>
    <row r="366" spans="1:15" x14ac:dyDescent="0.25">
      <c r="A366">
        <v>912</v>
      </c>
      <c r="B366" t="s">
        <v>281</v>
      </c>
      <c r="D366" t="s">
        <v>302</v>
      </c>
      <c r="E366" t="s">
        <v>302</v>
      </c>
      <c r="J366" t="str">
        <f t="shared" si="39"/>
        <v>BBC Asian Network</v>
      </c>
      <c r="K366">
        <f t="shared" si="40"/>
        <v>912</v>
      </c>
      <c r="L366" t="str">
        <f>IF(NOT(ISERROR(VLOOKUP(B366&amp;" HD",B:B,1,FALSE))),VLOOKUP(B366&amp;" HD",J:K,2,FALSE),"")</f>
        <v/>
      </c>
      <c r="M366" t="str">
        <f>IF(NOT(ISERROR(VLOOKUP(B366&amp;" +1",B:B,1,FALSE))),VLOOKUP(B366&amp;" +1",J:K,2,FALSE),"")</f>
        <v/>
      </c>
      <c r="O366" t="str">
        <f t="shared" si="41"/>
        <v xml:space="preserve">      912:
        name: BBC Asian Network</v>
      </c>
    </row>
    <row r="367" spans="1:15" x14ac:dyDescent="0.25">
      <c r="A367">
        <v>915</v>
      </c>
      <c r="B367" t="s">
        <v>282</v>
      </c>
      <c r="D367" t="s">
        <v>302</v>
      </c>
      <c r="E367" t="s">
        <v>302</v>
      </c>
      <c r="J367" t="str">
        <f t="shared" si="39"/>
        <v>Absolute Radio</v>
      </c>
      <c r="K367">
        <f t="shared" si="40"/>
        <v>915</v>
      </c>
      <c r="L367" t="str">
        <f>IF(NOT(ISERROR(VLOOKUP(B367&amp;" HD",B:B,1,FALSE))),VLOOKUP(B367&amp;" HD",J:K,2,FALSE),"")</f>
        <v/>
      </c>
      <c r="M367" t="str">
        <f>IF(NOT(ISERROR(VLOOKUP(B367&amp;" +1",B:B,1,FALSE))),VLOOKUP(B367&amp;" +1",J:K,2,FALSE),"")</f>
        <v/>
      </c>
      <c r="O367" t="str">
        <f t="shared" si="41"/>
        <v xml:space="preserve">      915:
        name: Absolute Radio</v>
      </c>
    </row>
    <row r="368" spans="1:15" x14ac:dyDescent="0.25">
      <c r="A368">
        <v>916</v>
      </c>
      <c r="B368" t="s">
        <v>283</v>
      </c>
      <c r="D368" t="s">
        <v>302</v>
      </c>
      <c r="E368" t="s">
        <v>302</v>
      </c>
      <c r="J368" t="str">
        <f t="shared" si="39"/>
        <v>Smooth Radio</v>
      </c>
      <c r="K368">
        <f t="shared" si="40"/>
        <v>916</v>
      </c>
      <c r="L368" t="str">
        <f>IF(NOT(ISERROR(VLOOKUP(B368&amp;" HD",B:B,1,FALSE))),VLOOKUP(B368&amp;" HD",J:K,2,FALSE),"")</f>
        <v/>
      </c>
      <c r="M368" t="str">
        <f>IF(NOT(ISERROR(VLOOKUP(B368&amp;" +1",B:B,1,FALSE))),VLOOKUP(B368&amp;" +1",J:K,2,FALSE),"")</f>
        <v/>
      </c>
      <c r="O368" t="str">
        <f t="shared" si="41"/>
        <v xml:space="preserve">      916:
        name: Smooth Radio</v>
      </c>
    </row>
    <row r="369" spans="1:15" x14ac:dyDescent="0.25">
      <c r="A369">
        <v>917</v>
      </c>
      <c r="B369" t="s">
        <v>781</v>
      </c>
      <c r="D369" t="s">
        <v>302</v>
      </c>
      <c r="E369" t="s">
        <v>302</v>
      </c>
      <c r="J369" t="str">
        <f t="shared" si="39"/>
        <v>RTE Radio</v>
      </c>
      <c r="K369">
        <f t="shared" si="40"/>
        <v>917</v>
      </c>
      <c r="L369" t="str">
        <f>IF(NOT(ISERROR(VLOOKUP(B369&amp;" HD",B:B,1,FALSE))),VLOOKUP(B369&amp;" HD",J:K,2,FALSE),"")</f>
        <v/>
      </c>
      <c r="M369" t="str">
        <f>IF(NOT(ISERROR(VLOOKUP(B369&amp;" +1",B:B,1,FALSE))),VLOOKUP(B369&amp;" +1",J:K,2,FALSE),"")</f>
        <v/>
      </c>
      <c r="O369" t="str">
        <f t="shared" si="41"/>
        <v xml:space="preserve">      917:
        name: RTE Radio</v>
      </c>
    </row>
    <row r="370" spans="1:15" x14ac:dyDescent="0.25">
      <c r="A370">
        <v>918</v>
      </c>
      <c r="B370" t="s">
        <v>284</v>
      </c>
      <c r="D370" t="s">
        <v>302</v>
      </c>
      <c r="E370" t="s">
        <v>302</v>
      </c>
      <c r="J370" t="str">
        <f t="shared" si="39"/>
        <v>Heart FM</v>
      </c>
      <c r="K370">
        <f t="shared" si="40"/>
        <v>918</v>
      </c>
      <c r="L370" t="str">
        <f>IF(NOT(ISERROR(VLOOKUP(B370&amp;" HD",B:B,1,FALSE))),VLOOKUP(B370&amp;" HD",J:K,2,FALSE),"")</f>
        <v/>
      </c>
      <c r="M370" t="str">
        <f>IF(NOT(ISERROR(VLOOKUP(B370&amp;" +1",B:B,1,FALSE))),VLOOKUP(B370&amp;" +1",J:K,2,FALSE),"")</f>
        <v/>
      </c>
      <c r="O370" t="str">
        <f t="shared" si="41"/>
        <v xml:space="preserve">      918:
        name: Heart FM</v>
      </c>
    </row>
    <row r="371" spans="1:15" x14ac:dyDescent="0.25">
      <c r="A371">
        <v>919</v>
      </c>
      <c r="B371" t="s">
        <v>784</v>
      </c>
      <c r="D371" t="s">
        <v>302</v>
      </c>
      <c r="E371" t="s">
        <v>302</v>
      </c>
      <c r="J371" t="str">
        <f t="shared" si="39"/>
        <v>LBC</v>
      </c>
      <c r="K371">
        <f t="shared" si="40"/>
        <v>919</v>
      </c>
      <c r="L371" t="str">
        <f>IF(NOT(ISERROR(VLOOKUP(B371&amp;" HD",B:B,1,FALSE))),VLOOKUP(B371&amp;" HD",J:K,2,FALSE),"")</f>
        <v/>
      </c>
      <c r="M371" t="str">
        <f>IF(NOT(ISERROR(VLOOKUP(B371&amp;" +1",B:B,1,FALSE))),VLOOKUP(B371&amp;" +1",J:K,2,FALSE),"")</f>
        <v/>
      </c>
      <c r="O371" t="str">
        <f t="shared" si="41"/>
        <v xml:space="preserve">      919:
        name: LBC</v>
      </c>
    </row>
    <row r="372" spans="1:15" x14ac:dyDescent="0.25">
      <c r="A372">
        <v>920</v>
      </c>
      <c r="B372" t="s">
        <v>285</v>
      </c>
      <c r="D372" t="s">
        <v>302</v>
      </c>
      <c r="E372" t="s">
        <v>302</v>
      </c>
      <c r="J372" t="str">
        <f t="shared" si="39"/>
        <v>World Radio Network</v>
      </c>
      <c r="K372">
        <f t="shared" si="40"/>
        <v>920</v>
      </c>
      <c r="L372" t="str">
        <f>IF(NOT(ISERROR(VLOOKUP(B372&amp;" HD",B:B,1,FALSE))),VLOOKUP(B372&amp;" HD",J:K,2,FALSE),"")</f>
        <v/>
      </c>
      <c r="M372" t="str">
        <f>IF(NOT(ISERROR(VLOOKUP(B372&amp;" +1",B:B,1,FALSE))),VLOOKUP(B372&amp;" +1",J:K,2,FALSE),"")</f>
        <v/>
      </c>
      <c r="O372" t="str">
        <f t="shared" si="41"/>
        <v xml:space="preserve">      920:
        name: World Radio Network</v>
      </c>
    </row>
    <row r="373" spans="1:15" x14ac:dyDescent="0.25">
      <c r="A373">
        <v>921</v>
      </c>
      <c r="B373" t="s">
        <v>286</v>
      </c>
      <c r="D373" t="s">
        <v>302</v>
      </c>
      <c r="E373" t="s">
        <v>302</v>
      </c>
      <c r="J373" t="str">
        <f t="shared" si="39"/>
        <v>Heart 80s</v>
      </c>
      <c r="K373">
        <f t="shared" si="40"/>
        <v>921</v>
      </c>
      <c r="L373" t="str">
        <f>IF(NOT(ISERROR(VLOOKUP(B373&amp;" HD",B:B,1,FALSE))),VLOOKUP(B373&amp;" HD",J:K,2,FALSE),"")</f>
        <v/>
      </c>
      <c r="M373" t="str">
        <f>IF(NOT(ISERROR(VLOOKUP(B373&amp;" +1",B:B,1,FALSE))),VLOOKUP(B373&amp;" +1",J:K,2,FALSE),"")</f>
        <v/>
      </c>
      <c r="O373" t="str">
        <f t="shared" si="41"/>
        <v xml:space="preserve">      921:
        name: Heart 80s</v>
      </c>
    </row>
    <row r="374" spans="1:15" x14ac:dyDescent="0.25">
      <c r="A374">
        <v>922</v>
      </c>
      <c r="B374" t="s">
        <v>287</v>
      </c>
      <c r="D374" t="s">
        <v>302</v>
      </c>
      <c r="E374" t="s">
        <v>302</v>
      </c>
      <c r="J374" t="str">
        <f t="shared" si="39"/>
        <v>Classic FM</v>
      </c>
      <c r="K374">
        <f t="shared" si="40"/>
        <v>922</v>
      </c>
      <c r="L374" t="str">
        <f>IF(NOT(ISERROR(VLOOKUP(B374&amp;" HD",B:B,1,FALSE))),VLOOKUP(B374&amp;" HD",J:K,2,FALSE),"")</f>
        <v/>
      </c>
      <c r="M374" t="str">
        <f>IF(NOT(ISERROR(VLOOKUP(B374&amp;" +1",B:B,1,FALSE))),VLOOKUP(B374&amp;" +1",J:K,2,FALSE),"")</f>
        <v/>
      </c>
      <c r="O374" t="str">
        <f t="shared" si="41"/>
        <v xml:space="preserve">      922:
        name: Classic FM</v>
      </c>
    </row>
    <row r="375" spans="1:15" x14ac:dyDescent="0.25">
      <c r="A375">
        <v>923</v>
      </c>
      <c r="B375" t="s">
        <v>31</v>
      </c>
      <c r="D375" t="s">
        <v>302</v>
      </c>
      <c r="J375" t="str">
        <f t="shared" si="39"/>
        <v>Gold</v>
      </c>
      <c r="K375">
        <f t="shared" si="40"/>
        <v>923</v>
      </c>
      <c r="L375">
        <f>IF(NOT(ISERROR(VLOOKUP(B375&amp;" HD",B:B,1,FALSE))),VLOOKUP(B375&amp;" HD",J:K,2,FALSE),"")</f>
        <v>124</v>
      </c>
      <c r="O375" t="str">
        <f t="shared" si="41"/>
        <v xml:space="preserve">      923:
        name: Gold</v>
      </c>
    </row>
    <row r="376" spans="1:15" x14ac:dyDescent="0.25">
      <c r="A376">
        <v>924</v>
      </c>
      <c r="B376" t="s">
        <v>288</v>
      </c>
      <c r="D376" t="s">
        <v>302</v>
      </c>
      <c r="E376" t="s">
        <v>302</v>
      </c>
      <c r="J376" t="str">
        <f t="shared" si="39"/>
        <v>Planet Rock</v>
      </c>
      <c r="K376">
        <f t="shared" si="40"/>
        <v>924</v>
      </c>
      <c r="L376" t="str">
        <f>IF(NOT(ISERROR(VLOOKUP(B376&amp;" HD",B:B,1,FALSE))),VLOOKUP(B376&amp;" HD",J:K,2,FALSE),"")</f>
        <v/>
      </c>
      <c r="M376" t="str">
        <f>IF(NOT(ISERROR(VLOOKUP(B376&amp;" +1",B:B,1,FALSE))),VLOOKUP(B376&amp;" +1",J:K,2,FALSE),"")</f>
        <v/>
      </c>
      <c r="O376" t="str">
        <f t="shared" si="41"/>
        <v xml:space="preserve">      924:
        name: Planet Rock</v>
      </c>
    </row>
    <row r="377" spans="1:15" x14ac:dyDescent="0.25">
      <c r="A377">
        <v>927</v>
      </c>
      <c r="B377" t="s">
        <v>289</v>
      </c>
      <c r="D377" t="s">
        <v>302</v>
      </c>
      <c r="E377" t="s">
        <v>302</v>
      </c>
      <c r="J377" t="str">
        <f t="shared" si="39"/>
        <v>Talksport</v>
      </c>
      <c r="K377">
        <f t="shared" si="40"/>
        <v>927</v>
      </c>
      <c r="L377" t="str">
        <f>IF(NOT(ISERROR(VLOOKUP(B377&amp;" HD",B:B,1,FALSE))),VLOOKUP(B377&amp;" HD",J:K,2,FALSE),"")</f>
        <v/>
      </c>
      <c r="M377" t="str">
        <f>IF(NOT(ISERROR(VLOOKUP(B377&amp;" +1",B:B,1,FALSE))),VLOOKUP(B377&amp;" +1",J:K,2,FALSE),"")</f>
        <v/>
      </c>
      <c r="O377" t="str">
        <f t="shared" si="41"/>
        <v xml:space="preserve">      927:
        name: Talksport</v>
      </c>
    </row>
    <row r="378" spans="1:15" x14ac:dyDescent="0.25">
      <c r="A378">
        <v>928</v>
      </c>
      <c r="B378" t="s">
        <v>290</v>
      </c>
      <c r="D378" t="s">
        <v>302</v>
      </c>
      <c r="E378" t="s">
        <v>302</v>
      </c>
      <c r="J378" t="str">
        <f t="shared" si="39"/>
        <v>Magic Radio</v>
      </c>
      <c r="K378">
        <f t="shared" si="40"/>
        <v>928</v>
      </c>
      <c r="L378" t="str">
        <f>IF(NOT(ISERROR(VLOOKUP(B378&amp;" HD",B:B,1,FALSE))),VLOOKUP(B378&amp;" HD",J:K,2,FALSE),"")</f>
        <v/>
      </c>
      <c r="M378" t="str">
        <f>IF(NOT(ISERROR(VLOOKUP(B378&amp;" +1",B:B,1,FALSE))),VLOOKUP(B378&amp;" +1",J:K,2,FALSE),"")</f>
        <v/>
      </c>
      <c r="O378" t="str">
        <f t="shared" si="41"/>
        <v xml:space="preserve">      928:
        name: Magic Radio</v>
      </c>
    </row>
    <row r="379" spans="1:15" x14ac:dyDescent="0.25">
      <c r="A379">
        <v>930</v>
      </c>
      <c r="B379" t="s">
        <v>291</v>
      </c>
      <c r="D379" t="s">
        <v>302</v>
      </c>
      <c r="E379" t="s">
        <v>302</v>
      </c>
      <c r="J379" t="str">
        <f t="shared" si="39"/>
        <v>BBC Radio Scotland</v>
      </c>
      <c r="K379">
        <f t="shared" si="40"/>
        <v>930</v>
      </c>
      <c r="L379" t="str">
        <f>IF(NOT(ISERROR(VLOOKUP(B379&amp;" HD",B:B,1,FALSE))),VLOOKUP(B379&amp;" HD",J:K,2,FALSE),"")</f>
        <v/>
      </c>
      <c r="M379" t="str">
        <f>IF(NOT(ISERROR(VLOOKUP(B379&amp;" +1",B:B,1,FALSE))),VLOOKUP(B379&amp;" +1",J:K,2,FALSE),"")</f>
        <v/>
      </c>
      <c r="O379" t="str">
        <f t="shared" si="41"/>
        <v xml:space="preserve">      930:
        name: BBC Radio Scotland</v>
      </c>
    </row>
    <row r="380" spans="1:15" x14ac:dyDescent="0.25">
      <c r="A380">
        <v>931</v>
      </c>
      <c r="B380" t="s">
        <v>292</v>
      </c>
      <c r="D380" t="s">
        <v>302</v>
      </c>
      <c r="E380" t="s">
        <v>302</v>
      </c>
      <c r="J380" t="str">
        <f t="shared" si="39"/>
        <v>BBC Radio Wales</v>
      </c>
      <c r="K380">
        <f t="shared" si="40"/>
        <v>931</v>
      </c>
      <c r="L380" t="str">
        <f>IF(NOT(ISERROR(VLOOKUP(B380&amp;" HD",B:B,1,FALSE))),VLOOKUP(B380&amp;" HD",J:K,2,FALSE),"")</f>
        <v/>
      </c>
      <c r="M380" t="str">
        <f>IF(NOT(ISERROR(VLOOKUP(B380&amp;" +1",B:B,1,FALSE))),VLOOKUP(B380&amp;" +1",J:K,2,FALSE),"")</f>
        <v/>
      </c>
      <c r="O380" t="str">
        <f t="shared" si="41"/>
        <v xml:space="preserve">      931:
        name: BBC Radio Wales</v>
      </c>
    </row>
    <row r="381" spans="1:15" x14ac:dyDescent="0.25">
      <c r="A381">
        <v>932</v>
      </c>
      <c r="B381" t="s">
        <v>293</v>
      </c>
      <c r="D381" t="s">
        <v>302</v>
      </c>
      <c r="E381" t="s">
        <v>302</v>
      </c>
      <c r="J381" t="str">
        <f t="shared" si="39"/>
        <v>BBC Radio Ulster</v>
      </c>
      <c r="K381">
        <f t="shared" si="40"/>
        <v>932</v>
      </c>
      <c r="L381" t="str">
        <f>IF(NOT(ISERROR(VLOOKUP(B381&amp;" HD",B:B,1,FALSE))),VLOOKUP(B381&amp;" HD",J:K,2,FALSE),"")</f>
        <v/>
      </c>
      <c r="M381" t="str">
        <f>IF(NOT(ISERROR(VLOOKUP(B381&amp;" +1",B:B,1,FALSE))),VLOOKUP(B381&amp;" +1",J:K,2,FALSE),"")</f>
        <v/>
      </c>
      <c r="O381" t="str">
        <f t="shared" si="41"/>
        <v xml:space="preserve">      932:
        name: BBC Radio Ulster</v>
      </c>
    </row>
    <row r="382" spans="1:15" x14ac:dyDescent="0.25">
      <c r="A382">
        <v>933</v>
      </c>
      <c r="B382" s="4" t="s">
        <v>797</v>
      </c>
      <c r="D382" t="s">
        <v>302</v>
      </c>
      <c r="E382" t="s">
        <v>302</v>
      </c>
      <c r="J382" t="str">
        <f t="shared" ref="J382" si="42">B382</f>
        <v>BBC Radio Foyle</v>
      </c>
      <c r="K382">
        <f t="shared" ref="K382" si="43">A382</f>
        <v>933</v>
      </c>
      <c r="L382" t="str">
        <f>IF(NOT(ISERROR(VLOOKUP(B382&amp;" HD",B:B,1,FALSE))),VLOOKUP(B382&amp;" HD",J:K,2,FALSE),"")</f>
        <v/>
      </c>
      <c r="M382" t="str">
        <f>IF(NOT(ISERROR(VLOOKUP(B382&amp;" +1",B:B,1,FALSE))),VLOOKUP(B382&amp;" +1",J:K,2,FALSE),"")</f>
        <v/>
      </c>
      <c r="O382" t="str">
        <f t="shared" ref="O382" si="44">SUBSTITUTE(CONCATENATE("      ",A382,":","\nname: ",B382,IF(C382&lt;&gt;"","\nshow: "&amp;C382,""),IF(D382&lt;&gt;"","\nhd_channel: "&amp;D382,""),IF(E382&lt;&gt;"","\nplus_one: "&amp;E382,""),IF(F382&lt;&gt;"","\nlogo: "&amp;F382,""),IF(G382&lt;&gt;"","\ntarget: "&amp;G382,""),IF(H382&lt;&gt;"","\nsource: "&amp;H382,"")),"\n",CHAR(10)&amp;"        ")</f>
        <v xml:space="preserve">      933:
        name: BBC Radio Foyle</v>
      </c>
    </row>
    <row r="383" spans="1:15" x14ac:dyDescent="0.25">
      <c r="A383">
        <v>934</v>
      </c>
      <c r="B383" t="s">
        <v>799</v>
      </c>
      <c r="D383" t="s">
        <v>302</v>
      </c>
      <c r="E383" t="s">
        <v>302</v>
      </c>
      <c r="J383" t="str">
        <f t="shared" si="39"/>
        <v>BBC Radio NanGaidheal</v>
      </c>
      <c r="K383">
        <f t="shared" si="40"/>
        <v>934</v>
      </c>
      <c r="L383" t="str">
        <f>IF(NOT(ISERROR(VLOOKUP(B383&amp;" HD",B:B,1,FALSE))),VLOOKUP(B383&amp;" HD",J:K,2,FALSE),"")</f>
        <v/>
      </c>
      <c r="M383" t="str">
        <f>IF(NOT(ISERROR(VLOOKUP(B383&amp;" +1",B:B,1,FALSE))),VLOOKUP(B383&amp;" +1",J:K,2,FALSE),"")</f>
        <v/>
      </c>
      <c r="O383" t="str">
        <f t="shared" si="41"/>
        <v xml:space="preserve">      934:
        name: BBC Radio NanGaidheal</v>
      </c>
    </row>
    <row r="384" spans="1:15" x14ac:dyDescent="0.25">
      <c r="A384">
        <v>936</v>
      </c>
      <c r="B384" t="s">
        <v>294</v>
      </c>
      <c r="D384" t="s">
        <v>302</v>
      </c>
      <c r="E384" t="s">
        <v>302</v>
      </c>
      <c r="J384" t="str">
        <f t="shared" si="39"/>
        <v>BBC Radio Cymru</v>
      </c>
      <c r="K384">
        <f t="shared" si="40"/>
        <v>936</v>
      </c>
      <c r="L384" t="str">
        <f>IF(NOT(ISERROR(VLOOKUP(B384&amp;" HD",B:B,1,FALSE))),VLOOKUP(B384&amp;" HD",J:K,2,FALSE),"")</f>
        <v/>
      </c>
      <c r="M384" t="str">
        <f>IF(NOT(ISERROR(VLOOKUP(B384&amp;" +1",B:B,1,FALSE))),VLOOKUP(B384&amp;" +1",J:K,2,FALSE),"")</f>
        <v/>
      </c>
      <c r="O384" t="str">
        <f t="shared" si="41"/>
        <v xml:space="preserve">      936:
        name: BBC Radio Cymru</v>
      </c>
    </row>
    <row r="385" spans="1:15" x14ac:dyDescent="0.25">
      <c r="A385">
        <v>937</v>
      </c>
      <c r="B385" t="s">
        <v>802</v>
      </c>
      <c r="D385" t="s">
        <v>302</v>
      </c>
      <c r="E385" t="s">
        <v>302</v>
      </c>
      <c r="J385" t="str">
        <f t="shared" si="39"/>
        <v>BBC London</v>
      </c>
      <c r="K385">
        <f t="shared" si="40"/>
        <v>937</v>
      </c>
      <c r="L385" t="str">
        <f>IF(NOT(ISERROR(VLOOKUP(B385&amp;" HD",B:B,1,FALSE))),VLOOKUP(B385&amp;" HD",J:K,2,FALSE),"")</f>
        <v/>
      </c>
      <c r="M385" t="str">
        <f>IF(NOT(ISERROR(VLOOKUP(B385&amp;" +1",B:B,1,FALSE))),VLOOKUP(B385&amp;" +1",J:K,2,FALSE),"")</f>
        <v/>
      </c>
      <c r="O385" t="str">
        <f t="shared" si="41"/>
        <v xml:space="preserve">      937:
        name: BBC London</v>
      </c>
    </row>
    <row r="386" spans="1:15" x14ac:dyDescent="0.25">
      <c r="A386">
        <v>951</v>
      </c>
      <c r="B386" t="s">
        <v>804</v>
      </c>
      <c r="D386" t="s">
        <v>302</v>
      </c>
      <c r="E386" t="s">
        <v>302</v>
      </c>
      <c r="J386" t="str">
        <f t="shared" si="39"/>
        <v>Absolute 80s</v>
      </c>
      <c r="K386">
        <f t="shared" si="40"/>
        <v>951</v>
      </c>
      <c r="L386" t="str">
        <f>IF(NOT(ISERROR(VLOOKUP(B386&amp;" HD",B:B,1,FALSE))),VLOOKUP(B386&amp;" HD",J:K,2,FALSE),"")</f>
        <v/>
      </c>
      <c r="M386" t="str">
        <f>IF(NOT(ISERROR(VLOOKUP(B386&amp;" +1",B:B,1,FALSE))),VLOOKUP(B386&amp;" +1",J:K,2,FALSE),"")</f>
        <v/>
      </c>
      <c r="O386" t="str">
        <f t="shared" si="41"/>
        <v xml:space="preserve">      951:
        name: Absolute 80s</v>
      </c>
    </row>
    <row r="387" spans="1:15" x14ac:dyDescent="0.25">
      <c r="A387">
        <v>952</v>
      </c>
      <c r="B387" t="s">
        <v>295</v>
      </c>
      <c r="D387" t="s">
        <v>302</v>
      </c>
      <c r="E387" t="s">
        <v>302</v>
      </c>
      <c r="J387" t="str">
        <f t="shared" si="39"/>
        <v>Absolute Classic Rock</v>
      </c>
      <c r="K387">
        <f t="shared" si="40"/>
        <v>952</v>
      </c>
      <c r="L387" t="str">
        <f>IF(NOT(ISERROR(VLOOKUP(B387&amp;" HD",B:B,1,FALSE))),VLOOKUP(B387&amp;" HD",J:K,2,FALSE),"")</f>
        <v/>
      </c>
      <c r="M387" t="str">
        <f>IF(NOT(ISERROR(VLOOKUP(B387&amp;" +1",B:B,1,FALSE))),VLOOKUP(B387&amp;" +1",J:K,2,FALSE),"")</f>
        <v/>
      </c>
      <c r="O387" t="str">
        <f t="shared" si="41"/>
        <v xml:space="preserve">      952:
        name: Absolute Classic Rock</v>
      </c>
    </row>
    <row r="388" spans="1:15" x14ac:dyDescent="0.25">
      <c r="A388">
        <v>958</v>
      </c>
      <c r="B388" t="s">
        <v>296</v>
      </c>
      <c r="D388" t="s">
        <v>302</v>
      </c>
      <c r="E388" t="s">
        <v>302</v>
      </c>
      <c r="J388" t="str">
        <f t="shared" si="39"/>
        <v>Capital FM</v>
      </c>
      <c r="K388">
        <f t="shared" si="40"/>
        <v>958</v>
      </c>
      <c r="L388" t="str">
        <f>IF(NOT(ISERROR(VLOOKUP(B388&amp;" HD",B:B,1,FALSE))),VLOOKUP(B388&amp;" HD",J:K,2,FALSE),"")</f>
        <v/>
      </c>
      <c r="M388" t="str">
        <f>IF(NOT(ISERROR(VLOOKUP(B388&amp;" +1",B:B,1,FALSE))),VLOOKUP(B388&amp;" +1",J:K,2,FALSE),"")</f>
        <v/>
      </c>
      <c r="O388" t="str">
        <f t="shared" si="41"/>
        <v xml:space="preserve">      958:
        name: Capital FM</v>
      </c>
    </row>
    <row r="389" spans="1:15" x14ac:dyDescent="0.25">
      <c r="A389">
        <v>959</v>
      </c>
      <c r="B389" t="s">
        <v>297</v>
      </c>
      <c r="D389" t="s">
        <v>302</v>
      </c>
      <c r="E389" t="s">
        <v>302</v>
      </c>
      <c r="J389" t="str">
        <f t="shared" si="39"/>
        <v>Capital XTRA</v>
      </c>
      <c r="K389">
        <f t="shared" si="40"/>
        <v>959</v>
      </c>
      <c r="L389" t="str">
        <f>IF(NOT(ISERROR(VLOOKUP(B389&amp;" HD",B:B,1,FALSE))),VLOOKUP(B389&amp;" HD",J:K,2,FALSE),"")</f>
        <v/>
      </c>
      <c r="M389" t="str">
        <f>IF(NOT(ISERROR(VLOOKUP(B389&amp;" +1",B:B,1,FALSE))),VLOOKUP(B389&amp;" +1",J:K,2,FALSE),"")</f>
        <v/>
      </c>
      <c r="O389" t="str">
        <f t="shared" si="41"/>
        <v xml:space="preserve">      959:
        name: Capital XTRA</v>
      </c>
    </row>
    <row r="390" spans="1:15" x14ac:dyDescent="0.25">
      <c r="A390">
        <v>960</v>
      </c>
      <c r="B390" t="s">
        <v>298</v>
      </c>
      <c r="D390" t="s">
        <v>302</v>
      </c>
      <c r="E390" t="s">
        <v>302</v>
      </c>
      <c r="J390" t="str">
        <f t="shared" si="39"/>
        <v>Radio X</v>
      </c>
      <c r="K390">
        <f t="shared" si="40"/>
        <v>960</v>
      </c>
      <c r="L390" t="str">
        <f>IF(NOT(ISERROR(VLOOKUP(B390&amp;" HD",B:B,1,FALSE))),VLOOKUP(B390&amp;" HD",J:K,2,FALSE),"")</f>
        <v/>
      </c>
      <c r="M390" t="str">
        <f>IF(NOT(ISERROR(VLOOKUP(B390&amp;" +1",B:B,1,FALSE))),VLOOKUP(B390&amp;" +1",J:K,2,FALSE),"")</f>
        <v/>
      </c>
      <c r="O390" t="str">
        <f t="shared" si="41"/>
        <v xml:space="preserve">      960:
        name: Radio X</v>
      </c>
    </row>
    <row r="391" spans="1:15" x14ac:dyDescent="0.25">
      <c r="A391">
        <v>963</v>
      </c>
      <c r="B391" t="s">
        <v>299</v>
      </c>
      <c r="D391" t="s">
        <v>302</v>
      </c>
      <c r="E391" t="s">
        <v>302</v>
      </c>
      <c r="J391" t="str">
        <f t="shared" si="39"/>
        <v>Kiss FM</v>
      </c>
      <c r="K391">
        <f t="shared" si="40"/>
        <v>963</v>
      </c>
      <c r="L391" t="str">
        <f>IF(NOT(ISERROR(VLOOKUP(B391&amp;" HD",B:B,1,FALSE))),VLOOKUP(B391&amp;" HD",J:K,2,FALSE),"")</f>
        <v/>
      </c>
      <c r="M391" t="str">
        <f>IF(NOT(ISERROR(VLOOKUP(B391&amp;" +1",B:B,1,FALSE))),VLOOKUP(B391&amp;" +1",J:K,2,FALSE),"")</f>
        <v/>
      </c>
      <c r="O391" t="str">
        <f t="shared" si="41"/>
        <v xml:space="preserve">      963:
        name: Kiss FM</v>
      </c>
    </row>
    <row r="392" spans="1:15" x14ac:dyDescent="0.25">
      <c r="A392">
        <v>968</v>
      </c>
      <c r="B392" t="s">
        <v>832</v>
      </c>
      <c r="D392" t="s">
        <v>302</v>
      </c>
      <c r="E392" t="s">
        <v>302</v>
      </c>
      <c r="J392" t="str">
        <f t="shared" ref="J392" si="45">B392</f>
        <v>PIN Help</v>
      </c>
      <c r="K392">
        <f t="shared" ref="K392" si="46">A392</f>
        <v>968</v>
      </c>
      <c r="L392" t="str">
        <f>IF(NOT(ISERROR(VLOOKUP(B392&amp;" HD",B:B,1,FALSE))),VLOOKUP(B392&amp;" HD",J:K,2,FALSE),"")</f>
        <v/>
      </c>
      <c r="M392" t="str">
        <f>IF(NOT(ISERROR(VLOOKUP(B392&amp;" +1",B:B,1,FALSE))),VLOOKUP(B392&amp;" +1",J:K,2,FALSE),"")</f>
        <v/>
      </c>
      <c r="O392" t="str">
        <f t="shared" ref="O392" si="47">SUBSTITUTE(CONCATENATE("      ",A392,":","\nname: ",B392,IF(C392&lt;&gt;"","\nshow: "&amp;C392,""),IF(D392&lt;&gt;"","\nhd_channel: "&amp;D392,""),IF(E392&lt;&gt;"","\nplus_one: "&amp;E392,""),IF(F392&lt;&gt;"","\nlogo: "&amp;F392,""),IF(G392&lt;&gt;"","\ntarget: "&amp;G392,""),IF(H392&lt;&gt;"","\nsource: "&amp;H392,"")),"\n",CHAR(10)&amp;"        ")</f>
        <v xml:space="preserve">      968:
        name: PIN Help</v>
      </c>
    </row>
    <row r="393" spans="1:15" x14ac:dyDescent="0.25">
      <c r="A393">
        <v>969</v>
      </c>
      <c r="B393" t="s">
        <v>811</v>
      </c>
      <c r="D393" t="s">
        <v>302</v>
      </c>
      <c r="E393" t="s">
        <v>302</v>
      </c>
      <c r="J393" t="str">
        <f t="shared" si="39"/>
        <v>Adult Preview</v>
      </c>
      <c r="K393">
        <f t="shared" si="40"/>
        <v>969</v>
      </c>
      <c r="L393" t="str">
        <f>IF(NOT(ISERROR(VLOOKUP(B393&amp;" HD",B:B,1,FALSE))),VLOOKUP(B393&amp;" HD",J:K,2,FALSE),"")</f>
        <v/>
      </c>
      <c r="M393" t="str">
        <f>IF(NOT(ISERROR(VLOOKUP(B393&amp;" +1",B:B,1,FALSE))),VLOOKUP(B393&amp;" +1",J:K,2,FALSE),"")</f>
        <v/>
      </c>
      <c r="O393" t="str">
        <f t="shared" si="41"/>
        <v xml:space="preserve">      969:
        name: Adult Preview</v>
      </c>
    </row>
    <row r="394" spans="1:15" x14ac:dyDescent="0.25">
      <c r="A394">
        <v>970</v>
      </c>
      <c r="B394" t="s">
        <v>301</v>
      </c>
      <c r="D394" t="s">
        <v>302</v>
      </c>
      <c r="E394" t="s">
        <v>302</v>
      </c>
      <c r="J394" t="str">
        <f t="shared" si="39"/>
        <v>Television X</v>
      </c>
      <c r="K394">
        <f t="shared" si="40"/>
        <v>970</v>
      </c>
      <c r="L394" t="str">
        <f>IF(NOT(ISERROR(VLOOKUP(B394&amp;" HD",B:B,1,FALSE))),VLOOKUP(B394&amp;" HD",J:K,2,FALSE),"")</f>
        <v/>
      </c>
      <c r="M394" t="str">
        <f>IF(NOT(ISERROR(VLOOKUP(B394&amp;" +1",B:B,1,FALSE))),VLOOKUP(B394&amp;" +1",J:K,2,FALSE),"")</f>
        <v/>
      </c>
      <c r="O394" t="str">
        <f t="shared" si="41"/>
        <v xml:space="preserve">      970:
        name: Television X</v>
      </c>
    </row>
    <row r="395" spans="1:15" x14ac:dyDescent="0.25">
      <c r="A395">
        <v>972</v>
      </c>
      <c r="B395" t="s">
        <v>300</v>
      </c>
      <c r="D395" t="s">
        <v>302</v>
      </c>
      <c r="E395" t="s">
        <v>302</v>
      </c>
      <c r="J395" t="str">
        <f t="shared" si="39"/>
        <v>Adult Channel</v>
      </c>
      <c r="K395">
        <f t="shared" si="40"/>
        <v>972</v>
      </c>
      <c r="L395" t="str">
        <f>IF(NOT(ISERROR(VLOOKUP(B395&amp;" HD",B:B,1,FALSE))),VLOOKUP(B395&amp;" HD",J:K,2,FALSE),"")</f>
        <v/>
      </c>
      <c r="M395" t="str">
        <f>IF(NOT(ISERROR(VLOOKUP(B395&amp;" +1",B:B,1,FALSE))),VLOOKUP(B395&amp;" +1",J:K,2,FALSE),"")</f>
        <v/>
      </c>
      <c r="O395" t="str">
        <f t="shared" si="41"/>
        <v xml:space="preserve">      972:
        name: Adult Channel</v>
      </c>
    </row>
    <row r="396" spans="1:15" x14ac:dyDescent="0.25">
      <c r="A396">
        <v>973</v>
      </c>
      <c r="B396" t="s">
        <v>815</v>
      </c>
      <c r="D396" t="s">
        <v>302</v>
      </c>
      <c r="E396" t="s">
        <v>302</v>
      </c>
      <c r="J396" t="str">
        <f t="shared" si="39"/>
        <v>My Ex-Girlfriends Nightly</v>
      </c>
      <c r="K396">
        <f t="shared" si="40"/>
        <v>973</v>
      </c>
      <c r="L396" t="str">
        <f>IF(NOT(ISERROR(VLOOKUP(B396&amp;" HD",B:B,1,FALSE))),VLOOKUP(B396&amp;" HD",J:K,2,FALSE),"")</f>
        <v/>
      </c>
      <c r="M396" t="str">
        <f>IF(NOT(ISERROR(VLOOKUP(B396&amp;" +1",B:B,1,FALSE))),VLOOKUP(B396&amp;" +1",J:K,2,FALSE),"")</f>
        <v/>
      </c>
      <c r="O396" t="str">
        <f t="shared" si="41"/>
        <v xml:space="preserve">      973:
        name: My Ex-Girlfriends Nightly</v>
      </c>
    </row>
    <row r="397" spans="1:15" x14ac:dyDescent="0.25">
      <c r="A397">
        <v>974</v>
      </c>
      <c r="B397" t="s">
        <v>817</v>
      </c>
      <c r="D397" t="s">
        <v>302</v>
      </c>
      <c r="E397" t="s">
        <v>302</v>
      </c>
      <c r="J397" t="str">
        <f t="shared" si="39"/>
        <v>Filth XXX</v>
      </c>
      <c r="K397">
        <f t="shared" si="40"/>
        <v>974</v>
      </c>
      <c r="L397" t="str">
        <f>IF(NOT(ISERROR(VLOOKUP(B397&amp;" HD",B:B,1,FALSE))),VLOOKUP(B397&amp;" HD",J:K,2,FALSE),"")</f>
        <v/>
      </c>
      <c r="M397" t="str">
        <f>IF(NOT(ISERROR(VLOOKUP(B397&amp;" +1",B:B,1,FALSE))),VLOOKUP(B397&amp;" +1",J:K,2,FALSE),"")</f>
        <v/>
      </c>
      <c r="O397" t="str">
        <f t="shared" si="41"/>
        <v xml:space="preserve">      974:
        name: Filth XXX</v>
      </c>
    </row>
    <row r="398" spans="1:15" x14ac:dyDescent="0.25">
      <c r="A398">
        <v>975</v>
      </c>
      <c r="B398" t="s">
        <v>819</v>
      </c>
      <c r="D398" t="s">
        <v>302</v>
      </c>
      <c r="E398" t="s">
        <v>302</v>
      </c>
      <c r="J398" t="str">
        <f t="shared" ref="J398:J412" si="48">B398</f>
        <v>Red Hot XXX</v>
      </c>
      <c r="K398">
        <f t="shared" ref="K398:K412" si="49">A398</f>
        <v>975</v>
      </c>
      <c r="L398" t="str">
        <f>IF(NOT(ISERROR(VLOOKUP(B398&amp;" HD",B:B,1,FALSE))),VLOOKUP(B398&amp;" HD",J:K,2,FALSE),"")</f>
        <v/>
      </c>
      <c r="M398" t="str">
        <f>IF(NOT(ISERROR(VLOOKUP(B398&amp;" +1",B:B,1,FALSE))),VLOOKUP(B398&amp;" +1",J:K,2,FALSE),"")</f>
        <v/>
      </c>
      <c r="O398" t="str">
        <f t="shared" ref="O398:O412" si="50">SUBSTITUTE(CONCATENATE("      ",A398,":","\nname: ",B398,IF(C398&lt;&gt;"","\nshow: "&amp;C398,""),IF(D398&lt;&gt;"","\nhd_channel: "&amp;D398,""),IF(E398&lt;&gt;"","\nplus_one: "&amp;E398,""),IF(F398&lt;&gt;"","\nlogo: "&amp;F398,""),IF(G398&lt;&gt;"","\ntarget: "&amp;G398,""),IF(H398&lt;&gt;"","\nsource: "&amp;H398,"")),"\n",CHAR(10)&amp;"        ")</f>
        <v xml:space="preserve">      975:
        name: Red Hot XXX</v>
      </c>
    </row>
    <row r="399" spans="1:15" x14ac:dyDescent="0.25">
      <c r="A399">
        <v>976</v>
      </c>
      <c r="B399" t="s">
        <v>821</v>
      </c>
      <c r="D399" t="s">
        <v>302</v>
      </c>
      <c r="E399" t="s">
        <v>302</v>
      </c>
      <c r="J399" t="str">
        <f t="shared" si="48"/>
        <v>Wives XXX</v>
      </c>
      <c r="K399">
        <f t="shared" si="49"/>
        <v>976</v>
      </c>
      <c r="L399" t="str">
        <f>IF(NOT(ISERROR(VLOOKUP(B399&amp;" HD",B:B,1,FALSE))),VLOOKUP(B399&amp;" HD",J:K,2,FALSE),"")</f>
        <v/>
      </c>
      <c r="M399" t="str">
        <f>IF(NOT(ISERROR(VLOOKUP(B399&amp;" +1",B:B,1,FALSE))),VLOOKUP(B399&amp;" +1",J:K,2,FALSE),"")</f>
        <v/>
      </c>
      <c r="O399" t="str">
        <f t="shared" si="50"/>
        <v xml:space="preserve">      976:
        name: Wives XXX</v>
      </c>
    </row>
    <row r="400" spans="1:15" x14ac:dyDescent="0.25">
      <c r="A400">
        <v>977</v>
      </c>
      <c r="B400" s="4" t="s">
        <v>823</v>
      </c>
      <c r="D400" t="s">
        <v>302</v>
      </c>
      <c r="E400" t="s">
        <v>302</v>
      </c>
      <c r="J400" t="str">
        <f t="shared" ref="J400" si="51">B400</f>
        <v>XXX Mums</v>
      </c>
      <c r="K400">
        <f t="shared" ref="K400" si="52">A400</f>
        <v>977</v>
      </c>
      <c r="L400" t="str">
        <f>IF(NOT(ISERROR(VLOOKUP(B400&amp;" HD",B:B,1,FALSE))),VLOOKUP(B400&amp;" HD",J:K,2,FALSE),"")</f>
        <v/>
      </c>
      <c r="M400" t="str">
        <f>IF(NOT(ISERROR(VLOOKUP(B400&amp;" +1",B:B,1,FALSE))),VLOOKUP(B400&amp;" +1",J:K,2,FALSE),"")</f>
        <v/>
      </c>
      <c r="O400" t="str">
        <f t="shared" ref="O400" si="53">SUBSTITUTE(CONCATENATE("      ",A400,":","\nname: ",B400,IF(C400&lt;&gt;"","\nshow: "&amp;C400,""),IF(D400&lt;&gt;"","\nhd_channel: "&amp;D400,""),IF(E400&lt;&gt;"","\nplus_one: "&amp;E400,""),IF(F400&lt;&gt;"","\nlogo: "&amp;F400,""),IF(G400&lt;&gt;"","\ntarget: "&amp;G400,""),IF(H400&lt;&gt;"","\nsource: "&amp;H400,"")),"\n",CHAR(10)&amp;"        ")</f>
        <v xml:space="preserve">      977:
        name: XXX Mums</v>
      </c>
    </row>
    <row r="401" spans="1:15" x14ac:dyDescent="0.25">
      <c r="A401">
        <v>978</v>
      </c>
      <c r="B401" t="s">
        <v>301</v>
      </c>
      <c r="D401" t="s">
        <v>302</v>
      </c>
      <c r="E401" t="s">
        <v>302</v>
      </c>
      <c r="J401" t="str">
        <f t="shared" si="48"/>
        <v>Television X</v>
      </c>
      <c r="K401">
        <f t="shared" si="49"/>
        <v>978</v>
      </c>
      <c r="L401" t="str">
        <f>IF(NOT(ISERROR(VLOOKUP(B401&amp;" HD",B:B,1,FALSE))),VLOOKUP(B401&amp;" HD",J:K,2,FALSE),"")</f>
        <v/>
      </c>
      <c r="M401" t="str">
        <f>IF(NOT(ISERROR(VLOOKUP(B401&amp;" +1",B:B,1,FALSE))),VLOOKUP(B401&amp;" +1",J:K,2,FALSE),"")</f>
        <v/>
      </c>
      <c r="O401" t="str">
        <f t="shared" si="50"/>
        <v xml:space="preserve">      978:
        name: Television X</v>
      </c>
    </row>
    <row r="402" spans="1:15" x14ac:dyDescent="0.25">
      <c r="A402">
        <v>980</v>
      </c>
      <c r="B402" t="s">
        <v>300</v>
      </c>
      <c r="D402" t="s">
        <v>302</v>
      </c>
      <c r="E402" t="s">
        <v>302</v>
      </c>
      <c r="J402" t="str">
        <f t="shared" si="48"/>
        <v>Adult Channel</v>
      </c>
      <c r="K402">
        <f t="shared" si="49"/>
        <v>980</v>
      </c>
      <c r="L402" t="str">
        <f>IF(NOT(ISERROR(VLOOKUP(B402&amp;" HD",B:B,1,FALSE))),VLOOKUP(B402&amp;" HD",J:K,2,FALSE),"")</f>
        <v/>
      </c>
      <c r="M402" t="str">
        <f>IF(NOT(ISERROR(VLOOKUP(B402&amp;" +1",B:B,1,FALSE))),VLOOKUP(B402&amp;" +1",J:K,2,FALSE),"")</f>
        <v/>
      </c>
      <c r="O402" t="str">
        <f t="shared" si="50"/>
        <v xml:space="preserve">      980:
        name: Adult Channel</v>
      </c>
    </row>
    <row r="403" spans="1:15" x14ac:dyDescent="0.25">
      <c r="A403">
        <v>981</v>
      </c>
      <c r="B403" t="s">
        <v>827</v>
      </c>
      <c r="D403" t="s">
        <v>302</v>
      </c>
      <c r="E403" t="s">
        <v>302</v>
      </c>
      <c r="J403" t="str">
        <f>B403</f>
        <v>Babe Station</v>
      </c>
      <c r="K403">
        <f t="shared" si="49"/>
        <v>981</v>
      </c>
      <c r="L403" t="str">
        <f>IF(NOT(ISERROR(VLOOKUP(B403&amp;" HD",B:B,1,FALSE))),VLOOKUP(B403&amp;" HD",J:K,2,FALSE),"")</f>
        <v/>
      </c>
      <c r="M403" t="str">
        <f>IF(NOT(ISERROR(VLOOKUP(B403&amp;" +1",B:B,1,FALSE))),VLOOKUP(B403&amp;" +1",J:K,2,FALSE),"")</f>
        <v/>
      </c>
      <c r="O403" t="str">
        <f>SUBSTITUTE(CONCATENATE("      ",A403,":","\nname: ",B403,IF(C403&lt;&gt;"","\nshow: "&amp;C403,""),IF(D403&lt;&gt;"","\nhd_channel: "&amp;D403,""),IF(E403&lt;&gt;"","\nplus_one: "&amp;E403,""),IF(F403&lt;&gt;"","\nlogo: "&amp;F403,""),IF(G403&lt;&gt;"","\ntarget: "&amp;G403,""),IF(H403&lt;&gt;"","\nsource: "&amp;H403,"")),"\n",CHAR(10)&amp;"        ")</f>
        <v xml:space="preserve">      981:
        name: Babe Station</v>
      </c>
    </row>
    <row r="404" spans="1:15" x14ac:dyDescent="0.25">
      <c r="A404">
        <v>990</v>
      </c>
      <c r="B404" t="s">
        <v>0</v>
      </c>
      <c r="C404" t="str">
        <f>"false"</f>
        <v>false</v>
      </c>
      <c r="E404" t="s">
        <v>302</v>
      </c>
      <c r="J404" t="str">
        <f t="shared" si="48"/>
        <v>BBC Red Button</v>
      </c>
      <c r="K404">
        <f t="shared" si="49"/>
        <v>990</v>
      </c>
      <c r="L404" t="str">
        <f>IF(NOT(ISERROR(VLOOKUP(B404&amp;" HD",B:B,1,FALSE))),VLOOKUP(B404&amp;" HD",J:K,2,FALSE),"")</f>
        <v/>
      </c>
      <c r="M404" t="str">
        <f>IF(NOT(ISERROR(VLOOKUP(B404&amp;" +1",B:B,1,FALSE))),VLOOKUP(B404&amp;" +1",J:K,2,FALSE),"")</f>
        <v/>
      </c>
      <c r="O404" t="str">
        <f t="shared" si="50"/>
        <v xml:space="preserve">      990:
        name: BBC Red Button
        show: false</v>
      </c>
    </row>
    <row r="405" spans="1:15" x14ac:dyDescent="0.25">
      <c r="A405">
        <v>991</v>
      </c>
      <c r="B405" t="s">
        <v>0</v>
      </c>
      <c r="C405" t="s">
        <v>302</v>
      </c>
      <c r="E405" t="s">
        <v>302</v>
      </c>
      <c r="J405" t="str">
        <f t="shared" si="48"/>
        <v>BBC Red Button</v>
      </c>
      <c r="K405">
        <f t="shared" si="49"/>
        <v>991</v>
      </c>
      <c r="L405" t="str">
        <f>IF(NOT(ISERROR(VLOOKUP(B405&amp;" HD",B:B,1,FALSE))),VLOOKUP(B405&amp;" HD",J:K,2,FALSE),"")</f>
        <v/>
      </c>
      <c r="M405" t="str">
        <f>IF(NOT(ISERROR(VLOOKUP(B405&amp;" +1",B:B,1,FALSE))),VLOOKUP(B405&amp;" +1",J:K,2,FALSE),"")</f>
        <v/>
      </c>
      <c r="O405" t="str">
        <f t="shared" si="50"/>
        <v xml:space="preserve">      991:
        name: BBC Red Button</v>
      </c>
    </row>
    <row r="406" spans="1:15" x14ac:dyDescent="0.25">
      <c r="A406">
        <v>992</v>
      </c>
      <c r="B406" t="s">
        <v>0</v>
      </c>
      <c r="C406" t="str">
        <f>"false"</f>
        <v>false</v>
      </c>
      <c r="E406" t="s">
        <v>302</v>
      </c>
      <c r="J406" t="str">
        <f t="shared" si="48"/>
        <v>BBC Red Button</v>
      </c>
      <c r="K406">
        <f t="shared" si="49"/>
        <v>992</v>
      </c>
      <c r="L406" t="str">
        <f>IF(NOT(ISERROR(VLOOKUP(B406&amp;" HD",B:B,1,FALSE))),VLOOKUP(B406&amp;" HD",J:K,2,FALSE),"")</f>
        <v/>
      </c>
      <c r="M406" t="str">
        <f>IF(NOT(ISERROR(VLOOKUP(B406&amp;" +1",B:B,1,FALSE))),VLOOKUP(B406&amp;" +1",J:K,2,FALSE),"")</f>
        <v/>
      </c>
      <c r="O406" t="str">
        <f t="shared" si="50"/>
        <v xml:space="preserve">      992:
        name: BBC Red Button
        show: false</v>
      </c>
    </row>
    <row r="407" spans="1:15" x14ac:dyDescent="0.25">
      <c r="A407">
        <v>993</v>
      </c>
      <c r="B407" t="s">
        <v>0</v>
      </c>
      <c r="C407" t="str">
        <f>"false"</f>
        <v>false</v>
      </c>
      <c r="E407" t="s">
        <v>302</v>
      </c>
      <c r="J407" t="str">
        <f t="shared" si="48"/>
        <v>BBC Red Button</v>
      </c>
      <c r="K407">
        <f t="shared" si="49"/>
        <v>993</v>
      </c>
      <c r="L407" t="str">
        <f>IF(NOT(ISERROR(VLOOKUP(B407&amp;" HD",B:B,1,FALSE))),VLOOKUP(B407&amp;" HD",J:K,2,FALSE),"")</f>
        <v/>
      </c>
      <c r="M407" t="str">
        <f>IF(NOT(ISERROR(VLOOKUP(B407&amp;" +1",B:B,1,FALSE))),VLOOKUP(B407&amp;" +1",J:K,2,FALSE),"")</f>
        <v/>
      </c>
      <c r="O407" t="str">
        <f t="shared" si="50"/>
        <v xml:space="preserve">      993:
        name: BBC Red Button
        show: false</v>
      </c>
    </row>
    <row r="408" spans="1:15" x14ac:dyDescent="0.25">
      <c r="A408">
        <v>994</v>
      </c>
      <c r="B408" t="s">
        <v>0</v>
      </c>
      <c r="C408" t="str">
        <f>"false"</f>
        <v>false</v>
      </c>
      <c r="E408" t="s">
        <v>302</v>
      </c>
      <c r="J408" t="str">
        <f t="shared" si="48"/>
        <v>BBC Red Button</v>
      </c>
      <c r="K408">
        <f t="shared" si="49"/>
        <v>994</v>
      </c>
      <c r="L408" t="str">
        <f>IF(NOT(ISERROR(VLOOKUP(B408&amp;" HD",B:B,1,FALSE))),VLOOKUP(B408&amp;" HD",J:K,2,FALSE),"")</f>
        <v/>
      </c>
      <c r="M408" t="str">
        <f>IF(NOT(ISERROR(VLOOKUP(B408&amp;" +1",B:B,1,FALSE))),VLOOKUP(B408&amp;" +1",J:K,2,FALSE),"")</f>
        <v/>
      </c>
      <c r="O408" t="str">
        <f t="shared" si="50"/>
        <v xml:space="preserve">      994:
        name: BBC Red Button
        show: false</v>
      </c>
    </row>
    <row r="409" spans="1:15" x14ac:dyDescent="0.25">
      <c r="A409">
        <v>995</v>
      </c>
      <c r="B409" t="s">
        <v>0</v>
      </c>
      <c r="C409" t="str">
        <f>"false"</f>
        <v>false</v>
      </c>
      <c r="E409" t="s">
        <v>302</v>
      </c>
      <c r="J409" t="str">
        <f t="shared" si="48"/>
        <v>BBC Red Button</v>
      </c>
      <c r="K409">
        <f t="shared" si="49"/>
        <v>995</v>
      </c>
      <c r="L409" t="str">
        <f>IF(NOT(ISERROR(VLOOKUP(B409&amp;" HD",B:B,1,FALSE))),VLOOKUP(B409&amp;" HD",J:K,2,FALSE),"")</f>
        <v/>
      </c>
      <c r="M409" t="str">
        <f>IF(NOT(ISERROR(VLOOKUP(B409&amp;" +1",B:B,1,FALSE))),VLOOKUP(B409&amp;" +1",J:K,2,FALSE),"")</f>
        <v/>
      </c>
      <c r="O409" t="str">
        <f t="shared" si="50"/>
        <v xml:space="preserve">      995:
        name: BBC Red Button
        show: false</v>
      </c>
    </row>
    <row r="410" spans="1:15" x14ac:dyDescent="0.25">
      <c r="A410">
        <v>996</v>
      </c>
      <c r="B410" t="s">
        <v>0</v>
      </c>
      <c r="C410" t="str">
        <f>"false"</f>
        <v>false</v>
      </c>
      <c r="E410" t="s">
        <v>302</v>
      </c>
      <c r="J410" t="str">
        <f t="shared" si="48"/>
        <v>BBC Red Button</v>
      </c>
      <c r="K410">
        <f t="shared" si="49"/>
        <v>996</v>
      </c>
      <c r="L410" t="str">
        <f>IF(NOT(ISERROR(VLOOKUP(B410&amp;" HD",B:B,1,FALSE))),VLOOKUP(B410&amp;" HD",J:K,2,FALSE),"")</f>
        <v/>
      </c>
      <c r="M410" t="str">
        <f>IF(NOT(ISERROR(VLOOKUP(B410&amp;" +1",B:B,1,FALSE))),VLOOKUP(B410&amp;" +1",J:K,2,FALSE),"")</f>
        <v/>
      </c>
      <c r="O410" t="str">
        <f t="shared" si="50"/>
        <v xml:space="preserve">      996:
        name: BBC Red Button
        show: false</v>
      </c>
    </row>
    <row r="411" spans="1:15" x14ac:dyDescent="0.25">
      <c r="A411">
        <v>998</v>
      </c>
      <c r="B411" t="s">
        <v>9</v>
      </c>
      <c r="D411" t="s">
        <v>302</v>
      </c>
      <c r="E411" t="s">
        <v>302</v>
      </c>
      <c r="J411" t="str">
        <f t="shared" si="48"/>
        <v>Virgin Media Previews</v>
      </c>
      <c r="K411">
        <f t="shared" si="49"/>
        <v>998</v>
      </c>
      <c r="L411" t="str">
        <f>IF(NOT(ISERROR(VLOOKUP(B411&amp;" HD",B:B,1,FALSE))),VLOOKUP(B411&amp;" HD",J:K,2,FALSE),"")</f>
        <v/>
      </c>
      <c r="M411" t="str">
        <f>IF(NOT(ISERROR(VLOOKUP(B411&amp;" +1",B:B,1,FALSE))),VLOOKUP(B411&amp;" +1",J:K,2,FALSE),"")</f>
        <v/>
      </c>
      <c r="O411" t="str">
        <f t="shared" si="50"/>
        <v xml:space="preserve">      998:
        name: Virgin Media Previews</v>
      </c>
    </row>
    <row r="412" spans="1:15" x14ac:dyDescent="0.25">
      <c r="A412">
        <v>999</v>
      </c>
      <c r="B412" t="s">
        <v>831</v>
      </c>
      <c r="D412" t="s">
        <v>302</v>
      </c>
      <c r="E412" t="s">
        <v>302</v>
      </c>
      <c r="J412" t="str">
        <f t="shared" si="48"/>
        <v>Virgin TV Ultra HD</v>
      </c>
      <c r="K412">
        <f t="shared" si="49"/>
        <v>999</v>
      </c>
      <c r="L412" t="str">
        <f>IF(NOT(ISERROR(VLOOKUP(B412&amp;" HD",B:B,1,FALSE))),VLOOKUP(B412&amp;" HD",J:K,2,FALSE),"")</f>
        <v/>
      </c>
      <c r="M412" t="str">
        <f>IF(NOT(ISERROR(VLOOKUP(B412&amp;" +1",B:B,1,FALSE))),VLOOKUP(B412&amp;" +1",J:K,2,FALSE),"")</f>
        <v/>
      </c>
      <c r="O412" t="str">
        <f t="shared" si="50"/>
        <v xml:space="preserve">      999:
        name: Virgin TV Ultra HD</v>
      </c>
    </row>
  </sheetData>
  <autoFilter ref="A1:H412">
    <sortState ref="A2:H412">
      <sortCondition ref="A2:A412"/>
    </sortState>
  </autoFilter>
  <hyperlinks>
    <hyperlink ref="F352" r:id="rId1"/>
    <hyperlink ref="F353" r:id="rId2" display="https://www.freeview.co.uk/app/themes/freeview/assets/images/channels/entertainment/rtetwo.png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opyAll">
                <anchor moveWithCells="1" sizeWithCells="1">
                  <from>
                    <xdr:col>15</xdr:col>
                    <xdr:colOff>57150</xdr:colOff>
                    <xdr:row>0</xdr:row>
                    <xdr:rowOff>28575</xdr:rowOff>
                  </from>
                  <to>
                    <xdr:col>15</xdr:col>
                    <xdr:colOff>581025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402"/>
  <sheetViews>
    <sheetView topLeftCell="A390" workbookViewId="0">
      <selection activeCell="B397" sqref="B397"/>
    </sheetView>
  </sheetViews>
  <sheetFormatPr defaultRowHeight="15" x14ac:dyDescent="0.25"/>
  <cols>
    <col min="1" max="1" width="12.42578125" customWidth="1"/>
    <col min="2" max="2" width="27.85546875" bestFit="1" customWidth="1"/>
  </cols>
  <sheetData>
    <row r="2" spans="1:4" x14ac:dyDescent="0.25">
      <c r="A2" s="4" t="s">
        <v>313</v>
      </c>
      <c r="B2" s="4" t="s">
        <v>9</v>
      </c>
      <c r="C2" t="str">
        <f>VLOOKUP(VALUE(A2),CURRENT,2,FALSE)</f>
        <v>Virgin Media Previews</v>
      </c>
      <c r="D2" t="str">
        <f>IF(B2=C2,"","x")</f>
        <v/>
      </c>
    </row>
    <row r="3" spans="1:4" x14ac:dyDescent="0.25">
      <c r="A3" s="4" t="s">
        <v>314</v>
      </c>
      <c r="B3" s="4" t="s">
        <v>13</v>
      </c>
      <c r="C3" t="str">
        <f>VLOOKUP(VALUE(A3),CURRENT,2,FALSE)</f>
        <v>BBC One</v>
      </c>
      <c r="D3" t="str">
        <f t="shared" ref="D3:D66" si="0">IF(B3=C3,"","x")</f>
        <v/>
      </c>
    </row>
    <row r="4" spans="1:4" x14ac:dyDescent="0.25">
      <c r="A4" s="4" t="s">
        <v>315</v>
      </c>
      <c r="B4" s="4" t="s">
        <v>14</v>
      </c>
      <c r="C4" t="str">
        <f>VLOOKUP(VALUE(A4),CURRENT,2,FALSE)</f>
        <v>BBC Two</v>
      </c>
      <c r="D4" t="str">
        <f t="shared" si="0"/>
        <v/>
      </c>
    </row>
    <row r="5" spans="1:4" x14ac:dyDescent="0.25">
      <c r="A5" s="4" t="s">
        <v>316</v>
      </c>
      <c r="B5" s="4" t="s">
        <v>15</v>
      </c>
      <c r="C5" t="str">
        <f>VLOOKUP(VALUE(A5),CURRENT,2,FALSE)</f>
        <v>ITV</v>
      </c>
      <c r="D5" t="str">
        <f t="shared" si="0"/>
        <v/>
      </c>
    </row>
    <row r="6" spans="1:4" x14ac:dyDescent="0.25">
      <c r="A6" s="4" t="s">
        <v>317</v>
      </c>
      <c r="B6" s="4" t="s">
        <v>16</v>
      </c>
      <c r="C6" t="str">
        <f>VLOOKUP(VALUE(A6),CURRENT,2,FALSE)</f>
        <v>Channel 4</v>
      </c>
      <c r="D6" t="str">
        <f t="shared" si="0"/>
        <v/>
      </c>
    </row>
    <row r="7" spans="1:4" x14ac:dyDescent="0.25">
      <c r="A7" s="4" t="s">
        <v>318</v>
      </c>
      <c r="B7" s="4" t="s">
        <v>17</v>
      </c>
      <c r="C7" t="str">
        <f>VLOOKUP(VALUE(A7),CURRENT,2,FALSE)</f>
        <v>Channel 5</v>
      </c>
      <c r="D7" t="str">
        <f t="shared" si="0"/>
        <v/>
      </c>
    </row>
    <row r="8" spans="1:4" x14ac:dyDescent="0.25">
      <c r="A8" s="4" t="s">
        <v>319</v>
      </c>
      <c r="B8" s="4" t="s">
        <v>18</v>
      </c>
      <c r="C8" t="str">
        <f>VLOOKUP(VALUE(A8),CURRENT,2,FALSE)</f>
        <v>E4</v>
      </c>
      <c r="D8" t="str">
        <f t="shared" si="0"/>
        <v/>
      </c>
    </row>
    <row r="9" spans="1:4" x14ac:dyDescent="0.25">
      <c r="A9" s="4" t="s">
        <v>320</v>
      </c>
      <c r="B9" s="4" t="s">
        <v>19</v>
      </c>
      <c r="C9" t="str">
        <f>VLOOKUP(VALUE(A9),CURRENT,2,FALSE)</f>
        <v>BBC Four</v>
      </c>
      <c r="D9" t="str">
        <f t="shared" si="0"/>
        <v/>
      </c>
    </row>
    <row r="10" spans="1:4" x14ac:dyDescent="0.25">
      <c r="A10" s="4" t="s">
        <v>321</v>
      </c>
      <c r="B10" s="4" t="s">
        <v>20</v>
      </c>
      <c r="C10" t="str">
        <f>VLOOKUP(VALUE(A10),CURRENT,2,FALSE)</f>
        <v>BBC One HD</v>
      </c>
      <c r="D10" t="str">
        <f t="shared" si="0"/>
        <v/>
      </c>
    </row>
    <row r="11" spans="1:4" x14ac:dyDescent="0.25">
      <c r="A11" s="4" t="s">
        <v>322</v>
      </c>
      <c r="B11" s="4" t="s">
        <v>323</v>
      </c>
      <c r="C11" t="str">
        <f>VLOOKUP(VALUE(A11),CURRENT,2,FALSE)</f>
        <v>Sky One HD</v>
      </c>
      <c r="D11" t="str">
        <f t="shared" si="0"/>
        <v/>
      </c>
    </row>
    <row r="12" spans="1:4" x14ac:dyDescent="0.25">
      <c r="A12" s="4" t="s">
        <v>324</v>
      </c>
      <c r="B12" s="4" t="s">
        <v>325</v>
      </c>
      <c r="C12" t="str">
        <f>VLOOKUP(VALUE(A12),CURRENT,2,FALSE)</f>
        <v>Sky One</v>
      </c>
      <c r="D12" t="str">
        <f t="shared" si="0"/>
        <v/>
      </c>
    </row>
    <row r="13" spans="1:4" x14ac:dyDescent="0.25">
      <c r="A13" s="4" t="s">
        <v>326</v>
      </c>
      <c r="B13" s="4" t="s">
        <v>327</v>
      </c>
      <c r="C13" t="str">
        <f>VLOOKUP(VALUE(A13),CURRENT,2,FALSE)</f>
        <v>Sky Witness HD</v>
      </c>
      <c r="D13" t="str">
        <f t="shared" si="0"/>
        <v/>
      </c>
    </row>
    <row r="14" spans="1:4" x14ac:dyDescent="0.25">
      <c r="A14" s="4" t="s">
        <v>328</v>
      </c>
      <c r="B14" s="4" t="s">
        <v>329</v>
      </c>
      <c r="C14" t="str">
        <f>VLOOKUP(VALUE(A14),CURRENT,2,FALSE)</f>
        <v>Sky Witness</v>
      </c>
      <c r="D14" t="str">
        <f t="shared" si="0"/>
        <v/>
      </c>
    </row>
    <row r="15" spans="1:4" x14ac:dyDescent="0.25">
      <c r="A15" s="4" t="s">
        <v>330</v>
      </c>
      <c r="B15" s="4" t="s">
        <v>21</v>
      </c>
      <c r="C15" t="str">
        <f>VLOOKUP(VALUE(A15),CURRENT,2,FALSE)</f>
        <v>ITV HD</v>
      </c>
      <c r="D15" t="str">
        <f t="shared" si="0"/>
        <v/>
      </c>
    </row>
    <row r="16" spans="1:4" x14ac:dyDescent="0.25">
      <c r="A16" s="4" t="s">
        <v>331</v>
      </c>
      <c r="B16" s="4" t="s">
        <v>22</v>
      </c>
      <c r="C16" t="str">
        <f>VLOOKUP(VALUE(A16),CURRENT,2,FALSE)</f>
        <v>ITV +1</v>
      </c>
      <c r="D16" t="str">
        <f t="shared" si="0"/>
        <v/>
      </c>
    </row>
    <row r="17" spans="1:4" x14ac:dyDescent="0.25">
      <c r="A17" s="4" t="s">
        <v>332</v>
      </c>
      <c r="B17" s="4" t="s">
        <v>23</v>
      </c>
      <c r="C17" t="str">
        <f>VLOOKUP(VALUE(A17),CURRENT,2,FALSE)</f>
        <v>ITV2</v>
      </c>
      <c r="D17" t="str">
        <f t="shared" si="0"/>
        <v/>
      </c>
    </row>
    <row r="18" spans="1:4" x14ac:dyDescent="0.25">
      <c r="A18" s="4" t="s">
        <v>333</v>
      </c>
      <c r="B18" s="4" t="s">
        <v>24</v>
      </c>
      <c r="C18" t="str">
        <f>VLOOKUP(VALUE(A18),CURRENT,2,FALSE)</f>
        <v>ITV2 +1</v>
      </c>
      <c r="D18" t="str">
        <f t="shared" si="0"/>
        <v/>
      </c>
    </row>
    <row r="19" spans="1:4" x14ac:dyDescent="0.25">
      <c r="A19" s="4" t="s">
        <v>334</v>
      </c>
      <c r="B19" s="4" t="s">
        <v>25</v>
      </c>
      <c r="C19" t="str">
        <f>VLOOKUP(VALUE(A19),CURRENT,2,FALSE)</f>
        <v>ITV3</v>
      </c>
      <c r="D19" t="str">
        <f t="shared" si="0"/>
        <v/>
      </c>
    </row>
    <row r="20" spans="1:4" x14ac:dyDescent="0.25">
      <c r="A20" s="4" t="s">
        <v>335</v>
      </c>
      <c r="B20" s="4" t="s">
        <v>26</v>
      </c>
      <c r="C20" t="str">
        <f>VLOOKUP(VALUE(A20),CURRENT,2,FALSE)</f>
        <v>ITV4</v>
      </c>
      <c r="D20" t="str">
        <f t="shared" si="0"/>
        <v/>
      </c>
    </row>
    <row r="21" spans="1:4" x14ac:dyDescent="0.25">
      <c r="A21" s="4" t="s">
        <v>336</v>
      </c>
      <c r="B21" s="4" t="s">
        <v>27</v>
      </c>
      <c r="C21" t="str">
        <f>VLOOKUP(VALUE(A21),CURRENT,2,FALSE)</f>
        <v>ITVBe</v>
      </c>
      <c r="D21" t="str">
        <f t="shared" si="0"/>
        <v/>
      </c>
    </row>
    <row r="22" spans="1:4" x14ac:dyDescent="0.25">
      <c r="A22" s="4" t="s">
        <v>337</v>
      </c>
      <c r="B22" s="4" t="s">
        <v>28</v>
      </c>
      <c r="C22" t="str">
        <f>VLOOKUP(VALUE(A22),CURRENT,2,FALSE)</f>
        <v>ITVBe +1</v>
      </c>
      <c r="D22" t="str">
        <f t="shared" si="0"/>
        <v/>
      </c>
    </row>
    <row r="23" spans="1:4" x14ac:dyDescent="0.25">
      <c r="A23" s="4" t="s">
        <v>338</v>
      </c>
      <c r="B23" s="4" t="s">
        <v>339</v>
      </c>
      <c r="C23" t="str">
        <f>VLOOKUP(VALUE(A23),CURRENT,2,FALSE)</f>
        <v>Sky Two</v>
      </c>
      <c r="D23" t="str">
        <f t="shared" si="0"/>
        <v/>
      </c>
    </row>
    <row r="24" spans="1:4" x14ac:dyDescent="0.25">
      <c r="A24" s="4" t="s">
        <v>340</v>
      </c>
      <c r="B24" s="4" t="s">
        <v>29</v>
      </c>
      <c r="C24" t="str">
        <f>VLOOKUP(VALUE(A24),CURRENT,2,FALSE)</f>
        <v>Sky Arts</v>
      </c>
      <c r="D24" t="str">
        <f t="shared" si="0"/>
        <v/>
      </c>
    </row>
    <row r="25" spans="1:4" x14ac:dyDescent="0.25">
      <c r="A25" s="4" t="s">
        <v>341</v>
      </c>
      <c r="B25" s="4" t="s">
        <v>30</v>
      </c>
      <c r="C25" t="str">
        <f>VLOOKUP(VALUE(A25),CURRENT,2,FALSE)</f>
        <v>Pick</v>
      </c>
      <c r="D25" t="str">
        <f t="shared" si="0"/>
        <v/>
      </c>
    </row>
    <row r="26" spans="1:4" x14ac:dyDescent="0.25">
      <c r="A26" s="4" t="s">
        <v>342</v>
      </c>
      <c r="B26" s="4" t="s">
        <v>343</v>
      </c>
      <c r="C26" t="str">
        <f>VLOOKUP(VALUE(A26),CURRENT,2,FALSE)</f>
        <v>Gold HD</v>
      </c>
      <c r="D26" t="str">
        <f t="shared" si="0"/>
        <v/>
      </c>
    </row>
    <row r="27" spans="1:4" x14ac:dyDescent="0.25">
      <c r="A27" s="4" t="s">
        <v>344</v>
      </c>
      <c r="B27" s="4" t="s">
        <v>32</v>
      </c>
      <c r="C27" t="str">
        <f>VLOOKUP(VALUE(A27),CURRENT,2,FALSE)</f>
        <v>W</v>
      </c>
      <c r="D27" t="str">
        <f t="shared" si="0"/>
        <v/>
      </c>
    </row>
    <row r="28" spans="1:4" x14ac:dyDescent="0.25">
      <c r="A28" s="4" t="s">
        <v>345</v>
      </c>
      <c r="B28" s="4" t="s">
        <v>33</v>
      </c>
      <c r="C28" t="str">
        <f>VLOOKUP(VALUE(A28),CURRENT,2,FALSE)</f>
        <v>alibi</v>
      </c>
      <c r="D28" t="str">
        <f t="shared" si="0"/>
        <v/>
      </c>
    </row>
    <row r="29" spans="1:4" x14ac:dyDescent="0.25">
      <c r="A29" s="4" t="s">
        <v>346</v>
      </c>
      <c r="B29" s="4" t="s">
        <v>34</v>
      </c>
      <c r="C29" t="str">
        <f>VLOOKUP(VALUE(A29),CURRENT,2,FALSE)</f>
        <v>Dave</v>
      </c>
      <c r="D29" t="str">
        <f t="shared" si="0"/>
        <v/>
      </c>
    </row>
    <row r="30" spans="1:4" x14ac:dyDescent="0.25">
      <c r="A30" s="4" t="s">
        <v>347</v>
      </c>
      <c r="B30" s="4" t="s">
        <v>35</v>
      </c>
      <c r="C30" t="str">
        <f>VLOOKUP(VALUE(A30),CURRENT,2,FALSE)</f>
        <v>Drama</v>
      </c>
      <c r="D30" t="str">
        <f t="shared" si="0"/>
        <v/>
      </c>
    </row>
    <row r="31" spans="1:4" x14ac:dyDescent="0.25">
      <c r="A31" s="4" t="s">
        <v>348</v>
      </c>
      <c r="B31" s="4" t="s">
        <v>36</v>
      </c>
      <c r="C31" t="str">
        <f>VLOOKUP(VALUE(A31),CURRENT,2,FALSE)</f>
        <v>Really</v>
      </c>
      <c r="D31" t="str">
        <f t="shared" si="0"/>
        <v/>
      </c>
    </row>
    <row r="32" spans="1:4" x14ac:dyDescent="0.25">
      <c r="A32" s="4" t="s">
        <v>349</v>
      </c>
      <c r="B32" s="4" t="s">
        <v>37</v>
      </c>
      <c r="C32" t="str">
        <f>VLOOKUP(VALUE(A32),CURRENT,2,FALSE)</f>
        <v>alibi +1</v>
      </c>
      <c r="D32" t="str">
        <f t="shared" si="0"/>
        <v/>
      </c>
    </row>
    <row r="33" spans="1:4" x14ac:dyDescent="0.25">
      <c r="A33" s="4" t="s">
        <v>350</v>
      </c>
      <c r="B33" s="4" t="s">
        <v>38</v>
      </c>
      <c r="C33" t="str">
        <f>VLOOKUP(VALUE(A33),CURRENT,2,FALSE)</f>
        <v>W +1</v>
      </c>
      <c r="D33" t="str">
        <f t="shared" si="0"/>
        <v/>
      </c>
    </row>
    <row r="34" spans="1:4" x14ac:dyDescent="0.25">
      <c r="A34" s="4" t="s">
        <v>351</v>
      </c>
      <c r="B34" s="4" t="s">
        <v>39</v>
      </c>
      <c r="C34" t="str">
        <f>VLOOKUP(VALUE(A34),CURRENT,2,FALSE)</f>
        <v>Comedy Central</v>
      </c>
      <c r="D34" t="str">
        <f t="shared" si="0"/>
        <v/>
      </c>
    </row>
    <row r="35" spans="1:4" x14ac:dyDescent="0.25">
      <c r="A35" s="4" t="s">
        <v>352</v>
      </c>
      <c r="B35" s="4" t="s">
        <v>40</v>
      </c>
      <c r="C35" t="str">
        <f>VLOOKUP(VALUE(A35),CURRENT,2,FALSE)</f>
        <v>Comedy Central +1</v>
      </c>
      <c r="D35" t="str">
        <f t="shared" si="0"/>
        <v/>
      </c>
    </row>
    <row r="36" spans="1:4" x14ac:dyDescent="0.25">
      <c r="A36" s="4" t="s">
        <v>353</v>
      </c>
      <c r="B36" s="4" t="s">
        <v>41</v>
      </c>
      <c r="C36" t="str">
        <f>VLOOKUP(VALUE(A36),CURRENT,2,FALSE)</f>
        <v>MTV</v>
      </c>
      <c r="D36" t="str">
        <f t="shared" si="0"/>
        <v/>
      </c>
    </row>
    <row r="37" spans="1:4" x14ac:dyDescent="0.25">
      <c r="A37" s="4" t="s">
        <v>354</v>
      </c>
      <c r="B37" s="4" t="s">
        <v>355</v>
      </c>
      <c r="C37" t="str">
        <f>VLOOKUP(VALUE(A37),CURRENT,2,FALSE)</f>
        <v>Syfy</v>
      </c>
      <c r="D37" t="str">
        <f t="shared" si="0"/>
        <v/>
      </c>
    </row>
    <row r="38" spans="1:4" x14ac:dyDescent="0.25">
      <c r="A38" s="4" t="s">
        <v>356</v>
      </c>
      <c r="B38" s="4" t="s">
        <v>357</v>
      </c>
      <c r="C38" t="str">
        <f>VLOOKUP(VALUE(A38),CURRENT,2,FALSE)</f>
        <v>Syfy +1</v>
      </c>
      <c r="D38" t="str">
        <f t="shared" si="0"/>
        <v/>
      </c>
    </row>
    <row r="39" spans="1:4" x14ac:dyDescent="0.25">
      <c r="A39" s="4" t="s">
        <v>358</v>
      </c>
      <c r="B39" s="4" t="s">
        <v>359</v>
      </c>
      <c r="C39" t="str">
        <f>VLOOKUP(VALUE(A39),CURRENT,2,FALSE)</f>
        <v>Universal TV</v>
      </c>
      <c r="D39" t="str">
        <f t="shared" si="0"/>
        <v/>
      </c>
    </row>
    <row r="40" spans="1:4" x14ac:dyDescent="0.25">
      <c r="A40" s="4" t="s">
        <v>360</v>
      </c>
      <c r="B40" s="4" t="s">
        <v>361</v>
      </c>
      <c r="C40" t="str">
        <f>VLOOKUP(VALUE(A40),CURRENT,2,FALSE)</f>
        <v>Universal TV +1</v>
      </c>
      <c r="D40" t="str">
        <f t="shared" si="0"/>
        <v/>
      </c>
    </row>
    <row r="41" spans="1:4" x14ac:dyDescent="0.25">
      <c r="A41" s="4" t="s">
        <v>362</v>
      </c>
      <c r="B41" s="4" t="s">
        <v>44</v>
      </c>
      <c r="C41" t="str">
        <f>VLOOKUP(VALUE(A41),CURRENT,2,FALSE)</f>
        <v>Challenge</v>
      </c>
      <c r="D41" t="str">
        <f t="shared" si="0"/>
        <v/>
      </c>
    </row>
    <row r="42" spans="1:4" x14ac:dyDescent="0.25">
      <c r="A42" s="4" t="s">
        <v>363</v>
      </c>
      <c r="B42" s="4" t="s">
        <v>364</v>
      </c>
      <c r="C42" t="str">
        <f>VLOOKUP(VALUE(A42),CURRENT,2,FALSE)</f>
        <v>Sky Witness +1</v>
      </c>
      <c r="D42" t="str">
        <f t="shared" si="0"/>
        <v/>
      </c>
    </row>
    <row r="43" spans="1:4" x14ac:dyDescent="0.25">
      <c r="A43" s="4" t="s">
        <v>365</v>
      </c>
      <c r="B43" s="4" t="s">
        <v>45</v>
      </c>
      <c r="C43" t="str">
        <f>VLOOKUP(VALUE(A43),CURRENT,2,FALSE)</f>
        <v>Channel 4 HD</v>
      </c>
      <c r="D43" t="str">
        <f t="shared" si="0"/>
        <v/>
      </c>
    </row>
    <row r="44" spans="1:4" x14ac:dyDescent="0.25">
      <c r="A44" s="4" t="s">
        <v>366</v>
      </c>
      <c r="B44" s="4" t="s">
        <v>46</v>
      </c>
      <c r="C44" t="str">
        <f>VLOOKUP(VALUE(A44),CURRENT,2,FALSE)</f>
        <v>Channel 4 +1</v>
      </c>
      <c r="D44" t="str">
        <f t="shared" si="0"/>
        <v/>
      </c>
    </row>
    <row r="45" spans="1:4" x14ac:dyDescent="0.25">
      <c r="A45" s="4" t="s">
        <v>367</v>
      </c>
      <c r="B45" s="4" t="s">
        <v>368</v>
      </c>
      <c r="C45" t="str">
        <f>VLOOKUP(VALUE(A45),CURRENT,2,FALSE)</f>
        <v>4seven</v>
      </c>
      <c r="D45" t="str">
        <f t="shared" si="0"/>
        <v/>
      </c>
    </row>
    <row r="46" spans="1:4" x14ac:dyDescent="0.25">
      <c r="A46" s="4" t="s">
        <v>369</v>
      </c>
      <c r="B46" s="4" t="s">
        <v>48</v>
      </c>
      <c r="C46" t="str">
        <f>VLOOKUP(VALUE(A46),CURRENT,2,FALSE)</f>
        <v>E4 HD</v>
      </c>
      <c r="D46" t="str">
        <f t="shared" si="0"/>
        <v/>
      </c>
    </row>
    <row r="47" spans="1:4" x14ac:dyDescent="0.25">
      <c r="A47" s="4" t="s">
        <v>370</v>
      </c>
      <c r="B47" s="4" t="s">
        <v>49</v>
      </c>
      <c r="C47" t="str">
        <f>VLOOKUP(VALUE(A47),CURRENT,2,FALSE)</f>
        <v>E4 +1</v>
      </c>
      <c r="D47" t="str">
        <f t="shared" si="0"/>
        <v/>
      </c>
    </row>
    <row r="48" spans="1:4" x14ac:dyDescent="0.25">
      <c r="A48" s="4" t="s">
        <v>371</v>
      </c>
      <c r="B48" s="4" t="s">
        <v>50</v>
      </c>
      <c r="C48" t="str">
        <f>VLOOKUP(VALUE(A48),CURRENT,2,FALSE)</f>
        <v>More4</v>
      </c>
      <c r="D48" t="str">
        <f t="shared" si="0"/>
        <v/>
      </c>
    </row>
    <row r="49" spans="1:4" x14ac:dyDescent="0.25">
      <c r="A49" s="4" t="s">
        <v>372</v>
      </c>
      <c r="B49" s="4" t="s">
        <v>51</v>
      </c>
      <c r="C49" t="str">
        <f>VLOOKUP(VALUE(A49),CURRENT,2,FALSE)</f>
        <v>CBS Reality</v>
      </c>
      <c r="D49" t="str">
        <f t="shared" si="0"/>
        <v/>
      </c>
    </row>
    <row r="50" spans="1:4" x14ac:dyDescent="0.25">
      <c r="A50" s="4" t="s">
        <v>373</v>
      </c>
      <c r="B50" s="4" t="s">
        <v>52</v>
      </c>
      <c r="C50" t="str">
        <f>VLOOKUP(VALUE(A50),CURRENT,2,FALSE)</f>
        <v>Horror Channel</v>
      </c>
      <c r="D50" t="str">
        <f t="shared" si="0"/>
        <v/>
      </c>
    </row>
    <row r="51" spans="1:4" x14ac:dyDescent="0.25">
      <c r="A51" s="4" t="s">
        <v>374</v>
      </c>
      <c r="B51" s="4" t="s">
        <v>53</v>
      </c>
      <c r="C51" t="str">
        <f>VLOOKUP(VALUE(A51),CURRENT,2,FALSE)</f>
        <v>Channel 5 HD</v>
      </c>
      <c r="D51" t="str">
        <f t="shared" si="0"/>
        <v/>
      </c>
    </row>
    <row r="52" spans="1:4" x14ac:dyDescent="0.25">
      <c r="A52" s="4" t="s">
        <v>375</v>
      </c>
      <c r="B52" s="4" t="s">
        <v>54</v>
      </c>
      <c r="C52" t="str">
        <f>VLOOKUP(VALUE(A52),CURRENT,2,FALSE)</f>
        <v>5STAR</v>
      </c>
      <c r="D52" t="str">
        <f t="shared" si="0"/>
        <v/>
      </c>
    </row>
    <row r="53" spans="1:4" x14ac:dyDescent="0.25">
      <c r="A53" s="4" t="s">
        <v>376</v>
      </c>
      <c r="B53" s="4" t="s">
        <v>377</v>
      </c>
      <c r="C53" t="str">
        <f>VLOOKUP(VALUE(A53),CURRENT,2,FALSE)</f>
        <v>5Select</v>
      </c>
      <c r="D53" t="str">
        <f t="shared" si="0"/>
        <v/>
      </c>
    </row>
    <row r="54" spans="1:4" x14ac:dyDescent="0.25">
      <c r="A54" s="4" t="s">
        <v>378</v>
      </c>
      <c r="B54" s="4" t="s">
        <v>55</v>
      </c>
      <c r="C54" t="str">
        <f>VLOOKUP(VALUE(A54),CURRENT,2,FALSE)</f>
        <v>5 USA</v>
      </c>
      <c r="D54" t="str">
        <f t="shared" si="0"/>
        <v/>
      </c>
    </row>
    <row r="55" spans="1:4" x14ac:dyDescent="0.25">
      <c r="A55" s="4" t="s">
        <v>379</v>
      </c>
      <c r="B55" s="4" t="s">
        <v>380</v>
      </c>
      <c r="C55" t="str">
        <f>VLOOKUP(VALUE(A55),CURRENT,2,FALSE)</f>
        <v>5Spike</v>
      </c>
      <c r="D55" t="str">
        <f t="shared" si="0"/>
        <v/>
      </c>
    </row>
    <row r="56" spans="1:4" x14ac:dyDescent="0.25">
      <c r="A56" s="4" t="s">
        <v>381</v>
      </c>
      <c r="B56" s="4" t="s">
        <v>56</v>
      </c>
      <c r="C56" t="str">
        <f>VLOOKUP(VALUE(A56),CURRENT,2,FALSE)</f>
        <v>Channel 5 +1</v>
      </c>
      <c r="D56" t="str">
        <f t="shared" si="0"/>
        <v/>
      </c>
    </row>
    <row r="57" spans="1:4" x14ac:dyDescent="0.25">
      <c r="A57" s="4" t="s">
        <v>382</v>
      </c>
      <c r="B57" s="4" t="s">
        <v>57</v>
      </c>
      <c r="C57" t="str">
        <f>VLOOKUP(VALUE(A57),CURRENT,2,FALSE)</f>
        <v>E!</v>
      </c>
      <c r="D57" t="str">
        <f t="shared" si="0"/>
        <v/>
      </c>
    </row>
    <row r="58" spans="1:4" x14ac:dyDescent="0.25">
      <c r="A58" s="4" t="s">
        <v>383</v>
      </c>
      <c r="B58" s="4" t="s">
        <v>58</v>
      </c>
      <c r="C58" t="str">
        <f>VLOOKUP(VALUE(A58),CURRENT,2,FALSE)</f>
        <v>FOX</v>
      </c>
      <c r="D58" t="str">
        <f t="shared" si="0"/>
        <v/>
      </c>
    </row>
    <row r="59" spans="1:4" x14ac:dyDescent="0.25">
      <c r="A59" s="4" t="s">
        <v>384</v>
      </c>
      <c r="B59" s="4" t="s">
        <v>59</v>
      </c>
      <c r="C59" t="str">
        <f>VLOOKUP(VALUE(A59),CURRENT,2,FALSE)</f>
        <v>FOX +1</v>
      </c>
      <c r="D59" t="str">
        <f t="shared" si="0"/>
        <v/>
      </c>
    </row>
    <row r="60" spans="1:4" x14ac:dyDescent="0.25">
      <c r="A60" s="4" t="s">
        <v>385</v>
      </c>
      <c r="B60" s="4" t="s">
        <v>386</v>
      </c>
      <c r="C60" t="str">
        <f>VLOOKUP(VALUE(A60),CURRENT,2,FALSE)</f>
        <v>Regional Channels</v>
      </c>
      <c r="D60" t="str">
        <f t="shared" si="0"/>
        <v/>
      </c>
    </row>
    <row r="61" spans="1:4" x14ac:dyDescent="0.25">
      <c r="A61" s="4" t="s">
        <v>385</v>
      </c>
      <c r="B61" s="4" t="s">
        <v>386</v>
      </c>
      <c r="C61" t="str">
        <f>VLOOKUP(VALUE(A61),CURRENT,2,FALSE)</f>
        <v>Regional Channels</v>
      </c>
      <c r="D61" t="str">
        <f t="shared" si="0"/>
        <v/>
      </c>
    </row>
    <row r="62" spans="1:4" x14ac:dyDescent="0.25">
      <c r="A62" s="4" t="s">
        <v>387</v>
      </c>
      <c r="B62" s="4" t="s">
        <v>60</v>
      </c>
      <c r="C62" t="str">
        <f>VLOOKUP(VALUE(A62),CURRENT,2,FALSE)</f>
        <v>Real Lives</v>
      </c>
      <c r="D62" t="str">
        <f t="shared" si="0"/>
        <v/>
      </c>
    </row>
    <row r="63" spans="1:4" x14ac:dyDescent="0.25">
      <c r="A63" s="4" t="s">
        <v>388</v>
      </c>
      <c r="B63" s="4" t="s">
        <v>61</v>
      </c>
      <c r="C63" t="str">
        <f>VLOOKUP(VALUE(A63),CURRENT,2,FALSE)</f>
        <v>BBC Alba</v>
      </c>
      <c r="D63" t="str">
        <f t="shared" si="0"/>
        <v/>
      </c>
    </row>
    <row r="64" spans="1:4" x14ac:dyDescent="0.25">
      <c r="A64" s="4" t="s">
        <v>389</v>
      </c>
      <c r="B64" s="4" t="s">
        <v>62</v>
      </c>
      <c r="C64" t="str">
        <f>VLOOKUP(VALUE(A64),CURRENT,2,FALSE)</f>
        <v>BBC Two HD</v>
      </c>
      <c r="D64" t="str">
        <f t="shared" si="0"/>
        <v/>
      </c>
    </row>
    <row r="65" spans="1:4" x14ac:dyDescent="0.25">
      <c r="A65" s="4" t="s">
        <v>390</v>
      </c>
      <c r="B65" s="4" t="s">
        <v>63</v>
      </c>
      <c r="C65" t="str">
        <f>VLOOKUP(VALUE(A65),CURRENT,2,FALSE)</f>
        <v>BBC Four HD</v>
      </c>
      <c r="D65" t="str">
        <f t="shared" si="0"/>
        <v/>
      </c>
    </row>
    <row r="66" spans="1:4" x14ac:dyDescent="0.25">
      <c r="A66" s="4" t="s">
        <v>391</v>
      </c>
      <c r="B66" s="4" t="s">
        <v>392</v>
      </c>
      <c r="C66" t="str">
        <f>VLOOKUP(VALUE(A66),CURRENT,2,FALSE)</f>
        <v>Universal TV HD</v>
      </c>
      <c r="D66" t="str">
        <f t="shared" si="0"/>
        <v/>
      </c>
    </row>
    <row r="67" spans="1:4" x14ac:dyDescent="0.25">
      <c r="A67" s="4" t="s">
        <v>393</v>
      </c>
      <c r="B67" s="4" t="s">
        <v>394</v>
      </c>
      <c r="C67" t="str">
        <f>VLOOKUP(VALUE(A67),CURRENT,2,FALSE)</f>
        <v>Syfy HD</v>
      </c>
      <c r="D67" t="str">
        <f t="shared" ref="D67:D130" si="1">IF(B67=C67,"","x")</f>
        <v/>
      </c>
    </row>
    <row r="68" spans="1:4" x14ac:dyDescent="0.25">
      <c r="A68" s="4" t="s">
        <v>395</v>
      </c>
      <c r="B68" s="4" t="s">
        <v>65</v>
      </c>
      <c r="C68" t="str">
        <f>VLOOKUP(VALUE(A68),CURRENT,2,FALSE)</f>
        <v>S4C</v>
      </c>
      <c r="D68" t="str">
        <f t="shared" si="1"/>
        <v/>
      </c>
    </row>
    <row r="69" spans="1:4" x14ac:dyDescent="0.25">
      <c r="A69" s="4" t="s">
        <v>396</v>
      </c>
      <c r="B69" s="4" t="s">
        <v>66</v>
      </c>
      <c r="C69" t="str">
        <f>VLOOKUP(VALUE(A69),CURRENT,2,FALSE)</f>
        <v>TLC</v>
      </c>
      <c r="D69" t="str">
        <f t="shared" si="1"/>
        <v/>
      </c>
    </row>
    <row r="70" spans="1:4" x14ac:dyDescent="0.25">
      <c r="A70" s="4" t="s">
        <v>397</v>
      </c>
      <c r="B70" s="4" t="s">
        <v>67</v>
      </c>
      <c r="C70" t="str">
        <f>VLOOKUP(VALUE(A70),CURRENT,2,FALSE)</f>
        <v>TLC HD</v>
      </c>
      <c r="D70" t="str">
        <f t="shared" si="1"/>
        <v/>
      </c>
    </row>
    <row r="71" spans="1:4" x14ac:dyDescent="0.25">
      <c r="A71" s="4" t="s">
        <v>398</v>
      </c>
      <c r="B71" s="4" t="s">
        <v>68</v>
      </c>
      <c r="C71" t="str">
        <f>VLOOKUP(VALUE(A71),CURRENT,2,FALSE)</f>
        <v>TLC +1</v>
      </c>
      <c r="D71" t="str">
        <f t="shared" si="1"/>
        <v/>
      </c>
    </row>
    <row r="72" spans="1:4" x14ac:dyDescent="0.25">
      <c r="A72" s="4" t="s">
        <v>399</v>
      </c>
      <c r="B72" s="4" t="s">
        <v>69</v>
      </c>
      <c r="C72" t="str">
        <f>VLOOKUP(VALUE(A72),CURRENT,2,FALSE)</f>
        <v>Investigation Discovery</v>
      </c>
      <c r="D72" t="str">
        <f t="shared" si="1"/>
        <v/>
      </c>
    </row>
    <row r="73" spans="1:4" x14ac:dyDescent="0.25">
      <c r="A73" s="4" t="s">
        <v>400</v>
      </c>
      <c r="B73" s="4" t="s">
        <v>70</v>
      </c>
      <c r="C73" t="str">
        <f>VLOOKUP(VALUE(A73),CURRENT,2,FALSE)</f>
        <v>Investigation Discovery +1</v>
      </c>
      <c r="D73" t="str">
        <f t="shared" si="1"/>
        <v/>
      </c>
    </row>
    <row r="74" spans="1:4" x14ac:dyDescent="0.25">
      <c r="A74" s="4" t="s">
        <v>401</v>
      </c>
      <c r="B74" s="4" t="s">
        <v>71</v>
      </c>
      <c r="C74" t="str">
        <f>VLOOKUP(VALUE(A74),CURRENT,2,FALSE)</f>
        <v>Quest</v>
      </c>
      <c r="D74" t="str">
        <f t="shared" si="1"/>
        <v/>
      </c>
    </row>
    <row r="75" spans="1:4" x14ac:dyDescent="0.25">
      <c r="A75" s="4" t="s">
        <v>402</v>
      </c>
      <c r="B75" s="4" t="s">
        <v>72</v>
      </c>
      <c r="C75" t="str">
        <f>VLOOKUP(VALUE(A75),CURRENT,2,FALSE)</f>
        <v>Quest +1</v>
      </c>
      <c r="D75" t="str">
        <f t="shared" si="1"/>
        <v/>
      </c>
    </row>
    <row r="76" spans="1:4" x14ac:dyDescent="0.25">
      <c r="A76" s="4" t="s">
        <v>403</v>
      </c>
      <c r="B76" s="4" t="s">
        <v>73</v>
      </c>
      <c r="C76" t="str">
        <f>VLOOKUP(VALUE(A76),CURRENT,2,FALSE)</f>
        <v>ITV3 +1</v>
      </c>
      <c r="D76" t="str">
        <f t="shared" si="1"/>
        <v/>
      </c>
    </row>
    <row r="77" spans="1:4" x14ac:dyDescent="0.25">
      <c r="A77" s="4" t="s">
        <v>404</v>
      </c>
      <c r="B77" s="4" t="s">
        <v>74</v>
      </c>
      <c r="C77" t="str">
        <f>VLOOKUP(VALUE(A77),CURRENT,2,FALSE)</f>
        <v>ITV4 +1</v>
      </c>
      <c r="D77" t="str">
        <f t="shared" si="1"/>
        <v/>
      </c>
    </row>
    <row r="78" spans="1:4" x14ac:dyDescent="0.25">
      <c r="A78" s="4" t="s">
        <v>405</v>
      </c>
      <c r="B78" s="4" t="s">
        <v>75</v>
      </c>
      <c r="C78" t="str">
        <f>VLOOKUP(VALUE(A78),CURRENT,2,FALSE)</f>
        <v>ITV2 HD</v>
      </c>
      <c r="D78" t="str">
        <f t="shared" si="1"/>
        <v/>
      </c>
    </row>
    <row r="79" spans="1:4" x14ac:dyDescent="0.25">
      <c r="A79" s="4" t="s">
        <v>406</v>
      </c>
      <c r="B79" s="4" t="s">
        <v>76</v>
      </c>
      <c r="C79" t="str">
        <f>VLOOKUP(VALUE(A79),CURRENT,2,FALSE)</f>
        <v>ITV3 HD</v>
      </c>
      <c r="D79" t="str">
        <f t="shared" si="1"/>
        <v/>
      </c>
    </row>
    <row r="80" spans="1:4" x14ac:dyDescent="0.25">
      <c r="A80" s="4" t="s">
        <v>407</v>
      </c>
      <c r="B80" s="4" t="s">
        <v>77</v>
      </c>
      <c r="C80" t="str">
        <f>VLOOKUP(VALUE(A80),CURRENT,2,FALSE)</f>
        <v>ITV4 HD</v>
      </c>
      <c r="D80" t="str">
        <f t="shared" si="1"/>
        <v/>
      </c>
    </row>
    <row r="81" spans="1:4" x14ac:dyDescent="0.25">
      <c r="A81" s="4" t="s">
        <v>408</v>
      </c>
      <c r="B81" s="4" t="s">
        <v>78</v>
      </c>
      <c r="C81" t="str">
        <f>VLOOKUP(VALUE(A81),CURRENT,2,FALSE)</f>
        <v>ITVBe HD</v>
      </c>
      <c r="D81" t="str">
        <f t="shared" si="1"/>
        <v/>
      </c>
    </row>
    <row r="82" spans="1:4" x14ac:dyDescent="0.25">
      <c r="A82" s="4" t="s">
        <v>409</v>
      </c>
      <c r="B82" s="4" t="s">
        <v>79</v>
      </c>
      <c r="C82" t="str">
        <f>VLOOKUP(VALUE(A82),CURRENT,2,FALSE)</f>
        <v>Challenge +1</v>
      </c>
      <c r="D82" t="str">
        <f t="shared" si="1"/>
        <v/>
      </c>
    </row>
    <row r="83" spans="1:4" x14ac:dyDescent="0.25">
      <c r="A83" s="4" t="s">
        <v>410</v>
      </c>
      <c r="B83" s="4" t="s">
        <v>80</v>
      </c>
      <c r="C83" t="str">
        <f>VLOOKUP(VALUE(A83),CURRENT,2,FALSE)</f>
        <v>Comedy Central HD</v>
      </c>
      <c r="D83" t="str">
        <f t="shared" si="1"/>
        <v/>
      </c>
    </row>
    <row r="84" spans="1:4" x14ac:dyDescent="0.25">
      <c r="A84" s="4" t="s">
        <v>411</v>
      </c>
      <c r="B84" s="4" t="s">
        <v>81</v>
      </c>
      <c r="C84" t="str">
        <f>VLOOKUP(VALUE(A84),CURRENT,2,FALSE)</f>
        <v>Comedy Central Extra</v>
      </c>
      <c r="D84" t="str">
        <f t="shared" si="1"/>
        <v/>
      </c>
    </row>
    <row r="85" spans="1:4" x14ac:dyDescent="0.25">
      <c r="A85" s="4" t="s">
        <v>412</v>
      </c>
      <c r="B85" s="4" t="s">
        <v>82</v>
      </c>
      <c r="C85" t="str">
        <f>VLOOKUP(VALUE(A85),CURRENT,2,FALSE)</f>
        <v>MTV HD</v>
      </c>
      <c r="D85" t="str">
        <f t="shared" si="1"/>
        <v/>
      </c>
    </row>
    <row r="86" spans="1:4" x14ac:dyDescent="0.25">
      <c r="A86" s="4" t="s">
        <v>413</v>
      </c>
      <c r="B86" s="4" t="s">
        <v>83</v>
      </c>
      <c r="C86" t="str">
        <f>VLOOKUP(VALUE(A86),CURRENT,2,FALSE)</f>
        <v>BET</v>
      </c>
      <c r="D86" t="str">
        <f t="shared" si="1"/>
        <v/>
      </c>
    </row>
    <row r="87" spans="1:4" x14ac:dyDescent="0.25">
      <c r="A87" s="4" t="s">
        <v>414</v>
      </c>
      <c r="B87" s="4" t="s">
        <v>84</v>
      </c>
      <c r="C87" t="str">
        <f>VLOOKUP(VALUE(A87),CURRENT,2,FALSE)</f>
        <v>5 USA +1</v>
      </c>
      <c r="D87" t="str">
        <f t="shared" si="1"/>
        <v/>
      </c>
    </row>
    <row r="88" spans="1:4" x14ac:dyDescent="0.25">
      <c r="A88" s="4" t="s">
        <v>415</v>
      </c>
      <c r="B88" s="4" t="s">
        <v>85</v>
      </c>
      <c r="C88" t="str">
        <f>VLOOKUP(VALUE(A88),CURRENT,2,FALSE)</f>
        <v>5STAR +1</v>
      </c>
      <c r="D88" t="str">
        <f t="shared" si="1"/>
        <v/>
      </c>
    </row>
    <row r="89" spans="1:4" x14ac:dyDescent="0.25">
      <c r="A89" s="4" t="s">
        <v>416</v>
      </c>
      <c r="B89" s="4" t="s">
        <v>417</v>
      </c>
      <c r="C89" t="str">
        <f>VLOOKUP(VALUE(A89),CURRENT,2,FALSE)</f>
        <v>Paramount Network HD</v>
      </c>
      <c r="D89" t="str">
        <f t="shared" si="1"/>
        <v/>
      </c>
    </row>
    <row r="90" spans="1:4" x14ac:dyDescent="0.25">
      <c r="A90" s="4" t="s">
        <v>418</v>
      </c>
      <c r="B90" s="4" t="s">
        <v>419</v>
      </c>
      <c r="C90" t="str">
        <f>VLOOKUP(VALUE(A90),CURRENT,2,FALSE)</f>
        <v>Paramount Network</v>
      </c>
      <c r="D90" t="str">
        <f t="shared" si="1"/>
        <v/>
      </c>
    </row>
    <row r="91" spans="1:4" x14ac:dyDescent="0.25">
      <c r="A91" s="4" t="s">
        <v>420</v>
      </c>
      <c r="B91" s="4" t="s">
        <v>421</v>
      </c>
      <c r="C91" t="str">
        <f>VLOOKUP(VALUE(A91),CURRENT,2,FALSE)</f>
        <v>True Entertainment</v>
      </c>
      <c r="D91" t="str">
        <f t="shared" si="1"/>
        <v/>
      </c>
    </row>
    <row r="92" spans="1:4" x14ac:dyDescent="0.25">
      <c r="A92" s="4" t="s">
        <v>422</v>
      </c>
      <c r="B92" s="4" t="s">
        <v>86</v>
      </c>
      <c r="C92" t="str">
        <f>VLOOKUP(VALUE(A92),CURRENT,2,FALSE)</f>
        <v>Gold +1</v>
      </c>
      <c r="D92" t="str">
        <f t="shared" si="1"/>
        <v/>
      </c>
    </row>
    <row r="93" spans="1:4" x14ac:dyDescent="0.25">
      <c r="A93" s="4" t="s">
        <v>423</v>
      </c>
      <c r="B93" s="4" t="s">
        <v>87</v>
      </c>
      <c r="C93" t="str">
        <f>VLOOKUP(VALUE(A93),CURRENT,2,FALSE)</f>
        <v>W HD</v>
      </c>
      <c r="D93" t="str">
        <f t="shared" si="1"/>
        <v/>
      </c>
    </row>
    <row r="94" spans="1:4" x14ac:dyDescent="0.25">
      <c r="A94" s="4" t="s">
        <v>424</v>
      </c>
      <c r="B94" s="4" t="s">
        <v>88</v>
      </c>
      <c r="C94" t="str">
        <f>VLOOKUP(VALUE(A94),CURRENT,2,FALSE)</f>
        <v>CBS Action</v>
      </c>
      <c r="D94" t="str">
        <f t="shared" si="1"/>
        <v/>
      </c>
    </row>
    <row r="95" spans="1:4" x14ac:dyDescent="0.25">
      <c r="A95" s="4" t="s">
        <v>425</v>
      </c>
      <c r="B95" s="4" t="s">
        <v>89</v>
      </c>
      <c r="C95" t="str">
        <f>VLOOKUP(VALUE(A95),CURRENT,2,FALSE)</f>
        <v>Sony Crime Channel</v>
      </c>
      <c r="D95" t="str">
        <f t="shared" si="1"/>
        <v/>
      </c>
    </row>
    <row r="96" spans="1:4" x14ac:dyDescent="0.25">
      <c r="A96" s="4" t="s">
        <v>426</v>
      </c>
      <c r="B96" s="4" t="s">
        <v>90</v>
      </c>
      <c r="C96" t="str">
        <f>VLOOKUP(VALUE(A96),CURRENT,2,FALSE)</f>
        <v>Dave HD</v>
      </c>
      <c r="D96" t="str">
        <f t="shared" si="1"/>
        <v/>
      </c>
    </row>
    <row r="97" spans="1:4" x14ac:dyDescent="0.25">
      <c r="A97" s="4" t="s">
        <v>427</v>
      </c>
      <c r="B97" s="4" t="s">
        <v>91</v>
      </c>
      <c r="C97" t="str">
        <f>VLOOKUP(VALUE(A97),CURRENT,2,FALSE)</f>
        <v>More4 HD</v>
      </c>
      <c r="D97" t="str">
        <f t="shared" si="1"/>
        <v/>
      </c>
    </row>
    <row r="98" spans="1:4" x14ac:dyDescent="0.25">
      <c r="A98" s="4" t="s">
        <v>428</v>
      </c>
      <c r="B98" s="4" t="s">
        <v>429</v>
      </c>
      <c r="C98" t="str">
        <f>VLOOKUP(VALUE(A98),CURRENT,2,FALSE)</f>
        <v>More4 +1</v>
      </c>
      <c r="D98" t="str">
        <f t="shared" si="1"/>
        <v/>
      </c>
    </row>
    <row r="99" spans="1:4" x14ac:dyDescent="0.25">
      <c r="A99" s="4" t="s">
        <v>430</v>
      </c>
      <c r="B99" s="4" t="s">
        <v>92</v>
      </c>
      <c r="C99" t="str">
        <f>VLOOKUP(VALUE(A99),CURRENT,2,FALSE)</f>
        <v>CBS Drama</v>
      </c>
      <c r="D99" t="str">
        <f t="shared" si="1"/>
        <v/>
      </c>
    </row>
    <row r="100" spans="1:4" x14ac:dyDescent="0.25">
      <c r="A100" s="4" t="s">
        <v>431</v>
      </c>
      <c r="B100" s="4" t="s">
        <v>93</v>
      </c>
      <c r="C100" t="str">
        <f>VLOOKUP(VALUE(A100),CURRENT,2,FALSE)</f>
        <v>YouTube</v>
      </c>
      <c r="D100" t="str">
        <f t="shared" si="1"/>
        <v/>
      </c>
    </row>
    <row r="101" spans="1:4" x14ac:dyDescent="0.25">
      <c r="A101" s="4" t="s">
        <v>432</v>
      </c>
      <c r="B101" s="4" t="s">
        <v>94</v>
      </c>
      <c r="C101" t="str">
        <f>VLOOKUP(VALUE(A101),CURRENT,2,FALSE)</f>
        <v>FOX HD</v>
      </c>
      <c r="D101" t="str">
        <f t="shared" si="1"/>
        <v/>
      </c>
    </row>
    <row r="102" spans="1:4" x14ac:dyDescent="0.25">
      <c r="A102" s="4" t="s">
        <v>433</v>
      </c>
      <c r="B102" s="4" t="s">
        <v>95</v>
      </c>
      <c r="C102" t="str">
        <f>VLOOKUP(VALUE(A102),CURRENT,2,FALSE)</f>
        <v>alibi HD</v>
      </c>
      <c r="D102" t="str">
        <f t="shared" si="1"/>
        <v/>
      </c>
    </row>
    <row r="103" spans="1:4" x14ac:dyDescent="0.25">
      <c r="A103" s="4" t="s">
        <v>434</v>
      </c>
      <c r="B103" s="4" t="s">
        <v>96</v>
      </c>
      <c r="C103" t="str">
        <f>VLOOKUP(VALUE(A103),CURRENT,2,FALSE)</f>
        <v>CBS Reality +1</v>
      </c>
      <c r="D103" t="str">
        <f t="shared" si="1"/>
        <v/>
      </c>
    </row>
    <row r="104" spans="1:4" x14ac:dyDescent="0.25">
      <c r="A104" s="4" t="s">
        <v>435</v>
      </c>
      <c r="B104" s="4" t="s">
        <v>97</v>
      </c>
      <c r="C104" t="str">
        <f>VLOOKUP(VALUE(A104),CURRENT,2,FALSE)</f>
        <v>Horror Channel +1</v>
      </c>
      <c r="D104" t="str">
        <f t="shared" si="1"/>
        <v/>
      </c>
    </row>
    <row r="105" spans="1:4" x14ac:dyDescent="0.25">
      <c r="A105" s="4" t="s">
        <v>436</v>
      </c>
      <c r="B105" s="4" t="s">
        <v>437</v>
      </c>
      <c r="C105" t="str">
        <f>VLOOKUP(VALUE(A105),CURRENT,2,FALSE)</f>
        <v>4seven HD</v>
      </c>
      <c r="D105" t="str">
        <f t="shared" si="1"/>
        <v/>
      </c>
    </row>
    <row r="106" spans="1:4" x14ac:dyDescent="0.25">
      <c r="A106" s="4" t="s">
        <v>438</v>
      </c>
      <c r="B106" s="4" t="s">
        <v>99</v>
      </c>
      <c r="C106" t="str">
        <f>VLOOKUP(VALUE(A106),CURRENT,2,FALSE)</f>
        <v>Netflix</v>
      </c>
      <c r="D106" t="str">
        <f t="shared" si="1"/>
        <v/>
      </c>
    </row>
    <row r="107" spans="1:4" x14ac:dyDescent="0.25">
      <c r="A107" s="4" t="s">
        <v>439</v>
      </c>
      <c r="B107" s="4" t="s">
        <v>100</v>
      </c>
      <c r="C107" t="str">
        <f>VLOOKUP(VALUE(A107),CURRENT,2,FALSE)</f>
        <v>Sky Arts HD</v>
      </c>
      <c r="D107" t="str">
        <f t="shared" si="1"/>
        <v/>
      </c>
    </row>
    <row r="108" spans="1:4" x14ac:dyDescent="0.25">
      <c r="A108" s="4" t="s">
        <v>440</v>
      </c>
      <c r="B108" s="4" t="s">
        <v>101</v>
      </c>
      <c r="C108" t="str">
        <f>VLOOKUP(VALUE(A108),CURRENT,2,FALSE)</f>
        <v>Real Lives +1</v>
      </c>
      <c r="D108" t="str">
        <f t="shared" si="1"/>
        <v/>
      </c>
    </row>
    <row r="109" spans="1:4" x14ac:dyDescent="0.25">
      <c r="A109" s="4" t="s">
        <v>441</v>
      </c>
      <c r="B109" s="4" t="s">
        <v>102</v>
      </c>
      <c r="C109" t="str">
        <f>VLOOKUP(VALUE(A109),CURRENT,2,FALSE)</f>
        <v>Lifetime</v>
      </c>
      <c r="D109" t="str">
        <f t="shared" si="1"/>
        <v/>
      </c>
    </row>
    <row r="110" spans="1:4" x14ac:dyDescent="0.25">
      <c r="A110" s="4" t="s">
        <v>442</v>
      </c>
      <c r="B110" s="4" t="s">
        <v>103</v>
      </c>
      <c r="C110" t="str">
        <f>VLOOKUP(VALUE(A110),CURRENT,2,FALSE)</f>
        <v>Lifetime HD</v>
      </c>
      <c r="D110" t="str">
        <f t="shared" si="1"/>
        <v/>
      </c>
    </row>
    <row r="111" spans="1:4" x14ac:dyDescent="0.25">
      <c r="A111" s="4" t="s">
        <v>443</v>
      </c>
      <c r="B111" s="4" t="s">
        <v>10</v>
      </c>
      <c r="C111" t="str">
        <f>VLOOKUP(VALUE(A111),CURRENT,2,FALSE)</f>
        <v>hayu</v>
      </c>
      <c r="D111" t="str">
        <f t="shared" si="1"/>
        <v/>
      </c>
    </row>
    <row r="112" spans="1:4" x14ac:dyDescent="0.25">
      <c r="A112" s="4" t="s">
        <v>444</v>
      </c>
      <c r="B112" s="4" t="s">
        <v>104</v>
      </c>
      <c r="C112" t="str">
        <f>VLOOKUP(VALUE(A112),CURRENT,2,FALSE)</f>
        <v>Dave ja vu</v>
      </c>
      <c r="D112" t="str">
        <f t="shared" si="1"/>
        <v/>
      </c>
    </row>
    <row r="113" spans="1:4" x14ac:dyDescent="0.25">
      <c r="A113" s="4" t="s">
        <v>445</v>
      </c>
      <c r="B113" s="4" t="s">
        <v>446</v>
      </c>
      <c r="C113" t="str">
        <f>VLOOKUP(VALUE(A113),CURRENT,2,FALSE)</f>
        <v>TruTV</v>
      </c>
      <c r="D113" t="str">
        <f t="shared" si="1"/>
        <v/>
      </c>
    </row>
    <row r="114" spans="1:4" x14ac:dyDescent="0.25">
      <c r="A114" s="4" t="s">
        <v>447</v>
      </c>
      <c r="B114" s="4" t="s">
        <v>106</v>
      </c>
      <c r="C114" t="str">
        <f>VLOOKUP(VALUE(A114),CURRENT,2,FALSE)</f>
        <v>DMAX</v>
      </c>
      <c r="D114" t="str">
        <f t="shared" si="1"/>
        <v/>
      </c>
    </row>
    <row r="115" spans="1:4" x14ac:dyDescent="0.25">
      <c r="A115" s="4" t="s">
        <v>448</v>
      </c>
      <c r="B115" s="4" t="s">
        <v>107</v>
      </c>
      <c r="C115" t="str">
        <f>VLOOKUP(VALUE(A115),CURRENT,2,FALSE)</f>
        <v>DMAX +1</v>
      </c>
      <c r="D115" t="str">
        <f t="shared" si="1"/>
        <v/>
      </c>
    </row>
    <row r="116" spans="1:4" x14ac:dyDescent="0.25">
      <c r="A116" s="4" t="s">
        <v>449</v>
      </c>
      <c r="B116" s="4" t="s">
        <v>108</v>
      </c>
      <c r="C116" t="str">
        <f>VLOOKUP(VALUE(A116),CURRENT,2,FALSE)</f>
        <v>Quest Red</v>
      </c>
      <c r="D116" t="str">
        <f t="shared" si="1"/>
        <v/>
      </c>
    </row>
    <row r="117" spans="1:4" x14ac:dyDescent="0.25">
      <c r="A117" s="4" t="s">
        <v>450</v>
      </c>
      <c r="B117" s="4" t="s">
        <v>451</v>
      </c>
      <c r="C117" t="str">
        <f>VLOOKUP(VALUE(A117),CURRENT,2,FALSE)</f>
        <v>Blaze</v>
      </c>
      <c r="D117" t="str">
        <f t="shared" si="1"/>
        <v/>
      </c>
    </row>
    <row r="118" spans="1:4" x14ac:dyDescent="0.25">
      <c r="A118" s="4" t="s">
        <v>452</v>
      </c>
      <c r="B118" s="4" t="s">
        <v>453</v>
      </c>
      <c r="C118" t="str">
        <f>VLOOKUP(VALUE(A118),CURRENT,2,FALSE)</f>
        <v>Quest HD</v>
      </c>
      <c r="D118" t="str">
        <f t="shared" si="1"/>
        <v/>
      </c>
    </row>
    <row r="119" spans="1:4" x14ac:dyDescent="0.25">
      <c r="A119" s="4" t="s">
        <v>454</v>
      </c>
      <c r="B119" s="4" t="s">
        <v>455</v>
      </c>
      <c r="C119" t="str">
        <f>VLOOKUP(VALUE(A119),CURRENT,2,FALSE)</f>
        <v>YourTV</v>
      </c>
      <c r="D119" t="str">
        <f t="shared" si="1"/>
        <v/>
      </c>
    </row>
    <row r="120" spans="1:4" x14ac:dyDescent="0.25">
      <c r="A120" s="4" t="s">
        <v>456</v>
      </c>
      <c r="B120" s="4" t="s">
        <v>457</v>
      </c>
      <c r="C120" t="str">
        <f>VLOOKUP(VALUE(A120),CURRENT,2,FALSE)</f>
        <v>Vice</v>
      </c>
      <c r="D120" t="str">
        <f t="shared" si="1"/>
        <v/>
      </c>
    </row>
    <row r="121" spans="1:4" x14ac:dyDescent="0.25">
      <c r="A121" s="4" t="s">
        <v>458</v>
      </c>
      <c r="B121" s="4" t="s">
        <v>459</v>
      </c>
      <c r="C121" t="str">
        <f>VLOOKUP(VALUE(A121),CURRENT,2,FALSE)</f>
        <v>True Entertainment +1</v>
      </c>
      <c r="D121" t="str">
        <f t="shared" si="1"/>
        <v/>
      </c>
    </row>
    <row r="122" spans="1:4" x14ac:dyDescent="0.25">
      <c r="A122" s="4" t="s">
        <v>460</v>
      </c>
      <c r="B122" s="4" t="s">
        <v>129</v>
      </c>
      <c r="C122" t="str">
        <f>VLOOKUP(VALUE(A122),CURRENT,2,FALSE)</f>
        <v>Crime + Investigation</v>
      </c>
      <c r="D122" t="str">
        <f t="shared" si="1"/>
        <v/>
      </c>
    </row>
    <row r="123" spans="1:4" x14ac:dyDescent="0.25">
      <c r="A123" s="4" t="s">
        <v>461</v>
      </c>
      <c r="B123" s="4" t="s">
        <v>462</v>
      </c>
      <c r="C123" t="str">
        <f>VLOOKUP(VALUE(A123),CURRENT,2,FALSE)</f>
        <v>Lifetime +1</v>
      </c>
      <c r="D123" t="str">
        <f t="shared" si="1"/>
        <v/>
      </c>
    </row>
    <row r="124" spans="1:4" x14ac:dyDescent="0.25">
      <c r="A124" s="4" t="s">
        <v>463</v>
      </c>
      <c r="B124" s="4" t="s">
        <v>110</v>
      </c>
      <c r="C124" t="str">
        <f>VLOOKUP(VALUE(A124),CURRENT,2,FALSE)</f>
        <v>Yesterday</v>
      </c>
      <c r="D124" t="str">
        <f t="shared" si="1"/>
        <v/>
      </c>
    </row>
    <row r="125" spans="1:4" x14ac:dyDescent="0.25">
      <c r="A125" s="4" t="s">
        <v>464</v>
      </c>
      <c r="B125" s="4" t="s">
        <v>111</v>
      </c>
      <c r="C125" t="str">
        <f>VLOOKUP(VALUE(A125),CURRENT,2,FALSE)</f>
        <v>Yesterday +1</v>
      </c>
      <c r="D125" t="str">
        <f t="shared" si="1"/>
        <v/>
      </c>
    </row>
    <row r="126" spans="1:4" x14ac:dyDescent="0.25">
      <c r="A126" s="4" t="s">
        <v>465</v>
      </c>
      <c r="B126" s="4" t="s">
        <v>112</v>
      </c>
      <c r="C126" t="str">
        <f>VLOOKUP(VALUE(A126),CURRENT,2,FALSE)</f>
        <v>Eden</v>
      </c>
      <c r="D126" t="str">
        <f t="shared" si="1"/>
        <v/>
      </c>
    </row>
    <row r="127" spans="1:4" x14ac:dyDescent="0.25">
      <c r="A127" s="4" t="s">
        <v>466</v>
      </c>
      <c r="B127" s="4" t="s">
        <v>113</v>
      </c>
      <c r="C127" t="str">
        <f>VLOOKUP(VALUE(A127),CURRENT,2,FALSE)</f>
        <v>Eden +1</v>
      </c>
      <c r="D127" t="str">
        <f t="shared" si="1"/>
        <v/>
      </c>
    </row>
    <row r="128" spans="1:4" x14ac:dyDescent="0.25">
      <c r="A128" s="4" t="s">
        <v>467</v>
      </c>
      <c r="B128" s="4" t="s">
        <v>114</v>
      </c>
      <c r="C128" t="str">
        <f>VLOOKUP(VALUE(A128),CURRENT,2,FALSE)</f>
        <v>Eden HD</v>
      </c>
      <c r="D128" t="str">
        <f t="shared" si="1"/>
        <v/>
      </c>
    </row>
    <row r="129" spans="1:4" x14ac:dyDescent="0.25">
      <c r="A129" s="4" t="s">
        <v>468</v>
      </c>
      <c r="B129" s="4" t="s">
        <v>469</v>
      </c>
      <c r="C129" t="str">
        <f>VLOOKUP(VALUE(A129),CURRENT,2,FALSE)</f>
        <v>Discovery</v>
      </c>
      <c r="D129" t="str">
        <f t="shared" si="1"/>
        <v/>
      </c>
    </row>
    <row r="130" spans="1:4" x14ac:dyDescent="0.25">
      <c r="A130" s="4" t="s">
        <v>470</v>
      </c>
      <c r="B130" s="4" t="s">
        <v>471</v>
      </c>
      <c r="C130" t="str">
        <f>VLOOKUP(VALUE(A130),CURRENT,2,FALSE)</f>
        <v>Discovery HD</v>
      </c>
      <c r="D130" t="str">
        <f t="shared" si="1"/>
        <v/>
      </c>
    </row>
    <row r="131" spans="1:4" x14ac:dyDescent="0.25">
      <c r="A131" s="4" t="s">
        <v>472</v>
      </c>
      <c r="B131" s="4" t="s">
        <v>473</v>
      </c>
      <c r="C131" t="str">
        <f>VLOOKUP(VALUE(A131),CURRENT,2,FALSE)</f>
        <v>Discovery +1</v>
      </c>
      <c r="D131" t="str">
        <f t="shared" ref="D131:D194" si="2">IF(B131=C131,"","x")</f>
        <v/>
      </c>
    </row>
    <row r="132" spans="1:4" x14ac:dyDescent="0.25">
      <c r="A132" s="4" t="s">
        <v>474</v>
      </c>
      <c r="B132" s="4" t="s">
        <v>115</v>
      </c>
      <c r="C132" t="str">
        <f>VLOOKUP(VALUE(A132),CURRENT,2,FALSE)</f>
        <v>Animal Planet</v>
      </c>
      <c r="D132" t="str">
        <f t="shared" si="2"/>
        <v/>
      </c>
    </row>
    <row r="133" spans="1:4" x14ac:dyDescent="0.25">
      <c r="A133" s="4" t="s">
        <v>475</v>
      </c>
      <c r="B133" s="4" t="s">
        <v>116</v>
      </c>
      <c r="C133" t="str">
        <f>VLOOKUP(VALUE(A133),CURRENT,2,FALSE)</f>
        <v>Animal Planet HD</v>
      </c>
      <c r="D133" t="str">
        <f t="shared" si="2"/>
        <v/>
      </c>
    </row>
    <row r="134" spans="1:4" x14ac:dyDescent="0.25">
      <c r="A134" s="4" t="s">
        <v>476</v>
      </c>
      <c r="B134" s="4" t="s">
        <v>117</v>
      </c>
      <c r="C134" t="str">
        <f>VLOOKUP(VALUE(A134),CURRENT,2,FALSE)</f>
        <v>Animal Planet +1</v>
      </c>
      <c r="D134" t="str">
        <f t="shared" si="2"/>
        <v/>
      </c>
    </row>
    <row r="135" spans="1:4" x14ac:dyDescent="0.25">
      <c r="A135" s="4" t="s">
        <v>477</v>
      </c>
      <c r="B135" s="4" t="s">
        <v>118</v>
      </c>
      <c r="C135" t="str">
        <f>VLOOKUP(VALUE(A135),CURRENT,2,FALSE)</f>
        <v>Discovery Science</v>
      </c>
      <c r="D135" t="str">
        <f t="shared" si="2"/>
        <v/>
      </c>
    </row>
    <row r="136" spans="1:4" x14ac:dyDescent="0.25">
      <c r="A136" s="4" t="s">
        <v>478</v>
      </c>
      <c r="B136" s="4" t="s">
        <v>119</v>
      </c>
      <c r="C136" t="str">
        <f>VLOOKUP(VALUE(A136),CURRENT,2,FALSE)</f>
        <v>Discovery Science +1</v>
      </c>
      <c r="D136" t="str">
        <f t="shared" si="2"/>
        <v/>
      </c>
    </row>
    <row r="137" spans="1:4" x14ac:dyDescent="0.25">
      <c r="A137" s="4" t="s">
        <v>479</v>
      </c>
      <c r="B137" s="4" t="s">
        <v>120</v>
      </c>
      <c r="C137" t="str">
        <f>VLOOKUP(VALUE(A137),CURRENT,2,FALSE)</f>
        <v>Discovery Turbo</v>
      </c>
      <c r="D137" t="str">
        <f t="shared" si="2"/>
        <v/>
      </c>
    </row>
    <row r="138" spans="1:4" x14ac:dyDescent="0.25">
      <c r="A138" s="4" t="s">
        <v>480</v>
      </c>
      <c r="B138" s="4" t="s">
        <v>121</v>
      </c>
      <c r="C138" t="str">
        <f>VLOOKUP(VALUE(A138),CURRENT,2,FALSE)</f>
        <v>Discovery History</v>
      </c>
      <c r="D138" t="str">
        <f t="shared" si="2"/>
        <v/>
      </c>
    </row>
    <row r="139" spans="1:4" x14ac:dyDescent="0.25">
      <c r="A139" s="4" t="s">
        <v>481</v>
      </c>
      <c r="B139" s="4" t="s">
        <v>122</v>
      </c>
      <c r="C139" t="str">
        <f>VLOOKUP(VALUE(A139),CURRENT,2,FALSE)</f>
        <v>Discovery History +1</v>
      </c>
      <c r="D139" t="str">
        <f t="shared" si="2"/>
        <v/>
      </c>
    </row>
    <row r="140" spans="1:4" x14ac:dyDescent="0.25">
      <c r="A140" s="4" t="s">
        <v>482</v>
      </c>
      <c r="B140" s="4" t="s">
        <v>483</v>
      </c>
      <c r="C140" t="str">
        <f>VLOOKUP(VALUE(A140),CURRENT,2,FALSE)</f>
        <v>Nat Geo Wild</v>
      </c>
      <c r="D140" t="str">
        <f t="shared" si="2"/>
        <v/>
      </c>
    </row>
    <row r="141" spans="1:4" x14ac:dyDescent="0.25">
      <c r="A141" s="4" t="s">
        <v>484</v>
      </c>
      <c r="B141" s="4" t="s">
        <v>485</v>
      </c>
      <c r="C141" t="str">
        <f>VLOOKUP(VALUE(A141),CURRENT,2,FALSE)</f>
        <v>Nat Geo Wild HD</v>
      </c>
      <c r="D141" t="str">
        <f t="shared" si="2"/>
        <v/>
      </c>
    </row>
    <row r="142" spans="1:4" x14ac:dyDescent="0.25">
      <c r="A142" s="4" t="s">
        <v>486</v>
      </c>
      <c r="B142" s="4" t="s">
        <v>487</v>
      </c>
      <c r="C142" t="str">
        <f>VLOOKUP(VALUE(A142),CURRENT,2,FALSE)</f>
        <v>National Geographic</v>
      </c>
      <c r="D142" t="str">
        <f t="shared" si="2"/>
        <v/>
      </c>
    </row>
    <row r="143" spans="1:4" x14ac:dyDescent="0.25">
      <c r="A143" s="4" t="s">
        <v>488</v>
      </c>
      <c r="B143" s="4" t="s">
        <v>489</v>
      </c>
      <c r="C143" t="str">
        <f>VLOOKUP(VALUE(A143),CURRENT,2,FALSE)</f>
        <v>National Geographic +1</v>
      </c>
      <c r="D143" t="str">
        <f t="shared" si="2"/>
        <v/>
      </c>
    </row>
    <row r="144" spans="1:4" x14ac:dyDescent="0.25">
      <c r="A144" s="4" t="s">
        <v>490</v>
      </c>
      <c r="B144" s="4" t="s">
        <v>491</v>
      </c>
      <c r="C144" t="str">
        <f>VLOOKUP(VALUE(A144),CURRENT,2,FALSE)</f>
        <v>National Geographic HD</v>
      </c>
      <c r="D144" t="str">
        <f t="shared" si="2"/>
        <v/>
      </c>
    </row>
    <row r="145" spans="1:4" x14ac:dyDescent="0.25">
      <c r="A145" s="4" t="s">
        <v>492</v>
      </c>
      <c r="B145" s="4" t="s">
        <v>493</v>
      </c>
      <c r="C145" t="str">
        <f>VLOOKUP(VALUE(A145),CURRENT,2,FALSE)</f>
        <v>Together</v>
      </c>
      <c r="D145" t="str">
        <f t="shared" si="2"/>
        <v/>
      </c>
    </row>
    <row r="146" spans="1:4" x14ac:dyDescent="0.25">
      <c r="A146" s="4" t="s">
        <v>494</v>
      </c>
      <c r="B146" s="4" t="s">
        <v>495</v>
      </c>
      <c r="C146" t="str">
        <f>VLOOKUP(VALUE(A146),CURRENT,2,FALSE)</f>
        <v>History</v>
      </c>
      <c r="D146" t="str">
        <f t="shared" si="2"/>
        <v/>
      </c>
    </row>
    <row r="147" spans="1:4" x14ac:dyDescent="0.25">
      <c r="A147" s="4" t="s">
        <v>496</v>
      </c>
      <c r="B147" s="4" t="s">
        <v>497</v>
      </c>
      <c r="C147" t="str">
        <f>VLOOKUP(VALUE(A147),CURRENT,2,FALSE)</f>
        <v>History +1</v>
      </c>
      <c r="D147" t="str">
        <f t="shared" si="2"/>
        <v/>
      </c>
    </row>
    <row r="148" spans="1:4" x14ac:dyDescent="0.25">
      <c r="A148" s="4" t="s">
        <v>498</v>
      </c>
      <c r="B148" s="4" t="s">
        <v>499</v>
      </c>
      <c r="C148" t="str">
        <f>VLOOKUP(VALUE(A148),CURRENT,2,FALSE)</f>
        <v>Crime + Investigation HD</v>
      </c>
      <c r="D148" t="str">
        <f t="shared" si="2"/>
        <v/>
      </c>
    </row>
    <row r="149" spans="1:4" x14ac:dyDescent="0.25">
      <c r="A149" s="4" t="s">
        <v>500</v>
      </c>
      <c r="B149" s="4" t="s">
        <v>127</v>
      </c>
      <c r="C149" t="str">
        <f>VLOOKUP(VALUE(A149),CURRENT,2,FALSE)</f>
        <v>H2</v>
      </c>
      <c r="D149" t="str">
        <f t="shared" si="2"/>
        <v/>
      </c>
    </row>
    <row r="150" spans="1:4" x14ac:dyDescent="0.25">
      <c r="A150" s="4" t="s">
        <v>501</v>
      </c>
      <c r="B150" s="4" t="s">
        <v>128</v>
      </c>
      <c r="C150" t="str">
        <f>VLOOKUP(VALUE(A150),CURRENT,2,FALSE)</f>
        <v>H2 HD</v>
      </c>
      <c r="D150" t="str">
        <f t="shared" si="2"/>
        <v/>
      </c>
    </row>
    <row r="151" spans="1:4" x14ac:dyDescent="0.25">
      <c r="A151" s="4" t="s">
        <v>502</v>
      </c>
      <c r="B151" s="4" t="s">
        <v>130</v>
      </c>
      <c r="C151" t="str">
        <f>VLOOKUP(VALUE(A151),CURRENT,2,FALSE)</f>
        <v>PBS America</v>
      </c>
      <c r="D151" t="str">
        <f t="shared" si="2"/>
        <v/>
      </c>
    </row>
    <row r="152" spans="1:4" x14ac:dyDescent="0.25">
      <c r="A152" s="4" t="s">
        <v>503</v>
      </c>
      <c r="B152" s="4" t="s">
        <v>131</v>
      </c>
      <c r="C152" t="str">
        <f>VLOOKUP(VALUE(A152),CURRENT,2,FALSE)</f>
        <v>Forces TV</v>
      </c>
      <c r="D152" t="str">
        <f t="shared" si="2"/>
        <v/>
      </c>
    </row>
    <row r="153" spans="1:4" x14ac:dyDescent="0.25">
      <c r="A153" s="4" t="s">
        <v>504</v>
      </c>
      <c r="B153" s="4" t="s">
        <v>132</v>
      </c>
      <c r="C153" t="str">
        <f>VLOOKUP(VALUE(A153),CURRENT,2,FALSE)</f>
        <v>Good Food</v>
      </c>
      <c r="D153" t="str">
        <f t="shared" si="2"/>
        <v/>
      </c>
    </row>
    <row r="154" spans="1:4" x14ac:dyDescent="0.25">
      <c r="A154" s="4" t="s">
        <v>505</v>
      </c>
      <c r="B154" s="4" t="s">
        <v>133</v>
      </c>
      <c r="C154" t="str">
        <f>VLOOKUP(VALUE(A154),CURRENT,2,FALSE)</f>
        <v>Good Food +1</v>
      </c>
      <c r="D154" t="str">
        <f t="shared" si="2"/>
        <v/>
      </c>
    </row>
    <row r="155" spans="1:4" x14ac:dyDescent="0.25">
      <c r="A155" s="4" t="s">
        <v>506</v>
      </c>
      <c r="B155" s="4" t="s">
        <v>134</v>
      </c>
      <c r="C155" t="str">
        <f>VLOOKUP(VALUE(A155),CURRENT,2,FALSE)</f>
        <v>Good Food HD</v>
      </c>
      <c r="D155" t="str">
        <f t="shared" si="2"/>
        <v/>
      </c>
    </row>
    <row r="156" spans="1:4" x14ac:dyDescent="0.25">
      <c r="A156" s="4" t="s">
        <v>507</v>
      </c>
      <c r="B156" s="4" t="s">
        <v>135</v>
      </c>
      <c r="C156" t="str">
        <f>VLOOKUP(VALUE(A156),CURRENT,2,FALSE)</f>
        <v>Home</v>
      </c>
      <c r="D156" t="str">
        <f t="shared" si="2"/>
        <v/>
      </c>
    </row>
    <row r="157" spans="1:4" x14ac:dyDescent="0.25">
      <c r="A157" s="4" t="s">
        <v>508</v>
      </c>
      <c r="B157" s="4" t="s">
        <v>136</v>
      </c>
      <c r="C157" t="str">
        <f>VLOOKUP(VALUE(A157),CURRENT,2,FALSE)</f>
        <v>Home +1</v>
      </c>
      <c r="D157" t="str">
        <f t="shared" si="2"/>
        <v/>
      </c>
    </row>
    <row r="158" spans="1:4" x14ac:dyDescent="0.25">
      <c r="A158" s="4" t="s">
        <v>509</v>
      </c>
      <c r="B158" s="4" t="s">
        <v>137</v>
      </c>
      <c r="C158" t="str">
        <f>VLOOKUP(VALUE(A158),CURRENT,2,FALSE)</f>
        <v>Discovery Home &amp; Health</v>
      </c>
      <c r="D158" t="str">
        <f t="shared" si="2"/>
        <v/>
      </c>
    </row>
    <row r="159" spans="1:4" x14ac:dyDescent="0.25">
      <c r="A159" s="4" t="s">
        <v>510</v>
      </c>
      <c r="B159" s="4" t="s">
        <v>138</v>
      </c>
      <c r="C159" t="str">
        <f>VLOOKUP(VALUE(A159),CURRENT,2,FALSE)</f>
        <v>Discovery Home &amp; Health +1</v>
      </c>
      <c r="D159" t="str">
        <f t="shared" si="2"/>
        <v/>
      </c>
    </row>
    <row r="160" spans="1:4" x14ac:dyDescent="0.25">
      <c r="A160" s="4" t="s">
        <v>511</v>
      </c>
      <c r="B160" s="4" t="s">
        <v>139</v>
      </c>
      <c r="C160" t="str">
        <f>VLOOKUP(VALUE(A160),CURRENT,2,FALSE)</f>
        <v>Discovery Shed</v>
      </c>
      <c r="D160" t="str">
        <f t="shared" si="2"/>
        <v/>
      </c>
    </row>
    <row r="161" spans="1:4" x14ac:dyDescent="0.25">
      <c r="A161" s="4" t="s">
        <v>512</v>
      </c>
      <c r="B161" s="4" t="s">
        <v>513</v>
      </c>
      <c r="C161" t="str">
        <f>VLOOKUP(VALUE(A161),CURRENT,2,FALSE)</f>
        <v>GOD Channel</v>
      </c>
      <c r="D161" t="str">
        <f t="shared" si="2"/>
        <v/>
      </c>
    </row>
    <row r="162" spans="1:4" x14ac:dyDescent="0.25">
      <c r="A162" s="4" t="s">
        <v>514</v>
      </c>
      <c r="B162" s="4" t="s">
        <v>515</v>
      </c>
      <c r="C162" t="str">
        <f>VLOOKUP(VALUE(A162),CURRENT,2,FALSE)</f>
        <v>GINX</v>
      </c>
      <c r="D162" t="str">
        <f t="shared" si="2"/>
        <v/>
      </c>
    </row>
    <row r="163" spans="1:4" x14ac:dyDescent="0.25">
      <c r="A163" s="4" t="s">
        <v>516</v>
      </c>
      <c r="B163" s="4" t="s">
        <v>141</v>
      </c>
      <c r="C163" t="str">
        <f>VLOOKUP(VALUE(A163),CURRENT,2,FALSE)</f>
        <v>Food Network</v>
      </c>
      <c r="D163" t="str">
        <f t="shared" si="2"/>
        <v/>
      </c>
    </row>
    <row r="164" spans="1:4" x14ac:dyDescent="0.25">
      <c r="A164" s="4" t="s">
        <v>517</v>
      </c>
      <c r="B164" s="4" t="s">
        <v>142</v>
      </c>
      <c r="C164" t="str">
        <f>VLOOKUP(VALUE(A164),CURRENT,2,FALSE)</f>
        <v>Travel Channel</v>
      </c>
      <c r="D164" t="str">
        <f t="shared" si="2"/>
        <v/>
      </c>
    </row>
    <row r="165" spans="1:4" x14ac:dyDescent="0.25">
      <c r="A165" s="4" t="s">
        <v>518</v>
      </c>
      <c r="B165" s="4" t="s">
        <v>519</v>
      </c>
      <c r="C165" t="str">
        <f>VLOOKUP(VALUE(A165),CURRENT,2,FALSE)</f>
        <v>Love Nature HD</v>
      </c>
      <c r="D165" t="str">
        <f t="shared" si="2"/>
        <v/>
      </c>
    </row>
    <row r="166" spans="1:4" x14ac:dyDescent="0.25">
      <c r="A166" s="4" t="s">
        <v>520</v>
      </c>
      <c r="B166" s="4" t="s">
        <v>521</v>
      </c>
      <c r="C166" t="str">
        <f>VLOOKUP(VALUE(A166),CURRENT,2,FALSE)</f>
        <v>Love Nature</v>
      </c>
      <c r="D166" t="str">
        <f t="shared" si="2"/>
        <v/>
      </c>
    </row>
    <row r="167" spans="1:4" x14ac:dyDescent="0.25">
      <c r="A167" s="4" t="s">
        <v>522</v>
      </c>
      <c r="B167" s="4" t="s">
        <v>523</v>
      </c>
      <c r="C167" t="str">
        <f>VLOOKUP(VALUE(A167),CURRENT,2,FALSE)</f>
        <v>Crime + Investigation +1</v>
      </c>
      <c r="D167" t="str">
        <f t="shared" si="2"/>
        <v/>
      </c>
    </row>
    <row r="168" spans="1:4" x14ac:dyDescent="0.25">
      <c r="A168" s="4" t="s">
        <v>524</v>
      </c>
      <c r="B168" s="4" t="s">
        <v>525</v>
      </c>
      <c r="C168" t="str">
        <f>VLOOKUP(VALUE(A168),CURRENT,2,FALSE)</f>
        <v>Horse &amp; Country</v>
      </c>
      <c r="D168" t="str">
        <f t="shared" si="2"/>
        <v/>
      </c>
    </row>
    <row r="169" spans="1:4" x14ac:dyDescent="0.25">
      <c r="A169" s="4" t="s">
        <v>526</v>
      </c>
      <c r="B169" s="4" t="s">
        <v>527</v>
      </c>
      <c r="C169" t="str">
        <f>VLOOKUP(VALUE(A169),CURRENT,2,FALSE)</f>
        <v>History HD</v>
      </c>
      <c r="D169" t="str">
        <f t="shared" si="2"/>
        <v/>
      </c>
    </row>
    <row r="170" spans="1:4" x14ac:dyDescent="0.25">
      <c r="A170" s="4" t="s">
        <v>528</v>
      </c>
      <c r="B170" s="4" t="s">
        <v>529</v>
      </c>
      <c r="C170" t="str">
        <f>VLOOKUP(VALUE(A170),CURRENT,2,FALSE)</f>
        <v>VM Music</v>
      </c>
      <c r="D170" t="str">
        <f t="shared" si="2"/>
        <v/>
      </c>
    </row>
    <row r="171" spans="1:4" x14ac:dyDescent="0.25">
      <c r="A171" s="4" t="s">
        <v>530</v>
      </c>
      <c r="B171" s="4" t="s">
        <v>143</v>
      </c>
      <c r="C171" t="str">
        <f>VLOOKUP(VALUE(A171),CURRENT,2,FALSE)</f>
        <v>MTV Music</v>
      </c>
      <c r="D171" t="str">
        <f t="shared" si="2"/>
        <v/>
      </c>
    </row>
    <row r="172" spans="1:4" x14ac:dyDescent="0.25">
      <c r="A172" s="4" t="s">
        <v>531</v>
      </c>
      <c r="B172" s="4" t="s">
        <v>144</v>
      </c>
      <c r="C172" t="str">
        <f>VLOOKUP(VALUE(A172),CURRENT,2,FALSE)</f>
        <v>MTV Live HD</v>
      </c>
      <c r="D172" t="str">
        <f t="shared" si="2"/>
        <v/>
      </c>
    </row>
    <row r="173" spans="1:4" x14ac:dyDescent="0.25">
      <c r="A173" s="4" t="s">
        <v>532</v>
      </c>
      <c r="B173" s="4" t="s">
        <v>145</v>
      </c>
      <c r="C173" t="str">
        <f>VLOOKUP(VALUE(A173),CURRENT,2,FALSE)</f>
        <v>MTV Hits</v>
      </c>
      <c r="D173" t="str">
        <f t="shared" si="2"/>
        <v/>
      </c>
    </row>
    <row r="174" spans="1:4" x14ac:dyDescent="0.25">
      <c r="A174" s="4" t="s">
        <v>533</v>
      </c>
      <c r="B174" s="4" t="s">
        <v>146</v>
      </c>
      <c r="C174" t="str">
        <f>VLOOKUP(VALUE(A174),CURRENT,2,FALSE)</f>
        <v>MTV Base</v>
      </c>
      <c r="D174" t="str">
        <f t="shared" si="2"/>
        <v/>
      </c>
    </row>
    <row r="175" spans="1:4" x14ac:dyDescent="0.25">
      <c r="A175" s="4" t="s">
        <v>534</v>
      </c>
      <c r="B175" s="4" t="s">
        <v>147</v>
      </c>
      <c r="C175" t="str">
        <f>VLOOKUP(VALUE(A175),CURRENT,2,FALSE)</f>
        <v>MTV Dance</v>
      </c>
      <c r="D175" t="str">
        <f t="shared" si="2"/>
        <v/>
      </c>
    </row>
    <row r="176" spans="1:4" x14ac:dyDescent="0.25">
      <c r="A176" s="4" t="s">
        <v>535</v>
      </c>
      <c r="B176" s="4" t="s">
        <v>148</v>
      </c>
      <c r="C176" t="str">
        <f>VLOOKUP(VALUE(A176),CURRENT,2,FALSE)</f>
        <v>MTV Rocks</v>
      </c>
      <c r="D176" t="str">
        <f t="shared" si="2"/>
        <v/>
      </c>
    </row>
    <row r="177" spans="1:4" x14ac:dyDescent="0.25">
      <c r="A177" s="4" t="s">
        <v>536</v>
      </c>
      <c r="B177" s="4" t="s">
        <v>149</v>
      </c>
      <c r="C177" t="str">
        <f>VLOOKUP(VALUE(A177),CURRENT,2,FALSE)</f>
        <v>VH1</v>
      </c>
      <c r="D177" t="str">
        <f t="shared" si="2"/>
        <v/>
      </c>
    </row>
    <row r="178" spans="1:4" x14ac:dyDescent="0.25">
      <c r="A178" s="4" t="s">
        <v>537</v>
      </c>
      <c r="B178" s="4" t="s">
        <v>150</v>
      </c>
      <c r="C178" t="str">
        <f>VLOOKUP(VALUE(A178),CURRENT,2,FALSE)</f>
        <v>MTV OMG</v>
      </c>
      <c r="D178" t="str">
        <f t="shared" si="2"/>
        <v/>
      </c>
    </row>
    <row r="179" spans="1:4" x14ac:dyDescent="0.25">
      <c r="A179" s="4" t="s">
        <v>538</v>
      </c>
      <c r="B179" s="4" t="s">
        <v>151</v>
      </c>
      <c r="C179" t="str">
        <f>VLOOKUP(VALUE(A179),CURRENT,2,FALSE)</f>
        <v>Box Upfront</v>
      </c>
      <c r="D179" t="str">
        <f t="shared" si="2"/>
        <v/>
      </c>
    </row>
    <row r="180" spans="1:4" x14ac:dyDescent="0.25">
      <c r="A180" s="4" t="s">
        <v>539</v>
      </c>
      <c r="B180" s="4" t="s">
        <v>152</v>
      </c>
      <c r="C180" t="str">
        <f>VLOOKUP(VALUE(A180),CURRENT,2,FALSE)</f>
        <v>The Box</v>
      </c>
      <c r="D180" t="str">
        <f t="shared" si="2"/>
        <v/>
      </c>
    </row>
    <row r="181" spans="1:4" x14ac:dyDescent="0.25">
      <c r="A181" s="4" t="s">
        <v>540</v>
      </c>
      <c r="B181" s="4" t="s">
        <v>153</v>
      </c>
      <c r="C181" t="str">
        <f>VLOOKUP(VALUE(A181),CURRENT,2,FALSE)</f>
        <v>Box Hits</v>
      </c>
      <c r="D181" t="str">
        <f t="shared" si="2"/>
        <v/>
      </c>
    </row>
    <row r="182" spans="1:4" x14ac:dyDescent="0.25">
      <c r="A182" s="4" t="s">
        <v>541</v>
      </c>
      <c r="B182" s="4" t="s">
        <v>154</v>
      </c>
      <c r="C182" t="str">
        <f>VLOOKUP(VALUE(A182),CURRENT,2,FALSE)</f>
        <v>4Music</v>
      </c>
      <c r="D182" t="str">
        <f t="shared" si="2"/>
        <v/>
      </c>
    </row>
    <row r="183" spans="1:4" x14ac:dyDescent="0.25">
      <c r="A183" s="4" t="s">
        <v>542</v>
      </c>
      <c r="B183" s="4" t="s">
        <v>155</v>
      </c>
      <c r="C183" t="str">
        <f>VLOOKUP(VALUE(A183),CURRENT,2,FALSE)</f>
        <v>Kiss</v>
      </c>
      <c r="D183" t="str">
        <f t="shared" si="2"/>
        <v/>
      </c>
    </row>
    <row r="184" spans="1:4" x14ac:dyDescent="0.25">
      <c r="A184" s="4" t="s">
        <v>543</v>
      </c>
      <c r="B184" s="4" t="s">
        <v>156</v>
      </c>
      <c r="C184" t="str">
        <f>VLOOKUP(VALUE(A184),CURRENT,2,FALSE)</f>
        <v>Magic</v>
      </c>
      <c r="D184" t="str">
        <f t="shared" si="2"/>
        <v/>
      </c>
    </row>
    <row r="185" spans="1:4" x14ac:dyDescent="0.25">
      <c r="A185" s="4" t="s">
        <v>544</v>
      </c>
      <c r="B185" s="4" t="s">
        <v>545</v>
      </c>
      <c r="C185" t="str">
        <f>VLOOKUP(VALUE(A185),CURRENT,2,FALSE)</f>
        <v>Kerrang!</v>
      </c>
      <c r="D185" t="str">
        <f t="shared" si="2"/>
        <v/>
      </c>
    </row>
    <row r="186" spans="1:4" x14ac:dyDescent="0.25">
      <c r="A186" s="4" t="s">
        <v>546</v>
      </c>
      <c r="B186" s="4" t="s">
        <v>157</v>
      </c>
      <c r="C186" t="str">
        <f>VLOOKUP(VALUE(A186),CURRENT,2,FALSE)</f>
        <v>Vevo</v>
      </c>
      <c r="D186" t="str">
        <f t="shared" si="2"/>
        <v/>
      </c>
    </row>
    <row r="187" spans="1:4" x14ac:dyDescent="0.25">
      <c r="A187" s="4" t="s">
        <v>547</v>
      </c>
      <c r="B187" s="4" t="s">
        <v>158</v>
      </c>
      <c r="C187" t="str">
        <f>VLOOKUP(VALUE(A187),CURRENT,2,FALSE)</f>
        <v>Clubland TV</v>
      </c>
      <c r="D187" t="str">
        <f t="shared" si="2"/>
        <v/>
      </c>
    </row>
    <row r="188" spans="1:4" x14ac:dyDescent="0.25">
      <c r="A188" s="4" t="s">
        <v>548</v>
      </c>
      <c r="B188" s="4" t="s">
        <v>549</v>
      </c>
      <c r="C188" t="str">
        <f>VLOOKUP(VALUE(A188),CURRENT,2,FALSE)</f>
        <v>Now 80s</v>
      </c>
      <c r="D188" t="str">
        <f t="shared" si="2"/>
        <v/>
      </c>
    </row>
    <row r="189" spans="1:4" x14ac:dyDescent="0.25">
      <c r="A189" s="4" t="s">
        <v>550</v>
      </c>
      <c r="B189" s="4" t="s">
        <v>11</v>
      </c>
      <c r="C189" t="str">
        <f>VLOOKUP(VALUE(A189),CURRENT,2,FALSE)</f>
        <v>Virgin Movies Previews</v>
      </c>
      <c r="D189" t="str">
        <f t="shared" si="2"/>
        <v/>
      </c>
    </row>
    <row r="190" spans="1:4" x14ac:dyDescent="0.25">
      <c r="A190" s="4" t="s">
        <v>551</v>
      </c>
      <c r="B190" s="4" t="s">
        <v>159</v>
      </c>
      <c r="C190" t="str">
        <f>VLOOKUP(VALUE(A190),CURRENT,2,FALSE)</f>
        <v>Sky Cinema Premiere HD</v>
      </c>
      <c r="D190" t="str">
        <f t="shared" si="2"/>
        <v/>
      </c>
    </row>
    <row r="191" spans="1:4" x14ac:dyDescent="0.25">
      <c r="A191" s="4" t="s">
        <v>552</v>
      </c>
      <c r="B191" s="4" t="s">
        <v>176</v>
      </c>
      <c r="C191" t="str">
        <f>VLOOKUP(VALUE(A191),CURRENT,2,FALSE)</f>
        <v>Sky Cinema Premiere +1</v>
      </c>
      <c r="D191" t="str">
        <f t="shared" si="2"/>
        <v/>
      </c>
    </row>
    <row r="192" spans="1:4" x14ac:dyDescent="0.25">
      <c r="A192" s="4" t="s">
        <v>553</v>
      </c>
      <c r="B192" s="4" t="s">
        <v>160</v>
      </c>
      <c r="C192" t="str">
        <f>VLOOKUP(VALUE(A192),CURRENT,2,FALSE)</f>
        <v>Sky Cinema Hits HD</v>
      </c>
      <c r="D192" t="str">
        <f t="shared" si="2"/>
        <v/>
      </c>
    </row>
    <row r="193" spans="1:4" x14ac:dyDescent="0.25">
      <c r="A193" s="4" t="s">
        <v>554</v>
      </c>
      <c r="B193" s="4" t="s">
        <v>161</v>
      </c>
      <c r="C193" t="str">
        <f>VLOOKUP(VALUE(A193),CURRENT,2,FALSE)</f>
        <v>Sky Cinema Greats HD</v>
      </c>
      <c r="D193" t="str">
        <f t="shared" si="2"/>
        <v/>
      </c>
    </row>
    <row r="194" spans="1:4" x14ac:dyDescent="0.25">
      <c r="A194" s="4" t="s">
        <v>555</v>
      </c>
      <c r="B194" s="4" t="s">
        <v>162</v>
      </c>
      <c r="C194" t="str">
        <f>VLOOKUP(VALUE(A194),CURRENT,2,FALSE)</f>
        <v>Sky Cinema Disney HD</v>
      </c>
      <c r="D194" t="str">
        <f t="shared" si="2"/>
        <v/>
      </c>
    </row>
    <row r="195" spans="1:4" x14ac:dyDescent="0.25">
      <c r="A195" s="4" t="s">
        <v>556</v>
      </c>
      <c r="B195" s="4" t="s">
        <v>163</v>
      </c>
      <c r="C195" t="str">
        <f>VLOOKUP(VALUE(A195),CURRENT,2,FALSE)</f>
        <v>Sky Cinema Family HD</v>
      </c>
      <c r="D195" t="str">
        <f t="shared" ref="D195:D258" si="3">IF(B195=C195,"","x")</f>
        <v/>
      </c>
    </row>
    <row r="196" spans="1:4" x14ac:dyDescent="0.25">
      <c r="A196" s="4" t="s">
        <v>557</v>
      </c>
      <c r="B196" s="4" t="s">
        <v>558</v>
      </c>
      <c r="C196" t="str">
        <f>VLOOKUP(VALUE(A196),CURRENT,2,FALSE)</f>
        <v>Sky Cinema Action HD</v>
      </c>
      <c r="D196" t="str">
        <f t="shared" si="3"/>
        <v/>
      </c>
    </row>
    <row r="197" spans="1:4" x14ac:dyDescent="0.25">
      <c r="A197" s="4" t="s">
        <v>559</v>
      </c>
      <c r="B197" s="4" t="s">
        <v>164</v>
      </c>
      <c r="C197" t="str">
        <f>VLOOKUP(VALUE(A197),CURRENT,2,FALSE)</f>
        <v>Sky Cinema Comedy HD</v>
      </c>
      <c r="D197" t="str">
        <f t="shared" si="3"/>
        <v/>
      </c>
    </row>
    <row r="198" spans="1:4" x14ac:dyDescent="0.25">
      <c r="A198" s="4" t="s">
        <v>560</v>
      </c>
      <c r="B198" s="4" t="s">
        <v>561</v>
      </c>
      <c r="C198" t="str">
        <f>VLOOKUP(VALUE(A198),CURRENT,2,FALSE)</f>
        <v>Sky Cinema Thriller HD</v>
      </c>
      <c r="D198" t="str">
        <f t="shared" si="3"/>
        <v/>
      </c>
    </row>
    <row r="199" spans="1:4" x14ac:dyDescent="0.25">
      <c r="A199" s="4" t="s">
        <v>562</v>
      </c>
      <c r="B199" s="4" t="s">
        <v>563</v>
      </c>
      <c r="C199" t="str">
        <f>VLOOKUP(VALUE(A199),CURRENT,2,FALSE)</f>
        <v>Sky Cinema Drama HD</v>
      </c>
      <c r="D199" t="str">
        <f t="shared" si="3"/>
        <v/>
      </c>
    </row>
    <row r="200" spans="1:4" x14ac:dyDescent="0.25">
      <c r="A200" s="4" t="s">
        <v>564</v>
      </c>
      <c r="B200" s="4" t="s">
        <v>565</v>
      </c>
      <c r="C200" t="str">
        <f>VLOOKUP(VALUE(A200),CURRENT,2,FALSE)</f>
        <v>Sky Cinema Sci-Fi &amp; Horror HD</v>
      </c>
      <c r="D200" t="str">
        <f t="shared" si="3"/>
        <v/>
      </c>
    </row>
    <row r="201" spans="1:4" x14ac:dyDescent="0.25">
      <c r="A201" s="4" t="s">
        <v>566</v>
      </c>
      <c r="B201" s="4" t="s">
        <v>165</v>
      </c>
      <c r="C201" t="str">
        <f>VLOOKUP(VALUE(A201),CURRENT,2,FALSE)</f>
        <v>Sky Cinema Select HD</v>
      </c>
      <c r="D201" t="str">
        <f t="shared" si="3"/>
        <v/>
      </c>
    </row>
    <row r="202" spans="1:4" x14ac:dyDescent="0.25">
      <c r="A202" s="4" t="s">
        <v>567</v>
      </c>
      <c r="B202" s="4" t="s">
        <v>166</v>
      </c>
      <c r="C202" t="str">
        <f>VLOOKUP(VALUE(A202),CURRENT,2,FALSE)</f>
        <v>TCM</v>
      </c>
      <c r="D202" t="str">
        <f t="shared" si="3"/>
        <v/>
      </c>
    </row>
    <row r="203" spans="1:4" x14ac:dyDescent="0.25">
      <c r="A203" s="4" t="s">
        <v>568</v>
      </c>
      <c r="B203" s="4" t="s">
        <v>167</v>
      </c>
      <c r="C203" t="str">
        <f>VLOOKUP(VALUE(A203),CURRENT,2,FALSE)</f>
        <v>TCM HD</v>
      </c>
      <c r="D203" t="str">
        <f t="shared" si="3"/>
        <v/>
      </c>
    </row>
    <row r="204" spans="1:4" x14ac:dyDescent="0.25">
      <c r="A204" s="4" t="s">
        <v>569</v>
      </c>
      <c r="B204" s="4" t="s">
        <v>168</v>
      </c>
      <c r="C204" t="str">
        <f>VLOOKUP(VALUE(A204),CURRENT,2,FALSE)</f>
        <v>TCM +1</v>
      </c>
      <c r="D204" t="str">
        <f t="shared" si="3"/>
        <v/>
      </c>
    </row>
    <row r="205" spans="1:4" x14ac:dyDescent="0.25">
      <c r="A205" s="4" t="s">
        <v>570</v>
      </c>
      <c r="B205" s="4" t="s">
        <v>169</v>
      </c>
      <c r="C205" t="str">
        <f>VLOOKUP(VALUE(A205),CURRENT,2,FALSE)</f>
        <v>Movies 24</v>
      </c>
      <c r="D205" t="str">
        <f t="shared" si="3"/>
        <v/>
      </c>
    </row>
    <row r="206" spans="1:4" x14ac:dyDescent="0.25">
      <c r="A206" s="4" t="s">
        <v>571</v>
      </c>
      <c r="B206" s="4" t="s">
        <v>572</v>
      </c>
      <c r="C206" t="str">
        <f>VLOOKUP(VALUE(A206),CURRENT,2,FALSE)</f>
        <v>Movies 24 + 1</v>
      </c>
      <c r="D206" t="str">
        <f t="shared" si="3"/>
        <v/>
      </c>
    </row>
    <row r="207" spans="1:4" x14ac:dyDescent="0.25">
      <c r="A207" s="4" t="s">
        <v>573</v>
      </c>
      <c r="B207" s="4" t="s">
        <v>574</v>
      </c>
      <c r="C207" t="str">
        <f>VLOOKUP(VALUE(A207),CURRENT,2,FALSE)</f>
        <v>True Movies</v>
      </c>
      <c r="D207" t="str">
        <f t="shared" si="3"/>
        <v/>
      </c>
    </row>
    <row r="208" spans="1:4" x14ac:dyDescent="0.25">
      <c r="A208" s="4" t="s">
        <v>575</v>
      </c>
      <c r="B208" s="4" t="s">
        <v>170</v>
      </c>
      <c r="C208" t="str">
        <f>VLOOKUP(VALUE(A208),CURRENT,2,FALSE)</f>
        <v>Sony Movie Channel</v>
      </c>
      <c r="D208" t="str">
        <f t="shared" si="3"/>
        <v/>
      </c>
    </row>
    <row r="209" spans="1:4" x14ac:dyDescent="0.25">
      <c r="A209" s="4" t="s">
        <v>576</v>
      </c>
      <c r="B209" s="4" t="s">
        <v>171</v>
      </c>
      <c r="C209" t="str">
        <f>VLOOKUP(VALUE(A209),CURRENT,2,FALSE)</f>
        <v>Movies4Men</v>
      </c>
      <c r="D209" t="str">
        <f t="shared" si="3"/>
        <v/>
      </c>
    </row>
    <row r="210" spans="1:4" x14ac:dyDescent="0.25">
      <c r="A210" s="4" t="s">
        <v>577</v>
      </c>
      <c r="B210" s="4" t="s">
        <v>172</v>
      </c>
      <c r="C210" t="str">
        <f>VLOOKUP(VALUE(A210),CURRENT,2,FALSE)</f>
        <v>Film4</v>
      </c>
      <c r="D210" t="str">
        <f t="shared" si="3"/>
        <v/>
      </c>
    </row>
    <row r="211" spans="1:4" x14ac:dyDescent="0.25">
      <c r="A211" s="4" t="s">
        <v>578</v>
      </c>
      <c r="B211" s="4" t="s">
        <v>173</v>
      </c>
      <c r="C211" t="str">
        <f>VLOOKUP(VALUE(A211),CURRENT,2,FALSE)</f>
        <v>Film4 HD</v>
      </c>
      <c r="D211" t="str">
        <f t="shared" si="3"/>
        <v/>
      </c>
    </row>
    <row r="212" spans="1:4" x14ac:dyDescent="0.25">
      <c r="A212" s="4" t="s">
        <v>579</v>
      </c>
      <c r="B212" s="4" t="s">
        <v>174</v>
      </c>
      <c r="C212" t="str">
        <f>VLOOKUP(VALUE(A212),CURRENT,2,FALSE)</f>
        <v>Film4 +1</v>
      </c>
      <c r="D212" t="str">
        <f t="shared" si="3"/>
        <v/>
      </c>
    </row>
    <row r="213" spans="1:4" x14ac:dyDescent="0.25">
      <c r="A213" s="4" t="s">
        <v>580</v>
      </c>
      <c r="B213" s="4" t="s">
        <v>175</v>
      </c>
      <c r="C213" t="str">
        <f>VLOOKUP(VALUE(A213),CURRENT,2,FALSE)</f>
        <v>Sky Cinema Premiere</v>
      </c>
      <c r="D213" t="str">
        <f t="shared" si="3"/>
        <v/>
      </c>
    </row>
    <row r="214" spans="1:4" x14ac:dyDescent="0.25">
      <c r="A214" s="4" t="s">
        <v>581</v>
      </c>
      <c r="B214" s="4" t="s">
        <v>177</v>
      </c>
      <c r="C214" t="str">
        <f>VLOOKUP(VALUE(A214),CURRENT,2,FALSE)</f>
        <v>Sky Cinema Hits</v>
      </c>
      <c r="D214" t="str">
        <f t="shared" si="3"/>
        <v/>
      </c>
    </row>
    <row r="215" spans="1:4" x14ac:dyDescent="0.25">
      <c r="A215" s="4" t="s">
        <v>582</v>
      </c>
      <c r="B215" s="4" t="s">
        <v>178</v>
      </c>
      <c r="C215" t="str">
        <f>VLOOKUP(VALUE(A215),CURRENT,2,FALSE)</f>
        <v>Sky Cinema Greats</v>
      </c>
      <c r="D215" t="str">
        <f t="shared" si="3"/>
        <v/>
      </c>
    </row>
    <row r="216" spans="1:4" x14ac:dyDescent="0.25">
      <c r="A216" s="4" t="s">
        <v>583</v>
      </c>
      <c r="B216" s="4" t="s">
        <v>179</v>
      </c>
      <c r="C216" t="str">
        <f>VLOOKUP(VALUE(A216),CURRENT,2,FALSE)</f>
        <v>Sky Cinema Disney</v>
      </c>
      <c r="D216" t="str">
        <f t="shared" si="3"/>
        <v/>
      </c>
    </row>
    <row r="217" spans="1:4" x14ac:dyDescent="0.25">
      <c r="A217" s="4" t="s">
        <v>584</v>
      </c>
      <c r="B217" s="4" t="s">
        <v>180</v>
      </c>
      <c r="C217" t="str">
        <f>VLOOKUP(VALUE(A217),CURRENT,2,FALSE)</f>
        <v>Sky Cinema Family</v>
      </c>
      <c r="D217" t="str">
        <f t="shared" si="3"/>
        <v/>
      </c>
    </row>
    <row r="218" spans="1:4" x14ac:dyDescent="0.25">
      <c r="A218" s="4" t="s">
        <v>585</v>
      </c>
      <c r="B218" s="4" t="s">
        <v>586</v>
      </c>
      <c r="C218" t="str">
        <f>VLOOKUP(VALUE(A218),CURRENT,2,FALSE)</f>
        <v>Sky Cinema Action</v>
      </c>
      <c r="D218" t="str">
        <f t="shared" si="3"/>
        <v/>
      </c>
    </row>
    <row r="219" spans="1:4" x14ac:dyDescent="0.25">
      <c r="A219" s="4" t="s">
        <v>587</v>
      </c>
      <c r="B219" s="4" t="s">
        <v>181</v>
      </c>
      <c r="C219" t="str">
        <f>VLOOKUP(VALUE(A219),CURRENT,2,FALSE)</f>
        <v>Sky Cinema Comedy</v>
      </c>
      <c r="D219" t="str">
        <f t="shared" si="3"/>
        <v/>
      </c>
    </row>
    <row r="220" spans="1:4" x14ac:dyDescent="0.25">
      <c r="A220" s="4" t="s">
        <v>588</v>
      </c>
      <c r="B220" s="4" t="s">
        <v>589</v>
      </c>
      <c r="C220" t="str">
        <f>VLOOKUP(VALUE(A220),CURRENT,2,FALSE)</f>
        <v>Sky Cinema Thriller</v>
      </c>
      <c r="D220" t="str">
        <f t="shared" si="3"/>
        <v/>
      </c>
    </row>
    <row r="221" spans="1:4" x14ac:dyDescent="0.25">
      <c r="A221" s="4" t="s">
        <v>590</v>
      </c>
      <c r="B221" s="4" t="s">
        <v>591</v>
      </c>
      <c r="C221" t="str">
        <f>VLOOKUP(VALUE(A221),CURRENT,2,FALSE)</f>
        <v>Sky Cinema Drama</v>
      </c>
      <c r="D221" t="str">
        <f t="shared" si="3"/>
        <v/>
      </c>
    </row>
    <row r="222" spans="1:4" x14ac:dyDescent="0.25">
      <c r="A222" s="4" t="s">
        <v>592</v>
      </c>
      <c r="B222" s="4" t="s">
        <v>593</v>
      </c>
      <c r="C222" t="str">
        <f>VLOOKUP(VALUE(A222),CURRENT,2,FALSE)</f>
        <v>Sky Cinema Sci-Fi &amp; Horror</v>
      </c>
      <c r="D222" t="str">
        <f t="shared" si="3"/>
        <v/>
      </c>
    </row>
    <row r="223" spans="1:4" x14ac:dyDescent="0.25">
      <c r="A223" s="4" t="s">
        <v>594</v>
      </c>
      <c r="B223" s="4" t="s">
        <v>182</v>
      </c>
      <c r="C223" t="str">
        <f>VLOOKUP(VALUE(A223),CURRENT,2,FALSE)</f>
        <v>Sky Cinema Select</v>
      </c>
      <c r="D223" t="str">
        <f t="shared" si="3"/>
        <v/>
      </c>
    </row>
    <row r="224" spans="1:4" x14ac:dyDescent="0.25">
      <c r="A224" s="4" t="s">
        <v>595</v>
      </c>
      <c r="B224" s="4" t="s">
        <v>183</v>
      </c>
      <c r="C224" t="str">
        <f>VLOOKUP(VALUE(A224),CURRENT,2,FALSE)</f>
        <v>Talking Pictures TV</v>
      </c>
      <c r="D224" t="str">
        <f t="shared" si="3"/>
        <v/>
      </c>
    </row>
    <row r="225" spans="1:4" x14ac:dyDescent="0.25">
      <c r="A225" s="4" t="s">
        <v>596</v>
      </c>
      <c r="B225" s="4" t="s">
        <v>184</v>
      </c>
      <c r="C225" t="str">
        <f>VLOOKUP(VALUE(A225),CURRENT,2,FALSE)</f>
        <v>Sky Sports Main Event HD</v>
      </c>
      <c r="D225" t="str">
        <f t="shared" si="3"/>
        <v/>
      </c>
    </row>
    <row r="226" spans="1:4" x14ac:dyDescent="0.25">
      <c r="A226" s="4" t="s">
        <v>597</v>
      </c>
      <c r="B226" s="4" t="s">
        <v>185</v>
      </c>
      <c r="C226" t="str">
        <f>VLOOKUP(VALUE(A226),CURRENT,2,FALSE)</f>
        <v>Sky Sports Premier League HD</v>
      </c>
      <c r="D226" t="str">
        <f t="shared" si="3"/>
        <v/>
      </c>
    </row>
    <row r="227" spans="1:4" x14ac:dyDescent="0.25">
      <c r="A227" s="4" t="s">
        <v>598</v>
      </c>
      <c r="B227" s="4" t="s">
        <v>186</v>
      </c>
      <c r="C227" t="str">
        <f>VLOOKUP(VALUE(A227),CURRENT,2,FALSE)</f>
        <v>Sky Sports Football HD</v>
      </c>
      <c r="D227" t="str">
        <f t="shared" si="3"/>
        <v/>
      </c>
    </row>
    <row r="228" spans="1:4" x14ac:dyDescent="0.25">
      <c r="A228" s="4" t="s">
        <v>599</v>
      </c>
      <c r="B228" s="4" t="s">
        <v>187</v>
      </c>
      <c r="C228" t="str">
        <f>VLOOKUP(VALUE(A228),CURRENT,2,FALSE)</f>
        <v>Sky Sports Cricket HD</v>
      </c>
      <c r="D228" t="str">
        <f t="shared" si="3"/>
        <v/>
      </c>
    </row>
    <row r="229" spans="1:4" x14ac:dyDescent="0.25">
      <c r="A229" s="4" t="s">
        <v>600</v>
      </c>
      <c r="B229" s="4" t="s">
        <v>188</v>
      </c>
      <c r="C229" t="str">
        <f>VLOOKUP(VALUE(A229),CURRENT,2,FALSE)</f>
        <v>Sky Sports Golf HD</v>
      </c>
      <c r="D229" t="str">
        <f t="shared" si="3"/>
        <v/>
      </c>
    </row>
    <row r="230" spans="1:4" x14ac:dyDescent="0.25">
      <c r="A230" s="4" t="s">
        <v>601</v>
      </c>
      <c r="B230" s="4" t="s">
        <v>189</v>
      </c>
      <c r="C230" t="str">
        <f>VLOOKUP(VALUE(A230),CURRENT,2,FALSE)</f>
        <v>Sky Sports F1 HD</v>
      </c>
      <c r="D230" t="str">
        <f t="shared" si="3"/>
        <v/>
      </c>
    </row>
    <row r="231" spans="1:4" x14ac:dyDescent="0.25">
      <c r="A231" s="4" t="s">
        <v>602</v>
      </c>
      <c r="B231" s="4" t="s">
        <v>190</v>
      </c>
      <c r="C231" t="str">
        <f>VLOOKUP(VALUE(A231),CURRENT,2,FALSE)</f>
        <v>Sky Sports Action HD</v>
      </c>
      <c r="D231" t="str">
        <f t="shared" si="3"/>
        <v/>
      </c>
    </row>
    <row r="232" spans="1:4" x14ac:dyDescent="0.25">
      <c r="A232" s="4" t="s">
        <v>603</v>
      </c>
      <c r="B232" s="4" t="s">
        <v>191</v>
      </c>
      <c r="C232" t="str">
        <f>VLOOKUP(VALUE(A232),CURRENT,2,FALSE)</f>
        <v>Sky Sports Arena HD</v>
      </c>
      <c r="D232" t="str">
        <f t="shared" si="3"/>
        <v/>
      </c>
    </row>
    <row r="233" spans="1:4" x14ac:dyDescent="0.25">
      <c r="A233" s="4" t="s">
        <v>604</v>
      </c>
      <c r="B233" s="4" t="s">
        <v>192</v>
      </c>
      <c r="C233" t="str">
        <f>VLOOKUP(VALUE(A233),CURRENT,2,FALSE)</f>
        <v>Sky Sports News HD</v>
      </c>
      <c r="D233" t="str">
        <f t="shared" si="3"/>
        <v/>
      </c>
    </row>
    <row r="234" spans="1:4" x14ac:dyDescent="0.25">
      <c r="A234" s="4" t="s">
        <v>605</v>
      </c>
      <c r="B234" s="4" t="s">
        <v>193</v>
      </c>
      <c r="C234" t="str">
        <f>VLOOKUP(VALUE(A234),CURRENT,2,FALSE)</f>
        <v>Sky Sports Mix HD</v>
      </c>
      <c r="D234" t="str">
        <f t="shared" si="3"/>
        <v/>
      </c>
    </row>
    <row r="235" spans="1:4" x14ac:dyDescent="0.25">
      <c r="A235" s="4" t="s">
        <v>606</v>
      </c>
      <c r="B235" s="4" t="s">
        <v>194</v>
      </c>
      <c r="C235" t="str">
        <f>VLOOKUP(VALUE(A235),CURRENT,2,FALSE)</f>
        <v>Sky Sports Main Event</v>
      </c>
      <c r="D235" t="str">
        <f t="shared" si="3"/>
        <v/>
      </c>
    </row>
    <row r="236" spans="1:4" x14ac:dyDescent="0.25">
      <c r="A236" s="4" t="s">
        <v>607</v>
      </c>
      <c r="B236" s="4" t="s">
        <v>195</v>
      </c>
      <c r="C236" t="str">
        <f>VLOOKUP(VALUE(A236),CURRENT,2,FALSE)</f>
        <v>Sky Sports Premier League</v>
      </c>
      <c r="D236" t="str">
        <f t="shared" si="3"/>
        <v/>
      </c>
    </row>
    <row r="237" spans="1:4" x14ac:dyDescent="0.25">
      <c r="A237" s="4" t="s">
        <v>608</v>
      </c>
      <c r="B237" s="4" t="s">
        <v>196</v>
      </c>
      <c r="C237" t="str">
        <f>VLOOKUP(VALUE(A237),CURRENT,2,FALSE)</f>
        <v>Sky Sports Football</v>
      </c>
      <c r="D237" t="str">
        <f t="shared" si="3"/>
        <v/>
      </c>
    </row>
    <row r="238" spans="1:4" x14ac:dyDescent="0.25">
      <c r="A238" s="4" t="s">
        <v>609</v>
      </c>
      <c r="B238" s="4" t="s">
        <v>197</v>
      </c>
      <c r="C238" t="str">
        <f>VLOOKUP(VALUE(A238),CURRENT,2,FALSE)</f>
        <v>Sky Sports Cricket</v>
      </c>
      <c r="D238" t="str">
        <f t="shared" si="3"/>
        <v/>
      </c>
    </row>
    <row r="239" spans="1:4" x14ac:dyDescent="0.25">
      <c r="A239" s="4" t="s">
        <v>610</v>
      </c>
      <c r="B239" s="4" t="s">
        <v>198</v>
      </c>
      <c r="C239" t="str">
        <f>VLOOKUP(VALUE(A239),CURRENT,2,FALSE)</f>
        <v>Sky Sports Golf</v>
      </c>
      <c r="D239" t="str">
        <f t="shared" si="3"/>
        <v/>
      </c>
    </row>
    <row r="240" spans="1:4" x14ac:dyDescent="0.25">
      <c r="A240" s="4" t="s">
        <v>611</v>
      </c>
      <c r="B240" s="4" t="s">
        <v>199</v>
      </c>
      <c r="C240" t="str">
        <f>VLOOKUP(VALUE(A240),CURRENT,2,FALSE)</f>
        <v>Sky Sports F1</v>
      </c>
      <c r="D240" t="str">
        <f t="shared" si="3"/>
        <v/>
      </c>
    </row>
    <row r="241" spans="1:4" x14ac:dyDescent="0.25">
      <c r="A241" s="4" t="s">
        <v>612</v>
      </c>
      <c r="B241" s="4" t="s">
        <v>200</v>
      </c>
      <c r="C241" t="str">
        <f>VLOOKUP(VALUE(A241),CURRENT,2,FALSE)</f>
        <v>Sky Sports Action</v>
      </c>
      <c r="D241" t="str">
        <f t="shared" si="3"/>
        <v/>
      </c>
    </row>
    <row r="242" spans="1:4" x14ac:dyDescent="0.25">
      <c r="A242" s="4" t="s">
        <v>613</v>
      </c>
      <c r="B242" s="4" t="s">
        <v>201</v>
      </c>
      <c r="C242" t="str">
        <f>VLOOKUP(VALUE(A242),CURRENT,2,FALSE)</f>
        <v>Sky Sports Arena</v>
      </c>
      <c r="D242" t="str">
        <f t="shared" si="3"/>
        <v/>
      </c>
    </row>
    <row r="243" spans="1:4" x14ac:dyDescent="0.25">
      <c r="A243" s="4" t="s">
        <v>614</v>
      </c>
      <c r="B243" s="4" t="s">
        <v>202</v>
      </c>
      <c r="C243" t="str">
        <f>VLOOKUP(VALUE(A243),CURRENT,2,FALSE)</f>
        <v>Sky Sports News</v>
      </c>
      <c r="D243" t="str">
        <f t="shared" si="3"/>
        <v/>
      </c>
    </row>
    <row r="244" spans="1:4" x14ac:dyDescent="0.25">
      <c r="A244" s="4" t="s">
        <v>615</v>
      </c>
      <c r="B244" s="4" t="s">
        <v>203</v>
      </c>
      <c r="C244" t="str">
        <f>VLOOKUP(VALUE(A244),CURRENT,2,FALSE)</f>
        <v>Sky Sports Mix</v>
      </c>
      <c r="D244" t="str">
        <f t="shared" si="3"/>
        <v/>
      </c>
    </row>
    <row r="245" spans="1:4" x14ac:dyDescent="0.25">
      <c r="A245" s="4" t="s">
        <v>616</v>
      </c>
      <c r="B245" s="4" t="s">
        <v>204</v>
      </c>
      <c r="C245" t="str">
        <f>VLOOKUP(VALUE(A245),CURRENT,2,FALSE)</f>
        <v>Eurosport 1 HD</v>
      </c>
      <c r="D245" t="str">
        <f t="shared" si="3"/>
        <v/>
      </c>
    </row>
    <row r="246" spans="1:4" x14ac:dyDescent="0.25">
      <c r="A246" s="4" t="s">
        <v>617</v>
      </c>
      <c r="B246" s="4" t="s">
        <v>205</v>
      </c>
      <c r="C246" t="str">
        <f>VLOOKUP(VALUE(A246),CURRENT,2,FALSE)</f>
        <v>Eurosport 2 HD</v>
      </c>
      <c r="D246" t="str">
        <f t="shared" si="3"/>
        <v/>
      </c>
    </row>
    <row r="247" spans="1:4" x14ac:dyDescent="0.25">
      <c r="A247" s="4" t="s">
        <v>618</v>
      </c>
      <c r="B247" s="4" t="s">
        <v>206</v>
      </c>
      <c r="C247" t="str">
        <f>VLOOKUP(VALUE(A247),CURRENT,2,FALSE)</f>
        <v>Eurosport 1</v>
      </c>
      <c r="D247" t="str">
        <f t="shared" si="3"/>
        <v/>
      </c>
    </row>
    <row r="248" spans="1:4" x14ac:dyDescent="0.25">
      <c r="A248" s="4" t="s">
        <v>619</v>
      </c>
      <c r="B248" s="4" t="s">
        <v>207</v>
      </c>
      <c r="C248" t="str">
        <f>VLOOKUP(VALUE(A248),CURRENT,2,FALSE)</f>
        <v>Eurosport 2</v>
      </c>
      <c r="D248" t="str">
        <f t="shared" si="3"/>
        <v/>
      </c>
    </row>
    <row r="249" spans="1:4" x14ac:dyDescent="0.25">
      <c r="A249" s="4" t="s">
        <v>620</v>
      </c>
      <c r="B249" s="4" t="s">
        <v>208</v>
      </c>
      <c r="C249" t="str">
        <f>VLOOKUP(VALUE(A249),CURRENT,2,FALSE)</f>
        <v>MUTV</v>
      </c>
      <c r="D249" t="str">
        <f t="shared" si="3"/>
        <v/>
      </c>
    </row>
    <row r="250" spans="1:4" x14ac:dyDescent="0.25">
      <c r="A250" s="4" t="s">
        <v>621</v>
      </c>
      <c r="B250" s="4" t="s">
        <v>209</v>
      </c>
      <c r="C250" t="str">
        <f>VLOOKUP(VALUE(A250),CURRENT,2,FALSE)</f>
        <v>BT Sport 1 HD</v>
      </c>
      <c r="D250" t="str">
        <f t="shared" si="3"/>
        <v/>
      </c>
    </row>
    <row r="251" spans="1:4" x14ac:dyDescent="0.25">
      <c r="A251" s="4" t="s">
        <v>622</v>
      </c>
      <c r="B251" s="4" t="s">
        <v>210</v>
      </c>
      <c r="C251" t="str">
        <f>VLOOKUP(VALUE(A251),CURRENT,2,FALSE)</f>
        <v>BT Sport 2 HD</v>
      </c>
      <c r="D251" t="str">
        <f t="shared" si="3"/>
        <v/>
      </c>
    </row>
    <row r="252" spans="1:4" x14ac:dyDescent="0.25">
      <c r="A252" s="4" t="s">
        <v>623</v>
      </c>
      <c r="B252" s="4" t="s">
        <v>211</v>
      </c>
      <c r="C252" t="str">
        <f>VLOOKUP(VALUE(A252),CURRENT,2,FALSE)</f>
        <v>BT Sport 3 HD</v>
      </c>
      <c r="D252" t="str">
        <f t="shared" si="3"/>
        <v/>
      </c>
    </row>
    <row r="253" spans="1:4" x14ac:dyDescent="0.25">
      <c r="A253" s="4" t="s">
        <v>624</v>
      </c>
      <c r="B253" s="4" t="s">
        <v>212</v>
      </c>
      <c r="C253" t="str">
        <f>VLOOKUP(VALUE(A253),CURRENT,2,FALSE)</f>
        <v>BT Sport ESPN HD</v>
      </c>
      <c r="D253" t="str">
        <f t="shared" si="3"/>
        <v/>
      </c>
    </row>
    <row r="254" spans="1:4" x14ac:dyDescent="0.25">
      <c r="A254" s="4" t="s">
        <v>625</v>
      </c>
      <c r="B254" s="4" t="s">
        <v>213</v>
      </c>
      <c r="C254" t="str">
        <f>VLOOKUP(VALUE(A254),CURRENT,2,FALSE)</f>
        <v>BT Sport 1</v>
      </c>
      <c r="D254" t="str">
        <f t="shared" si="3"/>
        <v/>
      </c>
    </row>
    <row r="255" spans="1:4" x14ac:dyDescent="0.25">
      <c r="A255" s="4" t="s">
        <v>626</v>
      </c>
      <c r="B255" s="4" t="s">
        <v>214</v>
      </c>
      <c r="C255" t="str">
        <f>VLOOKUP(VALUE(A255),CURRENT,2,FALSE)</f>
        <v>BT Sport 2</v>
      </c>
      <c r="D255" t="str">
        <f t="shared" si="3"/>
        <v/>
      </c>
    </row>
    <row r="256" spans="1:4" x14ac:dyDescent="0.25">
      <c r="A256" s="4" t="s">
        <v>627</v>
      </c>
      <c r="B256" s="4" t="s">
        <v>215</v>
      </c>
      <c r="C256" t="str">
        <f>VLOOKUP(VALUE(A256),CURRENT,2,FALSE)</f>
        <v>BT Sport 3</v>
      </c>
      <c r="D256" t="str">
        <f t="shared" si="3"/>
        <v/>
      </c>
    </row>
    <row r="257" spans="1:4" x14ac:dyDescent="0.25">
      <c r="A257" s="4" t="s">
        <v>628</v>
      </c>
      <c r="B257" s="4" t="s">
        <v>216</v>
      </c>
      <c r="C257" t="str">
        <f>VLOOKUP(VALUE(A257),CURRENT,2,FALSE)</f>
        <v>BT Sport ESPN</v>
      </c>
      <c r="D257" t="str">
        <f t="shared" si="3"/>
        <v/>
      </c>
    </row>
    <row r="258" spans="1:4" x14ac:dyDescent="0.25">
      <c r="A258" s="4" t="s">
        <v>629</v>
      </c>
      <c r="B258" s="4" t="s">
        <v>217</v>
      </c>
      <c r="C258" t="str">
        <f>VLOOKUP(VALUE(A258),CURRENT,2,FALSE)</f>
        <v>At The Races</v>
      </c>
      <c r="D258" t="str">
        <f t="shared" si="3"/>
        <v/>
      </c>
    </row>
    <row r="259" spans="1:4" x14ac:dyDescent="0.25">
      <c r="A259" s="4" t="s">
        <v>630</v>
      </c>
      <c r="B259" s="4" t="s">
        <v>631</v>
      </c>
      <c r="C259" t="str">
        <f>VLOOKUP(VALUE(A259),CURRENT,2,FALSE)</f>
        <v>Racing UK HD</v>
      </c>
      <c r="D259" t="str">
        <f t="shared" ref="D259:D322" si="4">IF(B259=C259,"","x")</f>
        <v/>
      </c>
    </row>
    <row r="260" spans="1:4" x14ac:dyDescent="0.25">
      <c r="A260" s="4" t="s">
        <v>632</v>
      </c>
      <c r="B260" s="4" t="s">
        <v>218</v>
      </c>
      <c r="C260" t="str">
        <f>VLOOKUP(VALUE(A260),CURRENT,2,FALSE)</f>
        <v>Liverpool FC TV</v>
      </c>
      <c r="D260" t="str">
        <f t="shared" si="4"/>
        <v/>
      </c>
    </row>
    <row r="261" spans="1:4" x14ac:dyDescent="0.25">
      <c r="A261" s="4" t="s">
        <v>633</v>
      </c>
      <c r="B261" s="4" t="s">
        <v>634</v>
      </c>
      <c r="C261" t="str">
        <f>VLOOKUP(VALUE(A261),CURRENT,2,FALSE)</f>
        <v>BoxNation</v>
      </c>
      <c r="D261" t="str">
        <f t="shared" si="4"/>
        <v/>
      </c>
    </row>
    <row r="262" spans="1:4" x14ac:dyDescent="0.25">
      <c r="A262" s="4" t="s">
        <v>635</v>
      </c>
      <c r="B262" s="4" t="s">
        <v>636</v>
      </c>
      <c r="C262" t="str">
        <f>VLOOKUP(VALUE(A262),CURRENT,2,FALSE)</f>
        <v>Premier Sports 1 HD</v>
      </c>
      <c r="D262" t="str">
        <f t="shared" si="4"/>
        <v/>
      </c>
    </row>
    <row r="263" spans="1:4" x14ac:dyDescent="0.25">
      <c r="A263" s="4" t="s">
        <v>637</v>
      </c>
      <c r="B263" s="4" t="s">
        <v>638</v>
      </c>
      <c r="C263" t="str">
        <f>VLOOKUP(VALUE(A263),CURRENT,2,FALSE)</f>
        <v>Premier Sports 2</v>
      </c>
      <c r="D263" t="str">
        <f t="shared" si="4"/>
        <v/>
      </c>
    </row>
    <row r="264" spans="1:4" x14ac:dyDescent="0.25">
      <c r="A264" s="4" t="s">
        <v>639</v>
      </c>
      <c r="B264" s="4" t="s">
        <v>640</v>
      </c>
      <c r="C264" t="str">
        <f>VLOOKUP(VALUE(A264),CURRENT,2,FALSE)</f>
        <v>FreeSports HD</v>
      </c>
      <c r="D264" t="str">
        <f t="shared" si="4"/>
        <v/>
      </c>
    </row>
    <row r="265" spans="1:4" x14ac:dyDescent="0.25">
      <c r="A265" s="4" t="s">
        <v>641</v>
      </c>
      <c r="B265" s="4" t="s">
        <v>642</v>
      </c>
      <c r="C265" t="str">
        <f>VLOOKUP(VALUE(A265),CURRENT,2,FALSE)</f>
        <v>BT Sport 4K UHD</v>
      </c>
      <c r="D265" t="str">
        <f t="shared" si="4"/>
        <v/>
      </c>
    </row>
    <row r="266" spans="1:4" x14ac:dyDescent="0.25">
      <c r="A266" s="4" t="s">
        <v>643</v>
      </c>
      <c r="B266" s="4" t="s">
        <v>219</v>
      </c>
      <c r="C266" t="str">
        <f>VLOOKUP(VALUE(A266),CURRENT,2,FALSE)</f>
        <v>BBC News</v>
      </c>
      <c r="D266" t="str">
        <f t="shared" si="4"/>
        <v/>
      </c>
    </row>
    <row r="267" spans="1:4" x14ac:dyDescent="0.25">
      <c r="A267" s="4" t="s">
        <v>644</v>
      </c>
      <c r="B267" s="4" t="s">
        <v>220</v>
      </c>
      <c r="C267" t="str">
        <f>VLOOKUP(VALUE(A267),CURRENT,2,FALSE)</f>
        <v>Sky News</v>
      </c>
      <c r="D267" t="str">
        <f t="shared" si="4"/>
        <v/>
      </c>
    </row>
    <row r="268" spans="1:4" x14ac:dyDescent="0.25">
      <c r="A268" s="4" t="s">
        <v>645</v>
      </c>
      <c r="B268" s="4" t="s">
        <v>221</v>
      </c>
      <c r="C268" t="str">
        <f>VLOOKUP(VALUE(A268),CURRENT,2,FALSE)</f>
        <v>Sky News HD</v>
      </c>
      <c r="D268" t="str">
        <f t="shared" si="4"/>
        <v/>
      </c>
    </row>
    <row r="269" spans="1:4" x14ac:dyDescent="0.25">
      <c r="A269" s="4" t="s">
        <v>646</v>
      </c>
      <c r="B269" s="4" t="s">
        <v>222</v>
      </c>
      <c r="C269" t="str">
        <f>VLOOKUP(VALUE(A269),CURRENT,2,FALSE)</f>
        <v>BBC News HD</v>
      </c>
      <c r="D269" t="str">
        <f t="shared" si="4"/>
        <v/>
      </c>
    </row>
    <row r="270" spans="1:4" x14ac:dyDescent="0.25">
      <c r="A270" s="4" t="s">
        <v>647</v>
      </c>
      <c r="B270" s="4" t="s">
        <v>223</v>
      </c>
      <c r="C270" t="str">
        <f>VLOOKUP(VALUE(A270),CURRENT,2,FALSE)</f>
        <v>BBC Parliament</v>
      </c>
      <c r="D270" t="str">
        <f t="shared" si="4"/>
        <v/>
      </c>
    </row>
    <row r="271" spans="1:4" x14ac:dyDescent="0.25">
      <c r="A271" s="4" t="s">
        <v>648</v>
      </c>
      <c r="B271" s="4" t="s">
        <v>649</v>
      </c>
      <c r="C271" t="str">
        <f>VLOOKUP(VALUE(A271),CURRENT,2,FALSE)</f>
        <v>CNN</v>
      </c>
      <c r="D271" t="str">
        <f t="shared" si="4"/>
        <v/>
      </c>
    </row>
    <row r="272" spans="1:4" x14ac:dyDescent="0.25">
      <c r="A272" s="4" t="s">
        <v>650</v>
      </c>
      <c r="B272" s="4" t="s">
        <v>651</v>
      </c>
      <c r="C272" t="str">
        <f>VLOOKUP(VALUE(A272),CURRENT,2,FALSE)</f>
        <v>Bloomberg HD</v>
      </c>
      <c r="D272" t="str">
        <f t="shared" si="4"/>
        <v/>
      </c>
    </row>
    <row r="273" spans="1:4" x14ac:dyDescent="0.25">
      <c r="A273" s="4" t="s">
        <v>652</v>
      </c>
      <c r="B273" s="4" t="s">
        <v>653</v>
      </c>
      <c r="C273" t="str">
        <f>VLOOKUP(VALUE(A273),CURRENT,2,FALSE)</f>
        <v>CNBC</v>
      </c>
      <c r="D273" t="str">
        <f t="shared" si="4"/>
        <v/>
      </c>
    </row>
    <row r="274" spans="1:4" x14ac:dyDescent="0.25">
      <c r="A274" s="4" t="s">
        <v>654</v>
      </c>
      <c r="B274" s="4" t="s">
        <v>224</v>
      </c>
      <c r="C274" t="str">
        <f>VLOOKUP(VALUE(A274),CURRENT,2,FALSE)</f>
        <v>Euronews</v>
      </c>
      <c r="D274" t="str">
        <f t="shared" si="4"/>
        <v/>
      </c>
    </row>
    <row r="275" spans="1:4" x14ac:dyDescent="0.25">
      <c r="A275" s="4" t="s">
        <v>655</v>
      </c>
      <c r="B275" s="4" t="s">
        <v>225</v>
      </c>
      <c r="C275" t="str">
        <f>VLOOKUP(VALUE(A275),CURRENT,2,FALSE)</f>
        <v>NDTV 24x7</v>
      </c>
      <c r="D275" t="str">
        <f t="shared" si="4"/>
        <v/>
      </c>
    </row>
    <row r="276" spans="1:4" x14ac:dyDescent="0.25">
      <c r="A276" s="4" t="s">
        <v>656</v>
      </c>
      <c r="B276" s="4" t="s">
        <v>226</v>
      </c>
      <c r="C276" t="str">
        <f>VLOOKUP(VALUE(A276),CURRENT,2,FALSE)</f>
        <v>Al Jazeera English</v>
      </c>
      <c r="D276" t="str">
        <f t="shared" si="4"/>
        <v/>
      </c>
    </row>
    <row r="277" spans="1:4" x14ac:dyDescent="0.25">
      <c r="A277" s="4" t="s">
        <v>657</v>
      </c>
      <c r="B277" s="4" t="s">
        <v>658</v>
      </c>
      <c r="C277" t="str">
        <f>VLOOKUP(VALUE(A277),CURRENT,2,FALSE)</f>
        <v>France 24 English HD</v>
      </c>
      <c r="D277" t="str">
        <f t="shared" si="4"/>
        <v/>
      </c>
    </row>
    <row r="278" spans="1:4" x14ac:dyDescent="0.25">
      <c r="A278" s="4" t="s">
        <v>659</v>
      </c>
      <c r="B278" s="4" t="s">
        <v>660</v>
      </c>
      <c r="C278" t="str">
        <f>VLOOKUP(VALUE(A278),CURRENT,2,FALSE)</f>
        <v>NHKworldHD</v>
      </c>
      <c r="D278" t="str">
        <f t="shared" si="4"/>
        <v/>
      </c>
    </row>
    <row r="279" spans="1:4" x14ac:dyDescent="0.25">
      <c r="A279" s="4" t="s">
        <v>661</v>
      </c>
      <c r="B279" s="4" t="s">
        <v>662</v>
      </c>
      <c r="C279" t="str">
        <f>VLOOKUP(VALUE(A279),CURRENT,2,FALSE)</f>
        <v>My Virgin TV Kids</v>
      </c>
      <c r="D279" t="str">
        <f t="shared" si="4"/>
        <v/>
      </c>
    </row>
    <row r="280" spans="1:4" x14ac:dyDescent="0.25">
      <c r="A280" s="4" t="s">
        <v>663</v>
      </c>
      <c r="B280" s="4" t="s">
        <v>227</v>
      </c>
      <c r="C280" t="str">
        <f>VLOOKUP(VALUE(A280),CURRENT,2,FALSE)</f>
        <v>CBBC</v>
      </c>
      <c r="D280" t="str">
        <f t="shared" si="4"/>
        <v/>
      </c>
    </row>
    <row r="281" spans="1:4" x14ac:dyDescent="0.25">
      <c r="A281" s="4" t="s">
        <v>664</v>
      </c>
      <c r="B281" s="4" t="s">
        <v>228</v>
      </c>
      <c r="C281" t="str">
        <f>VLOOKUP(VALUE(A281),CURRENT,2,FALSE)</f>
        <v>CBeebies</v>
      </c>
      <c r="D281" t="str">
        <f t="shared" si="4"/>
        <v/>
      </c>
    </row>
    <row r="282" spans="1:4" x14ac:dyDescent="0.25">
      <c r="A282" s="4" t="s">
        <v>665</v>
      </c>
      <c r="B282" s="4" t="s">
        <v>666</v>
      </c>
      <c r="C282" t="str">
        <f>VLOOKUP(VALUE(A282),CURRENT,2,FALSE)</f>
        <v>Baby TV</v>
      </c>
      <c r="D282" t="str">
        <f t="shared" si="4"/>
        <v/>
      </c>
    </row>
    <row r="283" spans="1:4" x14ac:dyDescent="0.25">
      <c r="A283" s="4" t="s">
        <v>667</v>
      </c>
      <c r="B283" s="4" t="s">
        <v>229</v>
      </c>
      <c r="C283" t="str">
        <f>VLOOKUP(VALUE(A283),CURRENT,2,FALSE)</f>
        <v>Cartoon Network</v>
      </c>
      <c r="D283" t="str">
        <f t="shared" si="4"/>
        <v/>
      </c>
    </row>
    <row r="284" spans="1:4" x14ac:dyDescent="0.25">
      <c r="A284" s="4" t="s">
        <v>668</v>
      </c>
      <c r="B284" s="4" t="s">
        <v>230</v>
      </c>
      <c r="C284" t="str">
        <f>VLOOKUP(VALUE(A284),CURRENT,2,FALSE)</f>
        <v>Cartoon Network +1</v>
      </c>
      <c r="D284" t="str">
        <f t="shared" si="4"/>
        <v/>
      </c>
    </row>
    <row r="285" spans="1:4" x14ac:dyDescent="0.25">
      <c r="A285" s="4" t="s">
        <v>669</v>
      </c>
      <c r="B285" s="4" t="s">
        <v>231</v>
      </c>
      <c r="C285" t="str">
        <f>VLOOKUP(VALUE(A285),CURRENT,2,FALSE)</f>
        <v>Cartoonito</v>
      </c>
      <c r="D285" t="str">
        <f t="shared" si="4"/>
        <v/>
      </c>
    </row>
    <row r="286" spans="1:4" x14ac:dyDescent="0.25">
      <c r="A286" s="4" t="s">
        <v>670</v>
      </c>
      <c r="B286" s="4" t="s">
        <v>232</v>
      </c>
      <c r="C286" t="str">
        <f>VLOOKUP(VALUE(A286),CURRENT,2,FALSE)</f>
        <v>Disney XD</v>
      </c>
      <c r="D286" t="str">
        <f t="shared" si="4"/>
        <v/>
      </c>
    </row>
    <row r="287" spans="1:4" x14ac:dyDescent="0.25">
      <c r="A287" s="4" t="s">
        <v>671</v>
      </c>
      <c r="B287" s="4" t="s">
        <v>233</v>
      </c>
      <c r="C287" t="str">
        <f>VLOOKUP(VALUE(A287),CURRENT,2,FALSE)</f>
        <v>CBBC HD</v>
      </c>
      <c r="D287" t="str">
        <f t="shared" si="4"/>
        <v/>
      </c>
    </row>
    <row r="288" spans="1:4" x14ac:dyDescent="0.25">
      <c r="A288" s="4" t="s">
        <v>672</v>
      </c>
      <c r="B288" s="4" t="s">
        <v>234</v>
      </c>
      <c r="C288" t="str">
        <f>VLOOKUP(VALUE(A288),CURRENT,2,FALSE)</f>
        <v>CBeebies HD</v>
      </c>
      <c r="D288" t="str">
        <f t="shared" si="4"/>
        <v/>
      </c>
    </row>
    <row r="289" spans="1:4" x14ac:dyDescent="0.25">
      <c r="A289" s="4" t="s">
        <v>673</v>
      </c>
      <c r="B289" s="4" t="s">
        <v>235</v>
      </c>
      <c r="C289" t="str">
        <f>VLOOKUP(VALUE(A289),CURRENT,2,FALSE)</f>
        <v>Nickelodeon</v>
      </c>
      <c r="D289" t="str">
        <f t="shared" si="4"/>
        <v/>
      </c>
    </row>
    <row r="290" spans="1:4" x14ac:dyDescent="0.25">
      <c r="A290" s="4" t="s">
        <v>674</v>
      </c>
      <c r="B290" s="4" t="s">
        <v>236</v>
      </c>
      <c r="C290" t="str">
        <f>VLOOKUP(VALUE(A290),CURRENT,2,FALSE)</f>
        <v>Nick +1</v>
      </c>
      <c r="D290" t="str">
        <f t="shared" si="4"/>
        <v/>
      </c>
    </row>
    <row r="291" spans="1:4" x14ac:dyDescent="0.25">
      <c r="A291" s="4" t="s">
        <v>675</v>
      </c>
      <c r="B291" s="4" t="s">
        <v>237</v>
      </c>
      <c r="C291" t="str">
        <f>VLOOKUP(VALUE(A291),CURRENT,2,FALSE)</f>
        <v>Nick HD</v>
      </c>
      <c r="D291" t="str">
        <f t="shared" si="4"/>
        <v/>
      </c>
    </row>
    <row r="292" spans="1:4" x14ac:dyDescent="0.25">
      <c r="A292" s="4" t="s">
        <v>676</v>
      </c>
      <c r="B292" s="4" t="s">
        <v>238</v>
      </c>
      <c r="C292" t="str">
        <f>VLOOKUP(VALUE(A292),CURRENT,2,FALSE)</f>
        <v>Nick Jr.</v>
      </c>
      <c r="D292" t="str">
        <f t="shared" si="4"/>
        <v/>
      </c>
    </row>
    <row r="293" spans="1:4" x14ac:dyDescent="0.25">
      <c r="A293" s="4" t="s">
        <v>677</v>
      </c>
      <c r="B293" s="4" t="s">
        <v>239</v>
      </c>
      <c r="C293" t="str">
        <f>VLOOKUP(VALUE(A293),CURRENT,2,FALSE)</f>
        <v>Nick Jr. Too</v>
      </c>
      <c r="D293" t="str">
        <f t="shared" si="4"/>
        <v/>
      </c>
    </row>
    <row r="294" spans="1:4" x14ac:dyDescent="0.25">
      <c r="A294" s="4" t="s">
        <v>678</v>
      </c>
      <c r="B294" s="4" t="s">
        <v>240</v>
      </c>
      <c r="C294" t="str">
        <f>VLOOKUP(VALUE(A294),CURRENT,2,FALSE)</f>
        <v>Nicktoons</v>
      </c>
      <c r="D294" t="str">
        <f t="shared" si="4"/>
        <v/>
      </c>
    </row>
    <row r="295" spans="1:4" x14ac:dyDescent="0.25">
      <c r="A295" s="4" t="s">
        <v>679</v>
      </c>
      <c r="B295" s="4" t="s">
        <v>241</v>
      </c>
      <c r="C295" t="str">
        <f>VLOOKUP(VALUE(A295),CURRENT,2,FALSE)</f>
        <v>Disney Channel</v>
      </c>
      <c r="D295" t="str">
        <f t="shared" si="4"/>
        <v/>
      </c>
    </row>
    <row r="296" spans="1:4" x14ac:dyDescent="0.25">
      <c r="A296" s="4" t="s">
        <v>680</v>
      </c>
      <c r="B296" s="4" t="s">
        <v>242</v>
      </c>
      <c r="C296" t="str">
        <f>VLOOKUP(VALUE(A296),CURRENT,2,FALSE)</f>
        <v>Disney Channel +1</v>
      </c>
      <c r="D296" t="str">
        <f t="shared" si="4"/>
        <v/>
      </c>
    </row>
    <row r="297" spans="1:4" x14ac:dyDescent="0.25">
      <c r="A297" s="4" t="s">
        <v>681</v>
      </c>
      <c r="B297" s="4" t="s">
        <v>243</v>
      </c>
      <c r="C297" t="str">
        <f>VLOOKUP(VALUE(A297),CURRENT,2,FALSE)</f>
        <v>Disney Junior</v>
      </c>
      <c r="D297" t="str">
        <f t="shared" si="4"/>
        <v/>
      </c>
    </row>
    <row r="298" spans="1:4" x14ac:dyDescent="0.25">
      <c r="A298" s="4" t="s">
        <v>682</v>
      </c>
      <c r="B298" s="4" t="s">
        <v>244</v>
      </c>
      <c r="C298" t="str">
        <f>VLOOKUP(VALUE(A298),CURRENT,2,FALSE)</f>
        <v>Boomerang</v>
      </c>
      <c r="D298" t="str">
        <f t="shared" si="4"/>
        <v/>
      </c>
    </row>
    <row r="299" spans="1:4" x14ac:dyDescent="0.25">
      <c r="A299" s="4" t="s">
        <v>683</v>
      </c>
      <c r="B299" s="4" t="s">
        <v>245</v>
      </c>
      <c r="C299" t="str">
        <f>VLOOKUP(VALUE(A299),CURRENT,2,FALSE)</f>
        <v>Boomerang +1</v>
      </c>
      <c r="D299" t="str">
        <f t="shared" si="4"/>
        <v/>
      </c>
    </row>
    <row r="300" spans="1:4" x14ac:dyDescent="0.25">
      <c r="A300" s="4" t="s">
        <v>684</v>
      </c>
      <c r="B300" s="4" t="s">
        <v>246</v>
      </c>
      <c r="C300" t="str">
        <f>VLOOKUP(VALUE(A300),CURRENT,2,FALSE)</f>
        <v>Cartoon Network HD</v>
      </c>
      <c r="D300" t="str">
        <f t="shared" si="4"/>
        <v/>
      </c>
    </row>
    <row r="301" spans="1:4" x14ac:dyDescent="0.25">
      <c r="A301" s="4" t="s">
        <v>685</v>
      </c>
      <c r="B301" s="4" t="s">
        <v>247</v>
      </c>
      <c r="C301" t="str">
        <f>VLOOKUP(VALUE(A301),CURRENT,2,FALSE)</f>
        <v>CITV</v>
      </c>
      <c r="D301" t="str">
        <f t="shared" si="4"/>
        <v/>
      </c>
    </row>
    <row r="302" spans="1:4" x14ac:dyDescent="0.25">
      <c r="A302" s="4" t="s">
        <v>686</v>
      </c>
      <c r="B302" s="4" t="s">
        <v>687</v>
      </c>
      <c r="C302" t="str">
        <f>VLOOKUP(VALUE(A302),CURRENT,2,FALSE)</f>
        <v>POP</v>
      </c>
      <c r="D302" t="str">
        <f t="shared" si="4"/>
        <v/>
      </c>
    </row>
    <row r="303" spans="1:4" x14ac:dyDescent="0.25">
      <c r="A303" s="4" t="s">
        <v>688</v>
      </c>
      <c r="B303" s="4" t="s">
        <v>249</v>
      </c>
      <c r="C303" t="str">
        <f>VLOOKUP(VALUE(A303),CURRENT,2,FALSE)</f>
        <v>Tiny Pop</v>
      </c>
      <c r="D303" t="str">
        <f t="shared" si="4"/>
        <v/>
      </c>
    </row>
    <row r="304" spans="1:4" x14ac:dyDescent="0.25">
      <c r="A304" s="4" t="s">
        <v>689</v>
      </c>
      <c r="B304" s="4" t="s">
        <v>690</v>
      </c>
      <c r="C304" t="str">
        <f>VLOOKUP(VALUE(A304),CURRENT,2,FALSE)</f>
        <v>ZooMoo HD</v>
      </c>
      <c r="D304" t="str">
        <f t="shared" si="4"/>
        <v/>
      </c>
    </row>
    <row r="305" spans="1:4" x14ac:dyDescent="0.25">
      <c r="A305" s="4" t="s">
        <v>691</v>
      </c>
      <c r="B305" s="4" t="s">
        <v>250</v>
      </c>
      <c r="C305" t="str">
        <f>VLOOKUP(VALUE(A305),CURRENT,2,FALSE)</f>
        <v>QVC</v>
      </c>
      <c r="D305" t="str">
        <f t="shared" si="4"/>
        <v/>
      </c>
    </row>
    <row r="306" spans="1:4" x14ac:dyDescent="0.25">
      <c r="A306" s="4" t="s">
        <v>692</v>
      </c>
      <c r="B306" s="4" t="s">
        <v>251</v>
      </c>
      <c r="C306" t="str">
        <f>VLOOKUP(VALUE(A306),CURRENT,2,FALSE)</f>
        <v>QVC Beauty</v>
      </c>
      <c r="D306" t="str">
        <f t="shared" si="4"/>
        <v/>
      </c>
    </row>
    <row r="307" spans="1:4" x14ac:dyDescent="0.25">
      <c r="A307" s="4" t="s">
        <v>693</v>
      </c>
      <c r="B307" s="4" t="s">
        <v>252</v>
      </c>
      <c r="C307" t="str">
        <f>VLOOKUP(VALUE(A307),CURRENT,2,FALSE)</f>
        <v>QVC Style</v>
      </c>
      <c r="D307" t="str">
        <f t="shared" si="4"/>
        <v/>
      </c>
    </row>
    <row r="308" spans="1:4" x14ac:dyDescent="0.25">
      <c r="A308" s="4" t="s">
        <v>694</v>
      </c>
      <c r="B308" s="4" t="s">
        <v>253</v>
      </c>
      <c r="C308" t="str">
        <f>VLOOKUP(VALUE(A308),CURRENT,2,FALSE)</f>
        <v>Ideal World</v>
      </c>
      <c r="D308" t="str">
        <f t="shared" si="4"/>
        <v/>
      </c>
    </row>
    <row r="309" spans="1:4" x14ac:dyDescent="0.25">
      <c r="A309" s="4" t="s">
        <v>695</v>
      </c>
      <c r="B309" s="4" t="s">
        <v>254</v>
      </c>
      <c r="C309" t="str">
        <f>VLOOKUP(VALUE(A309),CURRENT,2,FALSE)</f>
        <v>Create and Craft</v>
      </c>
      <c r="D309" t="str">
        <f t="shared" si="4"/>
        <v/>
      </c>
    </row>
    <row r="310" spans="1:4" x14ac:dyDescent="0.25">
      <c r="A310" s="4" t="s">
        <v>696</v>
      </c>
      <c r="B310" s="4" t="s">
        <v>255</v>
      </c>
      <c r="C310" t="str">
        <f>VLOOKUP(VALUE(A310),CURRENT,2,FALSE)</f>
        <v>Gems TV</v>
      </c>
      <c r="D310" t="str">
        <f t="shared" si="4"/>
        <v/>
      </c>
    </row>
    <row r="311" spans="1:4" x14ac:dyDescent="0.25">
      <c r="A311" s="4" t="s">
        <v>697</v>
      </c>
      <c r="B311" s="4" t="s">
        <v>256</v>
      </c>
      <c r="C311" t="str">
        <f>VLOOKUP(VALUE(A311),CURRENT,2,FALSE)</f>
        <v>Jewellery Maker</v>
      </c>
      <c r="D311" t="str">
        <f t="shared" si="4"/>
        <v/>
      </c>
    </row>
    <row r="312" spans="1:4" x14ac:dyDescent="0.25">
      <c r="A312" s="4" t="s">
        <v>698</v>
      </c>
      <c r="B312" s="4" t="s">
        <v>257</v>
      </c>
      <c r="C312" t="str">
        <f>VLOOKUP(VALUE(A312),CURRENT,2,FALSE)</f>
        <v>TJC</v>
      </c>
      <c r="D312" t="str">
        <f t="shared" si="4"/>
        <v/>
      </c>
    </row>
    <row r="313" spans="1:4" x14ac:dyDescent="0.25">
      <c r="A313" s="4" t="s">
        <v>699</v>
      </c>
      <c r="B313" s="4" t="s">
        <v>700</v>
      </c>
      <c r="C313" t="str">
        <f>VLOOKUP(VALUE(A313),CURRENT,2,FALSE)</f>
        <v>Star Gold HD</v>
      </c>
      <c r="D313" t="str">
        <f t="shared" si="4"/>
        <v/>
      </c>
    </row>
    <row r="314" spans="1:4" x14ac:dyDescent="0.25">
      <c r="A314" s="4" t="s">
        <v>701</v>
      </c>
      <c r="B314" s="4" t="s">
        <v>702</v>
      </c>
      <c r="C314" t="str">
        <f>VLOOKUP(VALUE(A314),CURRENT,2,FALSE)</f>
        <v>Star Plus HD</v>
      </c>
      <c r="D314" t="str">
        <f t="shared" si="4"/>
        <v/>
      </c>
    </row>
    <row r="315" spans="1:4" x14ac:dyDescent="0.25">
      <c r="A315" s="4" t="s">
        <v>703</v>
      </c>
      <c r="B315" s="4" t="s">
        <v>258</v>
      </c>
      <c r="C315" t="str">
        <f>VLOOKUP(VALUE(A315),CURRENT,2,FALSE)</f>
        <v>Star Bharat</v>
      </c>
      <c r="D315" t="str">
        <f t="shared" si="4"/>
        <v/>
      </c>
    </row>
    <row r="316" spans="1:4" x14ac:dyDescent="0.25">
      <c r="A316" s="4" t="s">
        <v>704</v>
      </c>
      <c r="B316" s="4" t="s">
        <v>705</v>
      </c>
      <c r="C316" t="str">
        <f>VLOOKUP(VALUE(A316),CURRENT,2,FALSE)</f>
        <v>SONY TV Asia HD</v>
      </c>
      <c r="D316" t="str">
        <f t="shared" si="4"/>
        <v/>
      </c>
    </row>
    <row r="317" spans="1:4" x14ac:dyDescent="0.25">
      <c r="A317" s="4" t="s">
        <v>706</v>
      </c>
      <c r="B317" s="4" t="s">
        <v>707</v>
      </c>
      <c r="C317" t="str">
        <f>VLOOKUP(VALUE(A317),CURRENT,2,FALSE)</f>
        <v>SONY Max HD</v>
      </c>
      <c r="D317" t="str">
        <f t="shared" si="4"/>
        <v/>
      </c>
    </row>
    <row r="318" spans="1:4" x14ac:dyDescent="0.25">
      <c r="A318" s="4" t="s">
        <v>708</v>
      </c>
      <c r="B318" s="4" t="s">
        <v>709</v>
      </c>
      <c r="C318" t="str">
        <f>VLOOKUP(VALUE(A318),CURRENT,2,FALSE)</f>
        <v>SONY SAB</v>
      </c>
      <c r="D318" t="str">
        <f t="shared" si="4"/>
        <v/>
      </c>
    </row>
    <row r="319" spans="1:4" x14ac:dyDescent="0.25">
      <c r="A319" s="4" t="s">
        <v>710</v>
      </c>
      <c r="B319" s="4" t="s">
        <v>711</v>
      </c>
      <c r="C319" t="str">
        <f>VLOOKUP(VALUE(A319),CURRENT,2,FALSE)</f>
        <v>Zee TV HD</v>
      </c>
      <c r="D319" t="str">
        <f t="shared" si="4"/>
        <v/>
      </c>
    </row>
    <row r="320" spans="1:4" x14ac:dyDescent="0.25">
      <c r="A320" s="4" t="s">
        <v>712</v>
      </c>
      <c r="B320" s="4" t="s">
        <v>713</v>
      </c>
      <c r="C320" t="str">
        <f>VLOOKUP(VALUE(A320),CURRENT,2,FALSE)</f>
        <v>Zee Cinema HD</v>
      </c>
      <c r="D320" t="str">
        <f t="shared" si="4"/>
        <v/>
      </c>
    </row>
    <row r="321" spans="1:4" x14ac:dyDescent="0.25">
      <c r="A321" s="4" t="s">
        <v>714</v>
      </c>
      <c r="B321" s="4" t="s">
        <v>715</v>
      </c>
      <c r="C321" t="str">
        <f>VLOOKUP(VALUE(A321),CURRENT,2,FALSE)</f>
        <v>'&amp;TV'</v>
      </c>
      <c r="D321" t="str">
        <f t="shared" si="4"/>
        <v>x</v>
      </c>
    </row>
    <row r="322" spans="1:4" x14ac:dyDescent="0.25">
      <c r="A322" s="4" t="s">
        <v>716</v>
      </c>
      <c r="B322" s="4" t="s">
        <v>717</v>
      </c>
      <c r="C322" t="str">
        <f>VLOOKUP(VALUE(A322),CURRENT,2,FALSE)</f>
        <v>Living Foodz HD</v>
      </c>
      <c r="D322" t="str">
        <f t="shared" si="4"/>
        <v/>
      </c>
    </row>
    <row r="323" spans="1:4" x14ac:dyDescent="0.25">
      <c r="A323" s="4" t="s">
        <v>718</v>
      </c>
      <c r="B323" s="4" t="s">
        <v>259</v>
      </c>
      <c r="C323" t="str">
        <f>VLOOKUP(VALUE(A323),CURRENT,2,FALSE)</f>
        <v>Zing</v>
      </c>
      <c r="D323" t="str">
        <f t="shared" ref="D323:D386" si="5">IF(B323=C323,"","x")</f>
        <v/>
      </c>
    </row>
    <row r="324" spans="1:4" x14ac:dyDescent="0.25">
      <c r="A324" s="4" t="s">
        <v>719</v>
      </c>
      <c r="B324" s="4" t="s">
        <v>260</v>
      </c>
      <c r="C324" t="str">
        <f>VLOOKUP(VALUE(A324),CURRENT,2,FALSE)</f>
        <v>B4U Movies</v>
      </c>
      <c r="D324" t="str">
        <f t="shared" si="5"/>
        <v/>
      </c>
    </row>
    <row r="325" spans="1:4" x14ac:dyDescent="0.25">
      <c r="A325" s="4" t="s">
        <v>720</v>
      </c>
      <c r="B325" s="4" t="s">
        <v>261</v>
      </c>
      <c r="C325" t="str">
        <f>VLOOKUP(VALUE(A325),CURRENT,2,FALSE)</f>
        <v>B4U Music</v>
      </c>
      <c r="D325" t="str">
        <f t="shared" si="5"/>
        <v/>
      </c>
    </row>
    <row r="326" spans="1:4" x14ac:dyDescent="0.25">
      <c r="A326" s="4" t="s">
        <v>721</v>
      </c>
      <c r="B326" s="4" t="s">
        <v>722</v>
      </c>
      <c r="C326" t="str">
        <f>VLOOKUP(VALUE(A326),CURRENT,2,FALSE)</f>
        <v>TV5MONDE</v>
      </c>
      <c r="D326" t="str">
        <f t="shared" si="5"/>
        <v/>
      </c>
    </row>
    <row r="327" spans="1:4" x14ac:dyDescent="0.25">
      <c r="A327" s="4" t="s">
        <v>723</v>
      </c>
      <c r="B327" s="4" t="s">
        <v>724</v>
      </c>
      <c r="C327" t="str">
        <f>VLOOKUP(VALUE(A327),CURRENT,2,FALSE)</f>
        <v>Colors</v>
      </c>
      <c r="D327" t="str">
        <f t="shared" si="5"/>
        <v/>
      </c>
    </row>
    <row r="328" spans="1:4" x14ac:dyDescent="0.25">
      <c r="A328" s="4" t="s">
        <v>725</v>
      </c>
      <c r="B328" s="4" t="s">
        <v>726</v>
      </c>
      <c r="C328" t="str">
        <f>VLOOKUP(VALUE(A328),CURRENT,2,FALSE)</f>
        <v>Rishtey Europe</v>
      </c>
      <c r="D328" t="str">
        <f t="shared" si="5"/>
        <v/>
      </c>
    </row>
    <row r="329" spans="1:4" x14ac:dyDescent="0.25">
      <c r="A329" s="4" t="s">
        <v>727</v>
      </c>
      <c r="B329" s="4" t="s">
        <v>262</v>
      </c>
      <c r="C329" t="str">
        <f>VLOOKUP(VALUE(A329),CURRENT,2,FALSE)</f>
        <v>Rishtey Cineplex</v>
      </c>
      <c r="D329" t="str">
        <f t="shared" si="5"/>
        <v/>
      </c>
    </row>
    <row r="330" spans="1:4" x14ac:dyDescent="0.25">
      <c r="A330" s="4" t="s">
        <v>728</v>
      </c>
      <c r="B330" s="4" t="s">
        <v>263</v>
      </c>
      <c r="C330" t="str">
        <f>VLOOKUP(VALUE(A330),CURRENT,2,FALSE)</f>
        <v>NDTV Good Times</v>
      </c>
      <c r="D330" t="str">
        <f t="shared" si="5"/>
        <v/>
      </c>
    </row>
    <row r="331" spans="1:4" x14ac:dyDescent="0.25">
      <c r="A331" s="4" t="s">
        <v>729</v>
      </c>
      <c r="B331" s="4" t="s">
        <v>264</v>
      </c>
      <c r="C331" t="str">
        <f>VLOOKUP(VALUE(A331),CURRENT,2,FALSE)</f>
        <v>Al Jazeera Arabic</v>
      </c>
      <c r="D331" t="str">
        <f t="shared" si="5"/>
        <v/>
      </c>
    </row>
    <row r="332" spans="1:4" x14ac:dyDescent="0.25">
      <c r="A332" s="4" t="s">
        <v>730</v>
      </c>
      <c r="B332" s="4" t="s">
        <v>731</v>
      </c>
      <c r="C332" t="str">
        <f>VLOOKUP(VALUE(A332),CURRENT,2,FALSE)</f>
        <v>France 24 French HD</v>
      </c>
      <c r="D332" t="str">
        <f t="shared" si="5"/>
        <v/>
      </c>
    </row>
    <row r="333" spans="1:4" x14ac:dyDescent="0.25">
      <c r="A333" s="4" t="s">
        <v>732</v>
      </c>
      <c r="B333" s="4" t="s">
        <v>265</v>
      </c>
      <c r="C333" t="str">
        <f>VLOOKUP(VALUE(A333),CURRENT,2,FALSE)</f>
        <v>Hum Europe</v>
      </c>
      <c r="D333" t="str">
        <f t="shared" si="5"/>
        <v/>
      </c>
    </row>
    <row r="334" spans="1:4" x14ac:dyDescent="0.25">
      <c r="A334" s="4" t="s">
        <v>733</v>
      </c>
      <c r="B334" s="4" t="s">
        <v>12</v>
      </c>
      <c r="C334" t="str">
        <f>VLOOKUP(VALUE(A334),CURRENT,2,FALSE)</f>
        <v>Worldbox</v>
      </c>
      <c r="D334" t="str">
        <f t="shared" si="5"/>
        <v/>
      </c>
    </row>
    <row r="335" spans="1:4" x14ac:dyDescent="0.25">
      <c r="A335" s="4" t="s">
        <v>734</v>
      </c>
      <c r="B335" s="4" t="s">
        <v>266</v>
      </c>
      <c r="C335" t="str">
        <f>VLOOKUP(VALUE(A335),CURRENT,2,FALSE)</f>
        <v>NDTV India</v>
      </c>
      <c r="D335" t="str">
        <f t="shared" si="5"/>
        <v/>
      </c>
    </row>
    <row r="336" spans="1:4" x14ac:dyDescent="0.25">
      <c r="A336" s="4" t="s">
        <v>735</v>
      </c>
      <c r="B336" s="4" t="s">
        <v>267</v>
      </c>
      <c r="C336" t="str">
        <f>VLOOKUP(VALUE(A336),CURRENT,2,FALSE)</f>
        <v>NDTV Spice</v>
      </c>
      <c r="D336" t="str">
        <f t="shared" si="5"/>
        <v/>
      </c>
    </row>
    <row r="337" spans="1:4" x14ac:dyDescent="0.25">
      <c r="A337" s="4" t="s">
        <v>736</v>
      </c>
      <c r="B337" s="4" t="s">
        <v>737</v>
      </c>
      <c r="C337" t="str">
        <f>VLOOKUP(VALUE(A337),CURRENT,2,FALSE)</f>
        <v>Islam Channel</v>
      </c>
      <c r="D337" t="str">
        <f t="shared" si="5"/>
        <v/>
      </c>
    </row>
    <row r="338" spans="1:4" x14ac:dyDescent="0.25">
      <c r="A338" s="4" t="s">
        <v>738</v>
      </c>
      <c r="B338" s="4" t="s">
        <v>268</v>
      </c>
      <c r="C338" t="str">
        <f>VLOOKUP(VALUE(A338),CURRENT,2,FALSE)</f>
        <v>Islam Channel Urdu</v>
      </c>
      <c r="D338" t="str">
        <f t="shared" si="5"/>
        <v/>
      </c>
    </row>
    <row r="339" spans="1:4" x14ac:dyDescent="0.25">
      <c r="A339" s="4" t="s">
        <v>739</v>
      </c>
      <c r="B339" s="4" t="s">
        <v>740</v>
      </c>
      <c r="C339" t="str">
        <f>VLOOKUP(VALUE(A339),CURRENT,2,FALSE)</f>
        <v>BritAsia TV</v>
      </c>
      <c r="D339" t="str">
        <f t="shared" si="5"/>
        <v/>
      </c>
    </row>
    <row r="340" spans="1:4" x14ac:dyDescent="0.25">
      <c r="A340" s="4" t="s">
        <v>741</v>
      </c>
      <c r="B340" s="4" t="s">
        <v>269</v>
      </c>
      <c r="C340" t="str">
        <f>VLOOKUP(VALUE(A340),CURRENT,2,FALSE)</f>
        <v>MTV Beats</v>
      </c>
      <c r="D340" t="str">
        <f t="shared" si="5"/>
        <v/>
      </c>
    </row>
    <row r="341" spans="1:4" x14ac:dyDescent="0.25">
      <c r="A341" s="4" t="s">
        <v>742</v>
      </c>
      <c r="B341" s="4" t="s">
        <v>743</v>
      </c>
      <c r="C341" t="str">
        <f>VLOOKUP(VALUE(A341),CURRENT,2,FALSE)</f>
        <v>ABN</v>
      </c>
      <c r="D341" t="str">
        <f t="shared" si="5"/>
        <v/>
      </c>
    </row>
    <row r="342" spans="1:4" x14ac:dyDescent="0.25">
      <c r="A342" s="4" t="s">
        <v>744</v>
      </c>
      <c r="B342" s="4" t="s">
        <v>745</v>
      </c>
      <c r="C342" t="str">
        <f>VLOOKUP(VALUE(A342),CURRENT,2,FALSE)</f>
        <v>BBC One AD</v>
      </c>
      <c r="D342" t="str">
        <f t="shared" si="5"/>
        <v/>
      </c>
    </row>
    <row r="343" spans="1:4" x14ac:dyDescent="0.25">
      <c r="A343" s="4" t="s">
        <v>746</v>
      </c>
      <c r="B343" s="4" t="s">
        <v>747</v>
      </c>
      <c r="C343" t="str">
        <f>VLOOKUP(VALUE(A343),CURRENT,2,FALSE)</f>
        <v>BBC Two AD</v>
      </c>
      <c r="D343" t="str">
        <f t="shared" si="5"/>
        <v/>
      </c>
    </row>
    <row r="344" spans="1:4" x14ac:dyDescent="0.25">
      <c r="A344" s="4" t="s">
        <v>748</v>
      </c>
      <c r="B344" s="4" t="s">
        <v>749</v>
      </c>
      <c r="C344" t="str">
        <f>VLOOKUP(VALUE(A344),CURRENT,2,FALSE)</f>
        <v>ITV AD</v>
      </c>
      <c r="D344" t="str">
        <f t="shared" si="5"/>
        <v/>
      </c>
    </row>
    <row r="345" spans="1:4" x14ac:dyDescent="0.25">
      <c r="A345" s="4" t="s">
        <v>750</v>
      </c>
      <c r="B345" s="4" t="s">
        <v>751</v>
      </c>
      <c r="C345" t="str">
        <f>VLOOKUP(VALUE(A345),CURRENT,2,FALSE)</f>
        <v>Channel 4 AD</v>
      </c>
      <c r="D345" t="str">
        <f t="shared" si="5"/>
        <v/>
      </c>
    </row>
    <row r="346" spans="1:4" x14ac:dyDescent="0.25">
      <c r="A346" s="4" t="s">
        <v>752</v>
      </c>
      <c r="B346" s="4" t="s">
        <v>753</v>
      </c>
      <c r="C346" t="str">
        <f>VLOOKUP(VALUE(A346),CURRENT,2,FALSE)</f>
        <v>Channel 5 AD</v>
      </c>
      <c r="D346" t="str">
        <f t="shared" si="5"/>
        <v/>
      </c>
    </row>
    <row r="347" spans="1:4" x14ac:dyDescent="0.25">
      <c r="A347" s="4" t="s">
        <v>754</v>
      </c>
      <c r="B347" s="4" t="s">
        <v>755</v>
      </c>
      <c r="C347" t="str">
        <f>VLOOKUP(VALUE(A347),CURRENT,2,FALSE)</f>
        <v>S4C AD</v>
      </c>
      <c r="D347" t="str">
        <f t="shared" si="5"/>
        <v/>
      </c>
    </row>
    <row r="348" spans="1:4" x14ac:dyDescent="0.25">
      <c r="A348" s="4" t="s">
        <v>756</v>
      </c>
      <c r="B348" s="4" t="s">
        <v>270</v>
      </c>
      <c r="C348" t="str">
        <f>VLOOKUP(VALUE(A348),CURRENT,2,FALSE)</f>
        <v>BBC One England</v>
      </c>
      <c r="D348" t="str">
        <f t="shared" si="5"/>
        <v/>
      </c>
    </row>
    <row r="349" spans="1:4" x14ac:dyDescent="0.25">
      <c r="A349" s="4" t="s">
        <v>757</v>
      </c>
      <c r="B349" s="4" t="s">
        <v>271</v>
      </c>
      <c r="C349" t="str">
        <f>VLOOKUP(VALUE(A349),CURRENT,2,FALSE)</f>
        <v>BBC One Scotland</v>
      </c>
      <c r="D349" t="str">
        <f t="shared" si="5"/>
        <v/>
      </c>
    </row>
    <row r="350" spans="1:4" x14ac:dyDescent="0.25">
      <c r="A350" s="4" t="s">
        <v>758</v>
      </c>
      <c r="B350" s="4" t="s">
        <v>759</v>
      </c>
      <c r="C350" t="str">
        <f>VLOOKUP(VALUE(A350),CURRENT,2,FALSE)</f>
        <v>BBC One NI</v>
      </c>
      <c r="D350" t="str">
        <f t="shared" si="5"/>
        <v/>
      </c>
    </row>
    <row r="351" spans="1:4" x14ac:dyDescent="0.25">
      <c r="A351" s="4" t="s">
        <v>760</v>
      </c>
      <c r="B351" s="4" t="s">
        <v>272</v>
      </c>
      <c r="C351" t="str">
        <f>VLOOKUP(VALUE(A351),CURRENT,2,FALSE)</f>
        <v>BBC One Wales</v>
      </c>
      <c r="D351" t="str">
        <f t="shared" si="5"/>
        <v/>
      </c>
    </row>
    <row r="352" spans="1:4" x14ac:dyDescent="0.25">
      <c r="A352" s="4" t="s">
        <v>761</v>
      </c>
      <c r="B352" s="4" t="s">
        <v>273</v>
      </c>
      <c r="C352" t="str">
        <f>VLOOKUP(VALUE(A352),CURRENT,2,FALSE)</f>
        <v>BBC Two England</v>
      </c>
      <c r="D352" t="str">
        <f t="shared" si="5"/>
        <v/>
      </c>
    </row>
    <row r="353" spans="1:4" x14ac:dyDescent="0.25">
      <c r="A353" s="4" t="s">
        <v>762</v>
      </c>
      <c r="B353" s="4" t="s">
        <v>274</v>
      </c>
      <c r="C353" t="str">
        <f>VLOOKUP(VALUE(A353),CURRENT,2,FALSE)</f>
        <v>BBC Radio 1</v>
      </c>
      <c r="D353" t="str">
        <f t="shared" si="5"/>
        <v/>
      </c>
    </row>
    <row r="354" spans="1:4" x14ac:dyDescent="0.25">
      <c r="A354" s="4" t="s">
        <v>763</v>
      </c>
      <c r="B354" s="4" t="s">
        <v>275</v>
      </c>
      <c r="C354" t="str">
        <f>VLOOKUP(VALUE(A354),CURRENT,2,FALSE)</f>
        <v>BBC Radio 2</v>
      </c>
      <c r="D354" t="str">
        <f t="shared" si="5"/>
        <v/>
      </c>
    </row>
    <row r="355" spans="1:4" x14ac:dyDescent="0.25">
      <c r="A355" s="4" t="s">
        <v>764</v>
      </c>
      <c r="B355" s="4" t="s">
        <v>276</v>
      </c>
      <c r="C355" t="str">
        <f>VLOOKUP(VALUE(A355),CURRENT,2,FALSE)</f>
        <v>BBC Radio 3</v>
      </c>
      <c r="D355" t="str">
        <f t="shared" si="5"/>
        <v/>
      </c>
    </row>
    <row r="356" spans="1:4" x14ac:dyDescent="0.25">
      <c r="A356" s="4" t="s">
        <v>765</v>
      </c>
      <c r="B356" s="4" t="s">
        <v>766</v>
      </c>
      <c r="C356" t="str">
        <f>VLOOKUP(VALUE(A356),CURRENT,2,FALSE)</f>
        <v>BBC Radio 4</v>
      </c>
      <c r="D356" t="str">
        <f t="shared" si="5"/>
        <v/>
      </c>
    </row>
    <row r="357" spans="1:4" x14ac:dyDescent="0.25">
      <c r="A357" s="4" t="s">
        <v>767</v>
      </c>
      <c r="B357" s="4" t="s">
        <v>277</v>
      </c>
      <c r="C357" t="str">
        <f>VLOOKUP(VALUE(A357),CURRENT,2,FALSE)</f>
        <v>BBC Radio 5 Live</v>
      </c>
      <c r="D357" t="str">
        <f t="shared" si="5"/>
        <v/>
      </c>
    </row>
    <row r="358" spans="1:4" x14ac:dyDescent="0.25">
      <c r="A358" s="4" t="s">
        <v>768</v>
      </c>
      <c r="B358" s="4" t="s">
        <v>278</v>
      </c>
      <c r="C358" t="str">
        <f>VLOOKUP(VALUE(A358),CURRENT,2,FALSE)</f>
        <v>BBC World Service</v>
      </c>
      <c r="D358" t="str">
        <f t="shared" si="5"/>
        <v/>
      </c>
    </row>
    <row r="359" spans="1:4" x14ac:dyDescent="0.25">
      <c r="A359" s="4" t="s">
        <v>769</v>
      </c>
      <c r="B359" s="4" t="s">
        <v>770</v>
      </c>
      <c r="C359" t="str">
        <f>VLOOKUP(VALUE(A359),CURRENT,2,FALSE)</f>
        <v>BBC Radio 1 Xtra</v>
      </c>
      <c r="D359" t="str">
        <f t="shared" si="5"/>
        <v/>
      </c>
    </row>
    <row r="360" spans="1:4" x14ac:dyDescent="0.25">
      <c r="A360" s="4" t="s">
        <v>771</v>
      </c>
      <c r="B360" s="4" t="s">
        <v>772</v>
      </c>
      <c r="C360" t="str">
        <f>VLOOKUP(VALUE(A360),CURRENT,2,FALSE)</f>
        <v>BBC Radio 5 Sports Extra</v>
      </c>
      <c r="D360" t="str">
        <f t="shared" si="5"/>
        <v/>
      </c>
    </row>
    <row r="361" spans="1:4" x14ac:dyDescent="0.25">
      <c r="A361" s="4" t="s">
        <v>773</v>
      </c>
      <c r="B361" s="4" t="s">
        <v>279</v>
      </c>
      <c r="C361" t="str">
        <f>VLOOKUP(VALUE(A361),CURRENT,2,FALSE)</f>
        <v>BBC Radio 6 Music</v>
      </c>
      <c r="D361" t="str">
        <f t="shared" si="5"/>
        <v/>
      </c>
    </row>
    <row r="362" spans="1:4" x14ac:dyDescent="0.25">
      <c r="A362" s="4" t="s">
        <v>774</v>
      </c>
      <c r="B362" s="4" t="s">
        <v>280</v>
      </c>
      <c r="C362" t="str">
        <f>VLOOKUP(VALUE(A362),CURRENT,2,FALSE)</f>
        <v>BBC Radio 4 Extra</v>
      </c>
      <c r="D362" t="str">
        <f t="shared" si="5"/>
        <v/>
      </c>
    </row>
    <row r="363" spans="1:4" x14ac:dyDescent="0.25">
      <c r="A363" s="4" t="s">
        <v>775</v>
      </c>
      <c r="B363" s="4" t="s">
        <v>776</v>
      </c>
      <c r="C363" t="str">
        <f>VLOOKUP(VALUE(A363),CURRENT,2,FALSE)</f>
        <v>BBC Radio 4 LW</v>
      </c>
      <c r="D363" t="str">
        <f t="shared" si="5"/>
        <v/>
      </c>
    </row>
    <row r="364" spans="1:4" x14ac:dyDescent="0.25">
      <c r="A364" s="4" t="s">
        <v>777</v>
      </c>
      <c r="B364" s="4" t="s">
        <v>281</v>
      </c>
      <c r="C364" t="str">
        <f>VLOOKUP(VALUE(A364),CURRENT,2,FALSE)</f>
        <v>BBC Asian Network</v>
      </c>
      <c r="D364" t="str">
        <f t="shared" si="5"/>
        <v/>
      </c>
    </row>
    <row r="365" spans="1:4" x14ac:dyDescent="0.25">
      <c r="A365" s="4" t="s">
        <v>778</v>
      </c>
      <c r="B365" s="4" t="s">
        <v>282</v>
      </c>
      <c r="C365" t="str">
        <f>VLOOKUP(VALUE(A365),CURRENT,2,FALSE)</f>
        <v>Absolute Radio</v>
      </c>
      <c r="D365" t="str">
        <f t="shared" si="5"/>
        <v/>
      </c>
    </row>
    <row r="366" spans="1:4" x14ac:dyDescent="0.25">
      <c r="A366" s="4" t="s">
        <v>779</v>
      </c>
      <c r="B366" s="4" t="s">
        <v>283</v>
      </c>
      <c r="C366" t="str">
        <f>VLOOKUP(VALUE(A366),CURRENT,2,FALSE)</f>
        <v>Smooth Radio</v>
      </c>
      <c r="D366" t="str">
        <f t="shared" si="5"/>
        <v/>
      </c>
    </row>
    <row r="367" spans="1:4" x14ac:dyDescent="0.25">
      <c r="A367" s="4" t="s">
        <v>780</v>
      </c>
      <c r="B367" s="4" t="s">
        <v>781</v>
      </c>
      <c r="C367" t="str">
        <f>VLOOKUP(VALUE(A367),CURRENT,2,FALSE)</f>
        <v>RTE Radio</v>
      </c>
      <c r="D367" t="str">
        <f t="shared" si="5"/>
        <v/>
      </c>
    </row>
    <row r="368" spans="1:4" x14ac:dyDescent="0.25">
      <c r="A368" s="4" t="s">
        <v>782</v>
      </c>
      <c r="B368" s="4" t="s">
        <v>284</v>
      </c>
      <c r="C368" t="str">
        <f>VLOOKUP(VALUE(A368),CURRENT,2,FALSE)</f>
        <v>Heart FM</v>
      </c>
      <c r="D368" t="str">
        <f t="shared" si="5"/>
        <v/>
      </c>
    </row>
    <row r="369" spans="1:4" x14ac:dyDescent="0.25">
      <c r="A369" s="4" t="s">
        <v>783</v>
      </c>
      <c r="B369" s="4" t="s">
        <v>784</v>
      </c>
      <c r="C369" t="str">
        <f>VLOOKUP(VALUE(A369),CURRENT,2,FALSE)</f>
        <v>LBC</v>
      </c>
      <c r="D369" t="str">
        <f t="shared" si="5"/>
        <v/>
      </c>
    </row>
    <row r="370" spans="1:4" x14ac:dyDescent="0.25">
      <c r="A370" s="4" t="s">
        <v>785</v>
      </c>
      <c r="B370" s="4" t="s">
        <v>285</v>
      </c>
      <c r="C370" t="str">
        <f>VLOOKUP(VALUE(A370),CURRENT,2,FALSE)</f>
        <v>World Radio Network</v>
      </c>
      <c r="D370" t="str">
        <f t="shared" si="5"/>
        <v/>
      </c>
    </row>
    <row r="371" spans="1:4" x14ac:dyDescent="0.25">
      <c r="A371" s="4" t="s">
        <v>786</v>
      </c>
      <c r="B371" s="4" t="s">
        <v>286</v>
      </c>
      <c r="C371" t="str">
        <f>VLOOKUP(VALUE(A371),CURRENT,2,FALSE)</f>
        <v>Heart 80s</v>
      </c>
      <c r="D371" t="str">
        <f t="shared" si="5"/>
        <v/>
      </c>
    </row>
    <row r="372" spans="1:4" x14ac:dyDescent="0.25">
      <c r="A372" s="4" t="s">
        <v>787</v>
      </c>
      <c r="B372" s="4" t="s">
        <v>287</v>
      </c>
      <c r="C372" t="str">
        <f>VLOOKUP(VALUE(A372),CURRENT,2,FALSE)</f>
        <v>Classic FM</v>
      </c>
      <c r="D372" t="str">
        <f t="shared" si="5"/>
        <v/>
      </c>
    </row>
    <row r="373" spans="1:4" x14ac:dyDescent="0.25">
      <c r="A373" s="4" t="s">
        <v>788</v>
      </c>
      <c r="B373" s="4" t="s">
        <v>31</v>
      </c>
      <c r="C373" t="str">
        <f>VLOOKUP(VALUE(A373),CURRENT,2,FALSE)</f>
        <v>Gold</v>
      </c>
      <c r="D373" t="str">
        <f t="shared" si="5"/>
        <v/>
      </c>
    </row>
    <row r="374" spans="1:4" x14ac:dyDescent="0.25">
      <c r="A374" s="4" t="s">
        <v>789</v>
      </c>
      <c r="B374" s="4" t="s">
        <v>288</v>
      </c>
      <c r="C374" t="str">
        <f>VLOOKUP(VALUE(A374),CURRENT,2,FALSE)</f>
        <v>Planet Rock</v>
      </c>
      <c r="D374" t="str">
        <f t="shared" si="5"/>
        <v/>
      </c>
    </row>
    <row r="375" spans="1:4" x14ac:dyDescent="0.25">
      <c r="A375" s="4" t="s">
        <v>790</v>
      </c>
      <c r="B375" s="4" t="s">
        <v>791</v>
      </c>
      <c r="C375" t="str">
        <f>VLOOKUP(VALUE(A375),CURRENT,2,FALSE)</f>
        <v>Talksport</v>
      </c>
      <c r="D375" t="str">
        <f t="shared" si="5"/>
        <v/>
      </c>
    </row>
    <row r="376" spans="1:4" x14ac:dyDescent="0.25">
      <c r="A376" s="4" t="s">
        <v>792</v>
      </c>
      <c r="B376" s="4" t="s">
        <v>290</v>
      </c>
      <c r="C376" t="str">
        <f>VLOOKUP(VALUE(A376),CURRENT,2,FALSE)</f>
        <v>Magic Radio</v>
      </c>
      <c r="D376" t="str">
        <f t="shared" si="5"/>
        <v/>
      </c>
    </row>
    <row r="377" spans="1:4" x14ac:dyDescent="0.25">
      <c r="A377" s="4" t="s">
        <v>793</v>
      </c>
      <c r="B377" s="4" t="s">
        <v>291</v>
      </c>
      <c r="C377" t="str">
        <f>VLOOKUP(VALUE(A377),CURRENT,2,FALSE)</f>
        <v>BBC Radio Scotland</v>
      </c>
      <c r="D377" t="str">
        <f t="shared" si="5"/>
        <v/>
      </c>
    </row>
    <row r="378" spans="1:4" x14ac:dyDescent="0.25">
      <c r="A378" s="4" t="s">
        <v>794</v>
      </c>
      <c r="B378" s="4" t="s">
        <v>292</v>
      </c>
      <c r="C378" t="str">
        <f>VLOOKUP(VALUE(A378),CURRENT,2,FALSE)</f>
        <v>BBC Radio Wales</v>
      </c>
      <c r="D378" t="str">
        <f t="shared" si="5"/>
        <v/>
      </c>
    </row>
    <row r="379" spans="1:4" x14ac:dyDescent="0.25">
      <c r="A379" s="4" t="s">
        <v>795</v>
      </c>
      <c r="B379" s="4" t="s">
        <v>293</v>
      </c>
      <c r="C379" t="str">
        <f>VLOOKUP(VALUE(A379),CURRENT,2,FALSE)</f>
        <v>BBC Radio Ulster</v>
      </c>
      <c r="D379" t="str">
        <f t="shared" si="5"/>
        <v/>
      </c>
    </row>
    <row r="380" spans="1:4" x14ac:dyDescent="0.25">
      <c r="A380" s="4" t="s">
        <v>796</v>
      </c>
      <c r="B380" s="4" t="s">
        <v>797</v>
      </c>
      <c r="C380" t="str">
        <f>VLOOKUP(VALUE(A380),CURRENT,2,FALSE)</f>
        <v>BBC Radio Foyle</v>
      </c>
      <c r="D380" t="str">
        <f t="shared" si="5"/>
        <v/>
      </c>
    </row>
    <row r="381" spans="1:4" x14ac:dyDescent="0.25">
      <c r="A381" s="4" t="s">
        <v>798</v>
      </c>
      <c r="B381" s="4" t="s">
        <v>799</v>
      </c>
      <c r="C381" t="str">
        <f>VLOOKUP(VALUE(A381),CURRENT,2,FALSE)</f>
        <v>BBC Radio NanGaidheal</v>
      </c>
      <c r="D381" t="str">
        <f t="shared" si="5"/>
        <v/>
      </c>
    </row>
    <row r="382" spans="1:4" x14ac:dyDescent="0.25">
      <c r="A382" s="4" t="s">
        <v>800</v>
      </c>
      <c r="B382" s="4" t="s">
        <v>294</v>
      </c>
      <c r="C382" t="str">
        <f>VLOOKUP(VALUE(A382),CURRENT,2,FALSE)</f>
        <v>BBC Radio Cymru</v>
      </c>
      <c r="D382" t="str">
        <f t="shared" si="5"/>
        <v/>
      </c>
    </row>
    <row r="383" spans="1:4" x14ac:dyDescent="0.25">
      <c r="A383" s="4" t="s">
        <v>801</v>
      </c>
      <c r="B383" s="4" t="s">
        <v>802</v>
      </c>
      <c r="C383" t="str">
        <f>VLOOKUP(VALUE(A383),CURRENT,2,FALSE)</f>
        <v>BBC London</v>
      </c>
      <c r="D383" t="str">
        <f t="shared" si="5"/>
        <v/>
      </c>
    </row>
    <row r="384" spans="1:4" x14ac:dyDescent="0.25">
      <c r="A384" s="4" t="s">
        <v>803</v>
      </c>
      <c r="B384" s="4" t="s">
        <v>804</v>
      </c>
      <c r="C384" t="str">
        <f>VLOOKUP(VALUE(A384),CURRENT,2,FALSE)</f>
        <v>Absolute 80s</v>
      </c>
      <c r="D384" t="str">
        <f t="shared" si="5"/>
        <v/>
      </c>
    </row>
    <row r="385" spans="1:4" x14ac:dyDescent="0.25">
      <c r="A385" s="4" t="s">
        <v>805</v>
      </c>
      <c r="B385" s="4" t="s">
        <v>295</v>
      </c>
      <c r="C385" t="str">
        <f>VLOOKUP(VALUE(A385),CURRENT,2,FALSE)</f>
        <v>Absolute Classic Rock</v>
      </c>
      <c r="D385" t="str">
        <f t="shared" si="5"/>
        <v/>
      </c>
    </row>
    <row r="386" spans="1:4" x14ac:dyDescent="0.25">
      <c r="A386" s="4" t="s">
        <v>806</v>
      </c>
      <c r="B386" s="4" t="s">
        <v>296</v>
      </c>
      <c r="C386" t="str">
        <f>VLOOKUP(VALUE(A386),CURRENT,2,FALSE)</f>
        <v>Capital FM</v>
      </c>
      <c r="D386" t="str">
        <f t="shared" si="5"/>
        <v/>
      </c>
    </row>
    <row r="387" spans="1:4" x14ac:dyDescent="0.25">
      <c r="A387" s="4" t="s">
        <v>807</v>
      </c>
      <c r="B387" s="4" t="s">
        <v>297</v>
      </c>
      <c r="C387" t="str">
        <f>VLOOKUP(VALUE(A387),CURRENT,2,FALSE)</f>
        <v>Capital XTRA</v>
      </c>
      <c r="D387" t="str">
        <f t="shared" ref="D387:D402" si="6">IF(B387=C387,"","x")</f>
        <v/>
      </c>
    </row>
    <row r="388" spans="1:4" x14ac:dyDescent="0.25">
      <c r="A388" s="4" t="s">
        <v>808</v>
      </c>
      <c r="B388" s="4" t="s">
        <v>298</v>
      </c>
      <c r="C388" t="str">
        <f>VLOOKUP(VALUE(A388),CURRENT,2,FALSE)</f>
        <v>Radio X</v>
      </c>
      <c r="D388" t="str">
        <f t="shared" si="6"/>
        <v/>
      </c>
    </row>
    <row r="389" spans="1:4" x14ac:dyDescent="0.25">
      <c r="A389" s="4" t="s">
        <v>809</v>
      </c>
      <c r="B389" s="4" t="s">
        <v>299</v>
      </c>
      <c r="C389" t="str">
        <f>VLOOKUP(VALUE(A389),CURRENT,2,FALSE)</f>
        <v>Kiss FM</v>
      </c>
      <c r="D389" t="str">
        <f t="shared" si="6"/>
        <v/>
      </c>
    </row>
    <row r="390" spans="1:4" x14ac:dyDescent="0.25">
      <c r="A390" s="4" t="s">
        <v>810</v>
      </c>
      <c r="B390" s="4" t="s">
        <v>811</v>
      </c>
      <c r="C390" t="str">
        <f>VLOOKUP(VALUE(A390),CURRENT,2,FALSE)</f>
        <v>Adult Preview</v>
      </c>
      <c r="D390" t="str">
        <f t="shared" si="6"/>
        <v/>
      </c>
    </row>
    <row r="391" spans="1:4" x14ac:dyDescent="0.25">
      <c r="A391" s="4" t="s">
        <v>812</v>
      </c>
      <c r="B391" s="4" t="s">
        <v>301</v>
      </c>
      <c r="C391" t="str">
        <f>VLOOKUP(VALUE(A391),CURRENT,2,FALSE)</f>
        <v>Television X</v>
      </c>
      <c r="D391" t="str">
        <f t="shared" si="6"/>
        <v/>
      </c>
    </row>
    <row r="392" spans="1:4" x14ac:dyDescent="0.25">
      <c r="A392" s="4" t="s">
        <v>813</v>
      </c>
      <c r="B392" s="4" t="s">
        <v>300</v>
      </c>
      <c r="C392" t="str">
        <f>VLOOKUP(VALUE(A392),CURRENT,2,FALSE)</f>
        <v>Adult Channel</v>
      </c>
      <c r="D392" t="str">
        <f t="shared" si="6"/>
        <v/>
      </c>
    </row>
    <row r="393" spans="1:4" x14ac:dyDescent="0.25">
      <c r="A393" s="4" t="s">
        <v>814</v>
      </c>
      <c r="B393" s="4" t="s">
        <v>815</v>
      </c>
      <c r="C393" t="str">
        <f>VLOOKUP(VALUE(A393),CURRENT,2,FALSE)</f>
        <v>My Ex-Girlfriends Nightly</v>
      </c>
      <c r="D393" t="str">
        <f t="shared" si="6"/>
        <v/>
      </c>
    </row>
    <row r="394" spans="1:4" x14ac:dyDescent="0.25">
      <c r="A394" s="4" t="s">
        <v>816</v>
      </c>
      <c r="B394" s="4" t="s">
        <v>817</v>
      </c>
      <c r="C394" t="str">
        <f>VLOOKUP(VALUE(A394),CURRENT,2,FALSE)</f>
        <v>Filth XXX</v>
      </c>
      <c r="D394" t="str">
        <f t="shared" si="6"/>
        <v/>
      </c>
    </row>
    <row r="395" spans="1:4" x14ac:dyDescent="0.25">
      <c r="A395" s="4" t="s">
        <v>818</v>
      </c>
      <c r="B395" s="4" t="s">
        <v>819</v>
      </c>
      <c r="C395" t="str">
        <f>VLOOKUP(VALUE(A395),CURRENT,2,FALSE)</f>
        <v>Red Hot XXX</v>
      </c>
      <c r="D395" t="str">
        <f t="shared" si="6"/>
        <v/>
      </c>
    </row>
    <row r="396" spans="1:4" x14ac:dyDescent="0.25">
      <c r="A396" s="4" t="s">
        <v>820</v>
      </c>
      <c r="B396" s="4" t="s">
        <v>821</v>
      </c>
      <c r="C396" t="str">
        <f>VLOOKUP(VALUE(A396),CURRENT,2,FALSE)</f>
        <v>Wives XXX</v>
      </c>
      <c r="D396" t="str">
        <f t="shared" si="6"/>
        <v/>
      </c>
    </row>
    <row r="397" spans="1:4" x14ac:dyDescent="0.25">
      <c r="A397" s="4" t="s">
        <v>822</v>
      </c>
      <c r="B397" s="4" t="s">
        <v>823</v>
      </c>
      <c r="C397" t="str">
        <f>VLOOKUP(VALUE(A397),CURRENT,2,FALSE)</f>
        <v>XXX Mums</v>
      </c>
      <c r="D397" t="str">
        <f t="shared" si="6"/>
        <v/>
      </c>
    </row>
    <row r="398" spans="1:4" x14ac:dyDescent="0.25">
      <c r="A398" s="4" t="s">
        <v>824</v>
      </c>
      <c r="B398" s="4" t="s">
        <v>301</v>
      </c>
      <c r="C398" t="str">
        <f>VLOOKUP(VALUE(A398),CURRENT,2,FALSE)</f>
        <v>Television X</v>
      </c>
      <c r="D398" t="str">
        <f t="shared" si="6"/>
        <v/>
      </c>
    </row>
    <row r="399" spans="1:4" x14ac:dyDescent="0.25">
      <c r="A399" s="4" t="s">
        <v>825</v>
      </c>
      <c r="B399" s="4" t="s">
        <v>300</v>
      </c>
      <c r="C399" t="str">
        <f>VLOOKUP(VALUE(A399),CURRENT,2,FALSE)</f>
        <v>Adult Channel</v>
      </c>
      <c r="D399" t="str">
        <f t="shared" si="6"/>
        <v/>
      </c>
    </row>
    <row r="400" spans="1:4" x14ac:dyDescent="0.25">
      <c r="A400" s="4" t="s">
        <v>826</v>
      </c>
      <c r="B400" s="4" t="s">
        <v>827</v>
      </c>
      <c r="C400" t="str">
        <f>VLOOKUP(VALUE(A400),CURRENT,2,FALSE)</f>
        <v>Babe Station</v>
      </c>
      <c r="D400" t="str">
        <f t="shared" si="6"/>
        <v/>
      </c>
    </row>
    <row r="401" spans="1:4" x14ac:dyDescent="0.25">
      <c r="A401" s="4" t="s">
        <v>828</v>
      </c>
      <c r="B401" s="4" t="s">
        <v>829</v>
      </c>
      <c r="C401" t="str">
        <f>VLOOKUP(VALUE(A401),CURRENT,2,FALSE)</f>
        <v>BBC Red Button</v>
      </c>
      <c r="D401" t="str">
        <f t="shared" si="6"/>
        <v>x</v>
      </c>
    </row>
    <row r="402" spans="1:4" x14ac:dyDescent="0.25">
      <c r="A402" s="4" t="s">
        <v>830</v>
      </c>
      <c r="B402" s="4" t="s">
        <v>831</v>
      </c>
      <c r="C402" t="str">
        <f>VLOOKUP(VALUE(A402),CURRENT,2,FALSE)</f>
        <v>Virgin TV Ultra HD</v>
      </c>
      <c r="D402" t="str">
        <f t="shared" si="6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403"/>
  <sheetViews>
    <sheetView topLeftCell="A372" workbookViewId="0">
      <selection activeCell="C386" sqref="C386"/>
    </sheetView>
  </sheetViews>
  <sheetFormatPr defaultRowHeight="15" x14ac:dyDescent="0.25"/>
  <cols>
    <col min="2" max="2" width="32.7109375" bestFit="1" customWidth="1"/>
    <col min="3" max="3" width="27.85546875" bestFit="1" customWidth="1"/>
  </cols>
  <sheetData>
    <row r="2" spans="1:4" x14ac:dyDescent="0.25">
      <c r="A2">
        <f>Sheet1!A2</f>
        <v>100</v>
      </c>
      <c r="B2" t="str">
        <f>Sheet1!B2</f>
        <v>Virgin Media Previews</v>
      </c>
      <c r="C2" t="str">
        <f>VLOOKUP(TEXT(A2,"###"),NOV,2,FALSE)</f>
        <v>Virgin Media Previews</v>
      </c>
      <c r="D2" t="str">
        <f>IF(B2=C2,"","x")</f>
        <v/>
      </c>
    </row>
    <row r="3" spans="1:4" x14ac:dyDescent="0.25">
      <c r="A3">
        <f>Sheet1!A3</f>
        <v>101</v>
      </c>
      <c r="B3" t="str">
        <f>Sheet1!B3</f>
        <v>BBC One</v>
      </c>
      <c r="C3" t="str">
        <f>VLOOKUP(TEXT(A3,"###"),NOV,2,FALSE)</f>
        <v>BBC One</v>
      </c>
      <c r="D3" t="str">
        <f>IF(B3=C3,"","x")</f>
        <v/>
      </c>
    </row>
    <row r="4" spans="1:4" x14ac:dyDescent="0.25">
      <c r="A4">
        <f>Sheet1!A4</f>
        <v>102</v>
      </c>
      <c r="B4" t="str">
        <f>Sheet1!B4</f>
        <v>BBC Two</v>
      </c>
      <c r="C4" t="str">
        <f>VLOOKUP(TEXT(A4,"###"),NOV,2,FALSE)</f>
        <v>BBC Two</v>
      </c>
      <c r="D4" t="str">
        <f>IF(B4=C4,"","x")</f>
        <v/>
      </c>
    </row>
    <row r="5" spans="1:4" x14ac:dyDescent="0.25">
      <c r="A5">
        <f>Sheet1!A5</f>
        <v>103</v>
      </c>
      <c r="B5" t="str">
        <f>Sheet1!B5</f>
        <v>ITV</v>
      </c>
      <c r="C5" t="str">
        <f>VLOOKUP(TEXT(A5,"###"),NOV,2,FALSE)</f>
        <v>ITV</v>
      </c>
      <c r="D5" t="str">
        <f>IF(B5=C5,"","x")</f>
        <v/>
      </c>
    </row>
    <row r="6" spans="1:4" x14ac:dyDescent="0.25">
      <c r="A6">
        <f>Sheet1!A6</f>
        <v>104</v>
      </c>
      <c r="B6" t="str">
        <f>Sheet1!B6</f>
        <v>Channel 4</v>
      </c>
      <c r="C6" t="str">
        <f>VLOOKUP(TEXT(A6,"###"),NOV,2,FALSE)</f>
        <v>Channel 4</v>
      </c>
      <c r="D6" t="str">
        <f>IF(B6=C6,"","x")</f>
        <v/>
      </c>
    </row>
    <row r="7" spans="1:4" x14ac:dyDescent="0.25">
      <c r="A7">
        <f>Sheet1!A7</f>
        <v>105</v>
      </c>
      <c r="B7" t="str">
        <f>Sheet1!B7</f>
        <v>Channel 5</v>
      </c>
      <c r="C7" t="str">
        <f>VLOOKUP(TEXT(A7,"###"),NOV,2,FALSE)</f>
        <v>Channel 5</v>
      </c>
      <c r="D7" t="str">
        <f>IF(B7=C7,"","x")</f>
        <v/>
      </c>
    </row>
    <row r="8" spans="1:4" x14ac:dyDescent="0.25">
      <c r="A8">
        <f>Sheet1!A8</f>
        <v>106</v>
      </c>
      <c r="B8" t="str">
        <f>Sheet1!B8</f>
        <v>E4</v>
      </c>
      <c r="C8" t="str">
        <f>VLOOKUP(TEXT(A8,"###"),NOV,2,FALSE)</f>
        <v>E4</v>
      </c>
      <c r="D8" t="str">
        <f>IF(B8=C8,"","x")</f>
        <v/>
      </c>
    </row>
    <row r="9" spans="1:4" x14ac:dyDescent="0.25">
      <c r="A9">
        <f>Sheet1!A9</f>
        <v>107</v>
      </c>
      <c r="B9" t="str">
        <f>Sheet1!B9</f>
        <v>BBC Four</v>
      </c>
      <c r="C9" t="str">
        <f>VLOOKUP(TEXT(A9,"###"),NOV,2,FALSE)</f>
        <v>BBC Four</v>
      </c>
      <c r="D9" t="str">
        <f>IF(B9=C9,"","x")</f>
        <v/>
      </c>
    </row>
    <row r="10" spans="1:4" x14ac:dyDescent="0.25">
      <c r="A10">
        <f>Sheet1!A10</f>
        <v>108</v>
      </c>
      <c r="B10" t="str">
        <f>Sheet1!B10</f>
        <v>BBC One HD</v>
      </c>
      <c r="C10" t="str">
        <f>VLOOKUP(TEXT(A10,"###"),NOV,2,FALSE)</f>
        <v>BBC One HD</v>
      </c>
      <c r="D10" t="str">
        <f>IF(B10=C10,"","x")</f>
        <v/>
      </c>
    </row>
    <row r="11" spans="1:4" x14ac:dyDescent="0.25">
      <c r="A11">
        <f>Sheet1!A11</f>
        <v>109</v>
      </c>
      <c r="B11" t="str">
        <f>Sheet1!B11</f>
        <v>Sky One HD</v>
      </c>
      <c r="C11" t="str">
        <f>VLOOKUP(TEXT(A11,"###"),NOV,2,FALSE)</f>
        <v>Sky One HD</v>
      </c>
      <c r="D11" t="str">
        <f>IF(B11=C11,"","x")</f>
        <v/>
      </c>
    </row>
    <row r="12" spans="1:4" x14ac:dyDescent="0.25">
      <c r="A12">
        <f>Sheet1!A12</f>
        <v>110</v>
      </c>
      <c r="B12" t="str">
        <f>Sheet1!B12</f>
        <v>Sky One</v>
      </c>
      <c r="C12" t="str">
        <f>VLOOKUP(TEXT(A12,"###"),NOV,2,FALSE)</f>
        <v>Sky One</v>
      </c>
      <c r="D12" t="str">
        <f>IF(B12=C12,"","x")</f>
        <v/>
      </c>
    </row>
    <row r="13" spans="1:4" x14ac:dyDescent="0.25">
      <c r="A13">
        <f>Sheet1!A13</f>
        <v>111</v>
      </c>
      <c r="B13" t="str">
        <f>Sheet1!B13</f>
        <v>Sky Witness HD</v>
      </c>
      <c r="C13" t="str">
        <f>VLOOKUP(TEXT(A13,"###"),NOV,2,FALSE)</f>
        <v>Sky Witness HD</v>
      </c>
      <c r="D13" t="str">
        <f>IF(B13=C13,"","x")</f>
        <v/>
      </c>
    </row>
    <row r="14" spans="1:4" x14ac:dyDescent="0.25">
      <c r="A14">
        <f>Sheet1!A14</f>
        <v>112</v>
      </c>
      <c r="B14" t="str">
        <f>Sheet1!B14</f>
        <v>Sky Witness</v>
      </c>
      <c r="C14" t="str">
        <f>VLOOKUP(TEXT(A14,"###"),NOV,2,FALSE)</f>
        <v>Sky Witness</v>
      </c>
      <c r="D14" t="str">
        <f>IF(B14=C14,"","x")</f>
        <v/>
      </c>
    </row>
    <row r="15" spans="1:4" x14ac:dyDescent="0.25">
      <c r="A15">
        <f>Sheet1!A15</f>
        <v>113</v>
      </c>
      <c r="B15" t="str">
        <f>Sheet1!B15</f>
        <v>ITV HD</v>
      </c>
      <c r="C15" t="str">
        <f>VLOOKUP(TEXT(A15,"###"),NOV,2,FALSE)</f>
        <v>ITV HD</v>
      </c>
      <c r="D15" t="str">
        <f>IF(B15=C15,"","x")</f>
        <v/>
      </c>
    </row>
    <row r="16" spans="1:4" x14ac:dyDescent="0.25">
      <c r="A16">
        <f>Sheet1!A16</f>
        <v>114</v>
      </c>
      <c r="B16" t="str">
        <f>Sheet1!B16</f>
        <v>ITV +1</v>
      </c>
      <c r="C16" t="str">
        <f>VLOOKUP(TEXT(A16,"###"),NOV,2,FALSE)</f>
        <v>ITV +1</v>
      </c>
      <c r="D16" t="str">
        <f>IF(B16=C16,"","x")</f>
        <v/>
      </c>
    </row>
    <row r="17" spans="1:4" x14ac:dyDescent="0.25">
      <c r="A17">
        <f>Sheet1!A17</f>
        <v>115</v>
      </c>
      <c r="B17" t="str">
        <f>Sheet1!B17</f>
        <v>ITV2</v>
      </c>
      <c r="C17" t="str">
        <f>VLOOKUP(TEXT(A17,"###"),NOV,2,FALSE)</f>
        <v>ITV2</v>
      </c>
      <c r="D17" t="str">
        <f>IF(B17=C17,"","x")</f>
        <v/>
      </c>
    </row>
    <row r="18" spans="1:4" x14ac:dyDescent="0.25">
      <c r="A18">
        <f>Sheet1!A18</f>
        <v>116</v>
      </c>
      <c r="B18" t="str">
        <f>Sheet1!B18</f>
        <v>ITV2 +1</v>
      </c>
      <c r="C18" t="str">
        <f>VLOOKUP(TEXT(A18,"###"),NOV,2,FALSE)</f>
        <v>ITV2 +1</v>
      </c>
      <c r="D18" t="str">
        <f>IF(B18=C18,"","x")</f>
        <v/>
      </c>
    </row>
    <row r="19" spans="1:4" x14ac:dyDescent="0.25">
      <c r="A19">
        <f>Sheet1!A19</f>
        <v>117</v>
      </c>
      <c r="B19" t="str">
        <f>Sheet1!B19</f>
        <v>ITV3</v>
      </c>
      <c r="C19" t="str">
        <f>VLOOKUP(TEXT(A19,"###"),NOV,2,FALSE)</f>
        <v>ITV3</v>
      </c>
      <c r="D19" t="str">
        <f>IF(B19=C19,"","x")</f>
        <v/>
      </c>
    </row>
    <row r="20" spans="1:4" x14ac:dyDescent="0.25">
      <c r="A20">
        <f>Sheet1!A20</f>
        <v>118</v>
      </c>
      <c r="B20" t="str">
        <f>Sheet1!B20</f>
        <v>ITV4</v>
      </c>
      <c r="C20" t="str">
        <f>VLOOKUP(TEXT(A20,"###"),NOV,2,FALSE)</f>
        <v>ITV4</v>
      </c>
      <c r="D20" t="str">
        <f>IF(B20=C20,"","x")</f>
        <v/>
      </c>
    </row>
    <row r="21" spans="1:4" x14ac:dyDescent="0.25">
      <c r="A21">
        <f>Sheet1!A21</f>
        <v>119</v>
      </c>
      <c r="B21" t="str">
        <f>Sheet1!B21</f>
        <v>ITVBe</v>
      </c>
      <c r="C21" t="str">
        <f>VLOOKUP(TEXT(A21,"###"),NOV,2,FALSE)</f>
        <v>ITVBe</v>
      </c>
      <c r="D21" t="str">
        <f>IF(B21=C21,"","x")</f>
        <v/>
      </c>
    </row>
    <row r="22" spans="1:4" x14ac:dyDescent="0.25">
      <c r="A22">
        <f>Sheet1!A22</f>
        <v>120</v>
      </c>
      <c r="B22" t="str">
        <f>Sheet1!B22</f>
        <v>ITVBe +1</v>
      </c>
      <c r="C22" t="str">
        <f>VLOOKUP(TEXT(A22,"###"),NOV,2,FALSE)</f>
        <v>ITVBe +1</v>
      </c>
      <c r="D22" t="str">
        <f>IF(B22=C22,"","x")</f>
        <v/>
      </c>
    </row>
    <row r="23" spans="1:4" x14ac:dyDescent="0.25">
      <c r="A23">
        <f>Sheet1!A23</f>
        <v>121</v>
      </c>
      <c r="B23" t="str">
        <f>Sheet1!B23</f>
        <v>Sky Two</v>
      </c>
      <c r="C23" t="str">
        <f>VLOOKUP(TEXT(A23,"###"),NOV,2,FALSE)</f>
        <v>Sky Two</v>
      </c>
      <c r="D23" t="str">
        <f>IF(B23=C23,"","x")</f>
        <v/>
      </c>
    </row>
    <row r="24" spans="1:4" x14ac:dyDescent="0.25">
      <c r="A24">
        <f>Sheet1!A24</f>
        <v>122</v>
      </c>
      <c r="B24" t="str">
        <f>Sheet1!B24</f>
        <v>Sky Arts</v>
      </c>
      <c r="C24" t="str">
        <f>VLOOKUP(TEXT(A24,"###"),NOV,2,FALSE)</f>
        <v>Sky Arts</v>
      </c>
      <c r="D24" t="str">
        <f>IF(B24=C24,"","x")</f>
        <v/>
      </c>
    </row>
    <row r="25" spans="1:4" x14ac:dyDescent="0.25">
      <c r="A25">
        <f>Sheet1!A25</f>
        <v>123</v>
      </c>
      <c r="B25" t="str">
        <f>Sheet1!B25</f>
        <v>Pick</v>
      </c>
      <c r="C25" t="str">
        <f>VLOOKUP(TEXT(A25,"###"),NOV,2,FALSE)</f>
        <v>Pick</v>
      </c>
      <c r="D25" t="str">
        <f>IF(B25=C25,"","x")</f>
        <v/>
      </c>
    </row>
    <row r="26" spans="1:4" x14ac:dyDescent="0.25">
      <c r="A26">
        <f>Sheet1!A26</f>
        <v>124</v>
      </c>
      <c r="B26" t="str">
        <f>Sheet1!B26</f>
        <v>Gold HD</v>
      </c>
      <c r="C26" t="str">
        <f>VLOOKUP(TEXT(A26,"###"),NOV,2,FALSE)</f>
        <v>Gold HD</v>
      </c>
      <c r="D26" t="str">
        <f>IF(B26=C26,"","x")</f>
        <v/>
      </c>
    </row>
    <row r="27" spans="1:4" x14ac:dyDescent="0.25">
      <c r="A27">
        <f>Sheet1!A27</f>
        <v>125</v>
      </c>
      <c r="B27" t="str">
        <f>Sheet1!B27</f>
        <v>W</v>
      </c>
      <c r="C27" t="str">
        <f>VLOOKUP(TEXT(A27,"###"),NOV,2,FALSE)</f>
        <v>W</v>
      </c>
      <c r="D27" t="str">
        <f>IF(B27=C27,"","x")</f>
        <v/>
      </c>
    </row>
    <row r="28" spans="1:4" x14ac:dyDescent="0.25">
      <c r="A28">
        <f>Sheet1!A28</f>
        <v>126</v>
      </c>
      <c r="B28" t="str">
        <f>Sheet1!B28</f>
        <v>alibi</v>
      </c>
      <c r="C28" t="str">
        <f>VLOOKUP(TEXT(A28,"###"),NOV,2,FALSE)</f>
        <v>alibi</v>
      </c>
      <c r="D28" t="str">
        <f>IF(B28=C28,"","x")</f>
        <v/>
      </c>
    </row>
    <row r="29" spans="1:4" x14ac:dyDescent="0.25">
      <c r="A29">
        <f>Sheet1!A29</f>
        <v>127</v>
      </c>
      <c r="B29" t="str">
        <f>Sheet1!B29</f>
        <v>Dave</v>
      </c>
      <c r="C29" t="str">
        <f>VLOOKUP(TEXT(A29,"###"),NOV,2,FALSE)</f>
        <v>Dave</v>
      </c>
      <c r="D29" t="str">
        <f>IF(B29=C29,"","x")</f>
        <v/>
      </c>
    </row>
    <row r="30" spans="1:4" x14ac:dyDescent="0.25">
      <c r="A30">
        <f>Sheet1!A30</f>
        <v>128</v>
      </c>
      <c r="B30" t="str">
        <f>Sheet1!B30</f>
        <v>Drama</v>
      </c>
      <c r="C30" t="str">
        <f>VLOOKUP(TEXT(A30,"###"),NOV,2,FALSE)</f>
        <v>Drama</v>
      </c>
      <c r="D30" t="str">
        <f>IF(B30=C30,"","x")</f>
        <v/>
      </c>
    </row>
    <row r="31" spans="1:4" x14ac:dyDescent="0.25">
      <c r="A31">
        <f>Sheet1!A31</f>
        <v>129</v>
      </c>
      <c r="B31" t="str">
        <f>Sheet1!B31</f>
        <v>Really</v>
      </c>
      <c r="C31" t="str">
        <f>VLOOKUP(TEXT(A31,"###"),NOV,2,FALSE)</f>
        <v>Really</v>
      </c>
      <c r="D31" t="str">
        <f>IF(B31=C31,"","x")</f>
        <v/>
      </c>
    </row>
    <row r="32" spans="1:4" x14ac:dyDescent="0.25">
      <c r="A32">
        <f>Sheet1!A32</f>
        <v>130</v>
      </c>
      <c r="B32" t="str">
        <f>Sheet1!B32</f>
        <v>alibi +1</v>
      </c>
      <c r="C32" t="str">
        <f>VLOOKUP(TEXT(A32,"###"),NOV,2,FALSE)</f>
        <v>alibi +1</v>
      </c>
      <c r="D32" t="str">
        <f>IF(B32=C32,"","x")</f>
        <v/>
      </c>
    </row>
    <row r="33" spans="1:4" x14ac:dyDescent="0.25">
      <c r="A33">
        <f>Sheet1!A33</f>
        <v>131</v>
      </c>
      <c r="B33" t="str">
        <f>Sheet1!B33</f>
        <v>W +1</v>
      </c>
      <c r="C33" t="str">
        <f>VLOOKUP(TEXT(A33,"###"),NOV,2,FALSE)</f>
        <v>W +1</v>
      </c>
      <c r="D33" t="str">
        <f>IF(B33=C33,"","x")</f>
        <v/>
      </c>
    </row>
    <row r="34" spans="1:4" x14ac:dyDescent="0.25">
      <c r="A34">
        <f>Sheet1!A34</f>
        <v>132</v>
      </c>
      <c r="B34" t="str">
        <f>Sheet1!B34</f>
        <v>Comedy Central</v>
      </c>
      <c r="C34" t="str">
        <f>VLOOKUP(TEXT(A34,"###"),NOV,2,FALSE)</f>
        <v>Comedy Central</v>
      </c>
      <c r="D34" t="str">
        <f>IF(B34=C34,"","x")</f>
        <v/>
      </c>
    </row>
    <row r="35" spans="1:4" x14ac:dyDescent="0.25">
      <c r="A35">
        <f>Sheet1!A35</f>
        <v>133</v>
      </c>
      <c r="B35" t="str">
        <f>Sheet1!B35</f>
        <v>Comedy Central +1</v>
      </c>
      <c r="C35" t="str">
        <f>VLOOKUP(TEXT(A35,"###"),NOV,2,FALSE)</f>
        <v>Comedy Central +1</v>
      </c>
      <c r="D35" t="str">
        <f>IF(B35=C35,"","x")</f>
        <v/>
      </c>
    </row>
    <row r="36" spans="1:4" x14ac:dyDescent="0.25">
      <c r="A36">
        <f>Sheet1!A36</f>
        <v>134</v>
      </c>
      <c r="B36" t="str">
        <f>Sheet1!B36</f>
        <v>MTV</v>
      </c>
      <c r="C36" t="str">
        <f>VLOOKUP(TEXT(A36,"###"),NOV,2,FALSE)</f>
        <v>MTV</v>
      </c>
      <c r="D36" t="str">
        <f>IF(B36=C36,"","x")</f>
        <v/>
      </c>
    </row>
    <row r="37" spans="1:4" x14ac:dyDescent="0.25">
      <c r="A37">
        <f>Sheet1!A37</f>
        <v>135</v>
      </c>
      <c r="B37" t="str">
        <f>Sheet1!B37</f>
        <v>Syfy</v>
      </c>
      <c r="C37" t="str">
        <f>VLOOKUP(TEXT(A37,"###"),NOV,2,FALSE)</f>
        <v>SYFY</v>
      </c>
      <c r="D37" t="str">
        <f>IF(B37=C37,"","x")</f>
        <v/>
      </c>
    </row>
    <row r="38" spans="1:4" x14ac:dyDescent="0.25">
      <c r="A38">
        <f>Sheet1!A38</f>
        <v>136</v>
      </c>
      <c r="B38" t="str">
        <f>Sheet1!B38</f>
        <v>Syfy +1</v>
      </c>
      <c r="C38" t="str">
        <f>VLOOKUP(TEXT(A38,"###"),NOV,2,FALSE)</f>
        <v>SYFY +1</v>
      </c>
      <c r="D38" t="str">
        <f>IF(B38=C38,"","x")</f>
        <v/>
      </c>
    </row>
    <row r="39" spans="1:4" x14ac:dyDescent="0.25">
      <c r="A39">
        <f>Sheet1!A39</f>
        <v>137</v>
      </c>
      <c r="B39" t="str">
        <f>Sheet1!B39</f>
        <v>Universal TV</v>
      </c>
      <c r="C39" t="str">
        <f>VLOOKUP(TEXT(A39,"###"),NOV,2,FALSE)</f>
        <v>Universal TV</v>
      </c>
      <c r="D39" t="str">
        <f>IF(B39=C39,"","x")</f>
        <v/>
      </c>
    </row>
    <row r="40" spans="1:4" x14ac:dyDescent="0.25">
      <c r="A40">
        <f>Sheet1!A40</f>
        <v>138</v>
      </c>
      <c r="B40" t="str">
        <f>Sheet1!B40</f>
        <v>Universal TV +1</v>
      </c>
      <c r="C40" t="str">
        <f>VLOOKUP(TEXT(A40,"###"),NOV,2,FALSE)</f>
        <v>Universal TV +1</v>
      </c>
      <c r="D40" t="str">
        <f>IF(B40=C40,"","x")</f>
        <v/>
      </c>
    </row>
    <row r="41" spans="1:4" x14ac:dyDescent="0.25">
      <c r="A41">
        <f>Sheet1!A41</f>
        <v>139</v>
      </c>
      <c r="B41" t="str">
        <f>Sheet1!B41</f>
        <v>Challenge</v>
      </c>
      <c r="C41" t="str">
        <f>VLOOKUP(TEXT(A41,"###"),NOV,2,FALSE)</f>
        <v>Challenge</v>
      </c>
      <c r="D41" t="str">
        <f>IF(B41=C41,"","x")</f>
        <v/>
      </c>
    </row>
    <row r="42" spans="1:4" x14ac:dyDescent="0.25">
      <c r="A42">
        <f>Sheet1!A42</f>
        <v>140</v>
      </c>
      <c r="B42" t="str">
        <f>Sheet1!B42</f>
        <v>Sky Witness +1</v>
      </c>
      <c r="C42" t="str">
        <f>VLOOKUP(TEXT(A42,"###"),NOV,2,FALSE)</f>
        <v>Sky Witness +1</v>
      </c>
      <c r="D42" t="str">
        <f>IF(B42=C42,"","x")</f>
        <v/>
      </c>
    </row>
    <row r="43" spans="1:4" x14ac:dyDescent="0.25">
      <c r="A43">
        <f>Sheet1!A43</f>
        <v>141</v>
      </c>
      <c r="B43" t="str">
        <f>Sheet1!B43</f>
        <v>Channel 4 HD</v>
      </c>
      <c r="C43" t="str">
        <f>VLOOKUP(TEXT(A43,"###"),NOV,2,FALSE)</f>
        <v>Channel 4 HD</v>
      </c>
      <c r="D43" t="str">
        <f>IF(B43=C43,"","x")</f>
        <v/>
      </c>
    </row>
    <row r="44" spans="1:4" x14ac:dyDescent="0.25">
      <c r="A44">
        <f>Sheet1!A44</f>
        <v>142</v>
      </c>
      <c r="B44" t="str">
        <f>Sheet1!B44</f>
        <v>Channel 4 +1</v>
      </c>
      <c r="C44" t="str">
        <f>VLOOKUP(TEXT(A44,"###"),NOV,2,FALSE)</f>
        <v>Channel 4 +1</v>
      </c>
      <c r="D44" t="str">
        <f>IF(B44=C44,"","x")</f>
        <v/>
      </c>
    </row>
    <row r="45" spans="1:4" x14ac:dyDescent="0.25">
      <c r="A45">
        <f>Sheet1!A45</f>
        <v>143</v>
      </c>
      <c r="B45" t="str">
        <f>Sheet1!B45</f>
        <v>4seven</v>
      </c>
      <c r="C45" t="str">
        <f>VLOOKUP(TEXT(A45,"###"),NOV,2,FALSE)</f>
        <v>4Seven</v>
      </c>
      <c r="D45" t="str">
        <f>IF(B45=C45,"","x")</f>
        <v/>
      </c>
    </row>
    <row r="46" spans="1:4" x14ac:dyDescent="0.25">
      <c r="A46">
        <f>Sheet1!A46</f>
        <v>145</v>
      </c>
      <c r="B46" t="str">
        <f>Sheet1!B46</f>
        <v>E4 HD</v>
      </c>
      <c r="C46" t="str">
        <f>VLOOKUP(TEXT(A46,"###"),NOV,2,FALSE)</f>
        <v>E4 HD</v>
      </c>
      <c r="D46" t="str">
        <f>IF(B46=C46,"","x")</f>
        <v/>
      </c>
    </row>
    <row r="47" spans="1:4" x14ac:dyDescent="0.25">
      <c r="A47">
        <f>Sheet1!A47</f>
        <v>146</v>
      </c>
      <c r="B47" t="str">
        <f>Sheet1!B47</f>
        <v>E4 +1</v>
      </c>
      <c r="C47" t="str">
        <f>VLOOKUP(TEXT(A47,"###"),NOV,2,FALSE)</f>
        <v>E4 +1</v>
      </c>
      <c r="D47" t="str">
        <f>IF(B47=C47,"","x")</f>
        <v/>
      </c>
    </row>
    <row r="48" spans="1:4" x14ac:dyDescent="0.25">
      <c r="A48">
        <f>Sheet1!A48</f>
        <v>147</v>
      </c>
      <c r="B48" t="str">
        <f>Sheet1!B48</f>
        <v>More4</v>
      </c>
      <c r="C48" t="str">
        <f>VLOOKUP(TEXT(A48,"###"),NOV,2,FALSE)</f>
        <v>More4</v>
      </c>
      <c r="D48" t="str">
        <f>IF(B48=C48,"","x")</f>
        <v/>
      </c>
    </row>
    <row r="49" spans="1:4" x14ac:dyDescent="0.25">
      <c r="A49">
        <f>Sheet1!A49</f>
        <v>148</v>
      </c>
      <c r="B49" t="str">
        <f>Sheet1!B49</f>
        <v>CBS Reality</v>
      </c>
      <c r="C49" t="str">
        <f>VLOOKUP(TEXT(A49,"###"),NOV,2,FALSE)</f>
        <v>CBS Reality</v>
      </c>
      <c r="D49" t="str">
        <f>IF(B49=C49,"","x")</f>
        <v/>
      </c>
    </row>
    <row r="50" spans="1:4" x14ac:dyDescent="0.25">
      <c r="A50">
        <f>Sheet1!A50</f>
        <v>149</v>
      </c>
      <c r="B50" t="str">
        <f>Sheet1!B50</f>
        <v>Horror Channel</v>
      </c>
      <c r="C50" t="str">
        <f>VLOOKUP(TEXT(A50,"###"),NOV,2,FALSE)</f>
        <v>Horror Channel</v>
      </c>
      <c r="D50" t="str">
        <f>IF(B50=C50,"","x")</f>
        <v/>
      </c>
    </row>
    <row r="51" spans="1:4" x14ac:dyDescent="0.25">
      <c r="A51">
        <f>Sheet1!A51</f>
        <v>150</v>
      </c>
      <c r="B51" t="str">
        <f>Sheet1!B51</f>
        <v>Channel 5 HD</v>
      </c>
      <c r="C51" t="str">
        <f>VLOOKUP(TEXT(A51,"###"),NOV,2,FALSE)</f>
        <v>Channel 5 HD</v>
      </c>
      <c r="D51" t="str">
        <f>IF(B51=C51,"","x")</f>
        <v/>
      </c>
    </row>
    <row r="52" spans="1:4" x14ac:dyDescent="0.25">
      <c r="A52">
        <f>Sheet1!A52</f>
        <v>151</v>
      </c>
      <c r="B52" t="str">
        <f>Sheet1!B52</f>
        <v>5STAR</v>
      </c>
      <c r="C52" t="str">
        <f>VLOOKUP(TEXT(A52,"###"),NOV,2,FALSE)</f>
        <v>5STAR</v>
      </c>
      <c r="D52" t="str">
        <f>IF(B52=C52,"","x")</f>
        <v/>
      </c>
    </row>
    <row r="53" spans="1:4" x14ac:dyDescent="0.25">
      <c r="A53">
        <f>Sheet1!A53</f>
        <v>152</v>
      </c>
      <c r="B53" t="str">
        <f>Sheet1!B53</f>
        <v>5Select</v>
      </c>
      <c r="C53" t="str">
        <f>VLOOKUP(TEXT(A53,"###"),NOV,2,FALSE)</f>
        <v>5Select</v>
      </c>
      <c r="D53" t="str">
        <f>IF(B53=C53,"","x")</f>
        <v/>
      </c>
    </row>
    <row r="54" spans="1:4" x14ac:dyDescent="0.25">
      <c r="A54">
        <f>Sheet1!A54</f>
        <v>153</v>
      </c>
      <c r="B54" t="str">
        <f>Sheet1!B54</f>
        <v>5 USA</v>
      </c>
      <c r="C54" t="str">
        <f>VLOOKUP(TEXT(A54,"###"),NOV,2,FALSE)</f>
        <v>5 USA</v>
      </c>
      <c r="D54" t="str">
        <f>IF(B54=C54,"","x")</f>
        <v/>
      </c>
    </row>
    <row r="55" spans="1:4" x14ac:dyDescent="0.25">
      <c r="A55">
        <f>Sheet1!A55</f>
        <v>154</v>
      </c>
      <c r="B55" t="str">
        <f>Sheet1!B55</f>
        <v>5Spike</v>
      </c>
      <c r="C55" t="str">
        <f>VLOOKUP(TEXT(A55,"###"),NOV,2,FALSE)</f>
        <v>5Spike</v>
      </c>
      <c r="D55" t="str">
        <f>IF(B55=C55,"","x")</f>
        <v/>
      </c>
    </row>
    <row r="56" spans="1:4" x14ac:dyDescent="0.25">
      <c r="A56">
        <f>Sheet1!A56</f>
        <v>155</v>
      </c>
      <c r="B56" t="str">
        <f>Sheet1!B56</f>
        <v>Channel 5 +1</v>
      </c>
      <c r="C56" t="str">
        <f>VLOOKUP(TEXT(A56,"###"),NOV,2,FALSE)</f>
        <v>Channel 5 +1</v>
      </c>
      <c r="D56" t="str">
        <f>IF(B56=C56,"","x")</f>
        <v/>
      </c>
    </row>
    <row r="57" spans="1:4" x14ac:dyDescent="0.25">
      <c r="A57">
        <f>Sheet1!A57</f>
        <v>156</v>
      </c>
      <c r="B57" t="str">
        <f>Sheet1!B57</f>
        <v>E!</v>
      </c>
      <c r="C57" t="str">
        <f>VLOOKUP(TEXT(A57,"###"),NOV,2,FALSE)</f>
        <v>E!</v>
      </c>
      <c r="D57" t="str">
        <f>IF(B57=C57,"","x")</f>
        <v/>
      </c>
    </row>
    <row r="58" spans="1:4" x14ac:dyDescent="0.25">
      <c r="A58">
        <f>Sheet1!A58</f>
        <v>157</v>
      </c>
      <c r="B58" t="str">
        <f>Sheet1!B58</f>
        <v>FOX</v>
      </c>
      <c r="C58" t="str">
        <f>VLOOKUP(TEXT(A58,"###"),NOV,2,FALSE)</f>
        <v>FOX</v>
      </c>
      <c r="D58" t="str">
        <f>IF(B58=C58,"","x")</f>
        <v/>
      </c>
    </row>
    <row r="59" spans="1:4" x14ac:dyDescent="0.25">
      <c r="A59">
        <f>Sheet1!A59</f>
        <v>158</v>
      </c>
      <c r="B59" t="str">
        <f>Sheet1!B59</f>
        <v>FOX +1</v>
      </c>
      <c r="C59" t="str">
        <f>VLOOKUP(TEXT(A59,"###"),NOV,2,FALSE)</f>
        <v>FOX +1</v>
      </c>
      <c r="D59" t="str">
        <f>IF(B59=C59,"","x")</f>
        <v/>
      </c>
    </row>
    <row r="60" spans="1:4" x14ac:dyDescent="0.25">
      <c r="A60">
        <f>Sheet1!A60</f>
        <v>159</v>
      </c>
      <c r="B60" t="str">
        <f>Sheet1!B60</f>
        <v>Regional Channels</v>
      </c>
      <c r="C60" t="str">
        <f>VLOOKUP(TEXT(A60,"###"),NOV,2,FALSE)</f>
        <v>Regional Channels</v>
      </c>
      <c r="D60" t="str">
        <f>IF(B60=C60,"","x")</f>
        <v/>
      </c>
    </row>
    <row r="61" spans="1:4" x14ac:dyDescent="0.25">
      <c r="A61">
        <f>Sheet1!A61</f>
        <v>160</v>
      </c>
      <c r="B61" t="str">
        <f>Sheet1!B61</f>
        <v>Real Lives</v>
      </c>
      <c r="C61" t="str">
        <f>VLOOKUP(TEXT(A61,"###"),NOV,2,FALSE)</f>
        <v>Real Lives</v>
      </c>
      <c r="D61" t="str">
        <f>IF(B61=C61,"","x")</f>
        <v/>
      </c>
    </row>
    <row r="62" spans="1:4" x14ac:dyDescent="0.25">
      <c r="A62">
        <f>Sheet1!A62</f>
        <v>161</v>
      </c>
      <c r="B62" t="str">
        <f>Sheet1!B62</f>
        <v>BBC Alba</v>
      </c>
      <c r="C62" t="str">
        <f>VLOOKUP(TEXT(A62,"###"),NOV,2,FALSE)</f>
        <v>BBC Alba</v>
      </c>
      <c r="D62" t="str">
        <f>IF(B62=C62,"","x")</f>
        <v/>
      </c>
    </row>
    <row r="63" spans="1:4" x14ac:dyDescent="0.25">
      <c r="A63">
        <f>Sheet1!A63</f>
        <v>162</v>
      </c>
      <c r="B63" t="str">
        <f>Sheet1!B63</f>
        <v>BBC Two HD</v>
      </c>
      <c r="C63" t="str">
        <f>VLOOKUP(TEXT(A63,"###"),NOV,2,FALSE)</f>
        <v>BBC Two HD</v>
      </c>
      <c r="D63" t="str">
        <f>IF(B63=C63,"","x")</f>
        <v/>
      </c>
    </row>
    <row r="64" spans="1:4" x14ac:dyDescent="0.25">
      <c r="A64">
        <f>Sheet1!A64</f>
        <v>163</v>
      </c>
      <c r="B64" t="str">
        <f>Sheet1!B64</f>
        <v>BBC Four HD</v>
      </c>
      <c r="C64" t="str">
        <f>VLOOKUP(TEXT(A64,"###"),NOV,2,FALSE)</f>
        <v>BBC Four HD</v>
      </c>
      <c r="D64" t="str">
        <f>IF(B64=C64,"","x")</f>
        <v/>
      </c>
    </row>
    <row r="65" spans="1:4" x14ac:dyDescent="0.25">
      <c r="A65">
        <f>Sheet1!A65</f>
        <v>164</v>
      </c>
      <c r="B65" t="str">
        <f>Sheet1!B65</f>
        <v>Universal TV HD</v>
      </c>
      <c r="C65" t="str">
        <f>VLOOKUP(TEXT(A65,"###"),NOV,2,FALSE)</f>
        <v>Universal TV HD</v>
      </c>
      <c r="D65" t="str">
        <f>IF(B65=C65,"","x")</f>
        <v/>
      </c>
    </row>
    <row r="66" spans="1:4" x14ac:dyDescent="0.25">
      <c r="A66">
        <f>Sheet1!A66</f>
        <v>165</v>
      </c>
      <c r="B66" t="str">
        <f>Sheet1!B66</f>
        <v>Syfy HD</v>
      </c>
      <c r="C66" t="str">
        <f>VLOOKUP(TEXT(A66,"###"),NOV,2,FALSE)</f>
        <v>SYFY HD</v>
      </c>
      <c r="D66" t="str">
        <f>IF(B66=C66,"","x")</f>
        <v/>
      </c>
    </row>
    <row r="67" spans="1:4" x14ac:dyDescent="0.25">
      <c r="A67">
        <f>Sheet1!A67</f>
        <v>166</v>
      </c>
      <c r="B67" t="str">
        <f>Sheet1!B67</f>
        <v>S4C</v>
      </c>
      <c r="C67" t="str">
        <f>VLOOKUP(TEXT(A67,"###"),NOV,2,FALSE)</f>
        <v>S4C</v>
      </c>
      <c r="D67" t="str">
        <f>IF(B67=C67,"","x")</f>
        <v/>
      </c>
    </row>
    <row r="68" spans="1:4" x14ac:dyDescent="0.25">
      <c r="A68">
        <f>Sheet1!A68</f>
        <v>167</v>
      </c>
      <c r="B68" t="str">
        <f>Sheet1!B68</f>
        <v>TLC</v>
      </c>
      <c r="C68" t="str">
        <f>VLOOKUP(TEXT(A68,"###"),NOV,2,FALSE)</f>
        <v>TLC</v>
      </c>
      <c r="D68" t="str">
        <f>IF(B68=C68,"","x")</f>
        <v/>
      </c>
    </row>
    <row r="69" spans="1:4" x14ac:dyDescent="0.25">
      <c r="A69">
        <f>Sheet1!A69</f>
        <v>168</v>
      </c>
      <c r="B69" t="str">
        <f>Sheet1!B69</f>
        <v>TLC HD</v>
      </c>
      <c r="C69" t="str">
        <f>VLOOKUP(TEXT(A69,"###"),NOV,2,FALSE)</f>
        <v>TLC HD</v>
      </c>
      <c r="D69" t="str">
        <f>IF(B69=C69,"","x")</f>
        <v/>
      </c>
    </row>
    <row r="70" spans="1:4" x14ac:dyDescent="0.25">
      <c r="A70">
        <f>Sheet1!A70</f>
        <v>169</v>
      </c>
      <c r="B70" t="str">
        <f>Sheet1!B70</f>
        <v>TLC +1</v>
      </c>
      <c r="C70" t="str">
        <f>VLOOKUP(TEXT(A70,"###"),NOV,2,FALSE)</f>
        <v>TLC +1</v>
      </c>
      <c r="D70" t="str">
        <f>IF(B70=C70,"","x")</f>
        <v/>
      </c>
    </row>
    <row r="71" spans="1:4" x14ac:dyDescent="0.25">
      <c r="A71">
        <f>Sheet1!A71</f>
        <v>170</v>
      </c>
      <c r="B71" t="str">
        <f>Sheet1!B71</f>
        <v>Investigation Discovery</v>
      </c>
      <c r="C71" t="str">
        <f>VLOOKUP(TEXT(A71,"###"),NOV,2,FALSE)</f>
        <v>Investigation Discovery</v>
      </c>
      <c r="D71" t="str">
        <f>IF(B71=C71,"","x")</f>
        <v/>
      </c>
    </row>
    <row r="72" spans="1:4" x14ac:dyDescent="0.25">
      <c r="A72">
        <f>Sheet1!A72</f>
        <v>171</v>
      </c>
      <c r="B72" t="str">
        <f>Sheet1!B72</f>
        <v>Investigation Discovery +1</v>
      </c>
      <c r="C72" t="str">
        <f>VLOOKUP(TEXT(A72,"###"),NOV,2,FALSE)</f>
        <v>Investigation Discovery +1</v>
      </c>
      <c r="D72" t="str">
        <f>IF(B72=C72,"","x")</f>
        <v/>
      </c>
    </row>
    <row r="73" spans="1:4" x14ac:dyDescent="0.25">
      <c r="A73">
        <f>Sheet1!A73</f>
        <v>172</v>
      </c>
      <c r="B73" t="str">
        <f>Sheet1!B73</f>
        <v>Quest</v>
      </c>
      <c r="C73" t="str">
        <f>VLOOKUP(TEXT(A73,"###"),NOV,2,FALSE)</f>
        <v>Quest</v>
      </c>
      <c r="D73" t="str">
        <f>IF(B73=C73,"","x")</f>
        <v/>
      </c>
    </row>
    <row r="74" spans="1:4" x14ac:dyDescent="0.25">
      <c r="A74">
        <f>Sheet1!A74</f>
        <v>173</v>
      </c>
      <c r="B74" t="str">
        <f>Sheet1!B74</f>
        <v>Quest +1</v>
      </c>
      <c r="C74" t="str">
        <f>VLOOKUP(TEXT(A74,"###"),NOV,2,FALSE)</f>
        <v>Quest +1</v>
      </c>
      <c r="D74" t="str">
        <f>IF(B74=C74,"","x")</f>
        <v/>
      </c>
    </row>
    <row r="75" spans="1:4" x14ac:dyDescent="0.25">
      <c r="A75">
        <f>Sheet1!A75</f>
        <v>174</v>
      </c>
      <c r="B75" t="str">
        <f>Sheet1!B75</f>
        <v>ITV3 +1</v>
      </c>
      <c r="C75" t="str">
        <f>VLOOKUP(TEXT(A75,"###"),NOV,2,FALSE)</f>
        <v>ITV3 +1</v>
      </c>
      <c r="D75" t="str">
        <f>IF(B75=C75,"","x")</f>
        <v/>
      </c>
    </row>
    <row r="76" spans="1:4" x14ac:dyDescent="0.25">
      <c r="A76">
        <f>Sheet1!A76</f>
        <v>175</v>
      </c>
      <c r="B76" t="str">
        <f>Sheet1!B76</f>
        <v>ITV4 +1</v>
      </c>
      <c r="C76" t="str">
        <f>VLOOKUP(TEXT(A76,"###"),NOV,2,FALSE)</f>
        <v>ITV4 +1</v>
      </c>
      <c r="D76" t="str">
        <f>IF(B76=C76,"","x")</f>
        <v/>
      </c>
    </row>
    <row r="77" spans="1:4" x14ac:dyDescent="0.25">
      <c r="A77">
        <f>Sheet1!A77</f>
        <v>176</v>
      </c>
      <c r="B77" t="str">
        <f>Sheet1!B77</f>
        <v>ITV2 HD</v>
      </c>
      <c r="C77" t="str">
        <f>VLOOKUP(TEXT(A77,"###"),NOV,2,FALSE)</f>
        <v>ITV2 HD</v>
      </c>
      <c r="D77" t="str">
        <f>IF(B77=C77,"","x")</f>
        <v/>
      </c>
    </row>
    <row r="78" spans="1:4" x14ac:dyDescent="0.25">
      <c r="A78">
        <f>Sheet1!A78</f>
        <v>177</v>
      </c>
      <c r="B78" t="str">
        <f>Sheet1!B78</f>
        <v>ITV3 HD</v>
      </c>
      <c r="C78" t="str">
        <f>VLOOKUP(TEXT(A78,"###"),NOV,2,FALSE)</f>
        <v>ITV3 HD</v>
      </c>
      <c r="D78" t="str">
        <f>IF(B78=C78,"","x")</f>
        <v/>
      </c>
    </row>
    <row r="79" spans="1:4" x14ac:dyDescent="0.25">
      <c r="A79">
        <f>Sheet1!A79</f>
        <v>178</v>
      </c>
      <c r="B79" t="str">
        <f>Sheet1!B79</f>
        <v>ITV4 HD</v>
      </c>
      <c r="C79" t="str">
        <f>VLOOKUP(TEXT(A79,"###"),NOV,2,FALSE)</f>
        <v>ITV4 HD</v>
      </c>
      <c r="D79" t="str">
        <f>IF(B79=C79,"","x")</f>
        <v/>
      </c>
    </row>
    <row r="80" spans="1:4" x14ac:dyDescent="0.25">
      <c r="A80">
        <f>Sheet1!A80</f>
        <v>179</v>
      </c>
      <c r="B80" t="str">
        <f>Sheet1!B80</f>
        <v>ITVBe HD</v>
      </c>
      <c r="C80" t="str">
        <f>VLOOKUP(TEXT(A80,"###"),NOV,2,FALSE)</f>
        <v>ITVBe HD</v>
      </c>
      <c r="D80" t="str">
        <f>IF(B80=C80,"","x")</f>
        <v/>
      </c>
    </row>
    <row r="81" spans="1:4" x14ac:dyDescent="0.25">
      <c r="A81">
        <f>Sheet1!A81</f>
        <v>180</v>
      </c>
      <c r="B81" t="str">
        <f>Sheet1!B81</f>
        <v>Challenge +1</v>
      </c>
      <c r="C81" t="str">
        <f>VLOOKUP(TEXT(A81,"###"),NOV,2,FALSE)</f>
        <v>Challenge +1</v>
      </c>
      <c r="D81" t="str">
        <f>IF(B81=C81,"","x")</f>
        <v/>
      </c>
    </row>
    <row r="82" spans="1:4" x14ac:dyDescent="0.25">
      <c r="A82">
        <f>Sheet1!A82</f>
        <v>181</v>
      </c>
      <c r="B82" t="str">
        <f>Sheet1!B82</f>
        <v>Comedy Central HD</v>
      </c>
      <c r="C82" t="str">
        <f>VLOOKUP(TEXT(A82,"###"),NOV,2,FALSE)</f>
        <v>Comedy Central HD</v>
      </c>
      <c r="D82" t="str">
        <f>IF(B82=C82,"","x")</f>
        <v/>
      </c>
    </row>
    <row r="83" spans="1:4" x14ac:dyDescent="0.25">
      <c r="A83">
        <f>Sheet1!A83</f>
        <v>182</v>
      </c>
      <c r="B83" t="str">
        <f>Sheet1!B83</f>
        <v>Comedy Central Extra</v>
      </c>
      <c r="C83" t="str">
        <f>VLOOKUP(TEXT(A83,"###"),NOV,2,FALSE)</f>
        <v>Comedy Central Extra</v>
      </c>
      <c r="D83" t="str">
        <f>IF(B83=C83,"","x")</f>
        <v/>
      </c>
    </row>
    <row r="84" spans="1:4" x14ac:dyDescent="0.25">
      <c r="A84">
        <f>Sheet1!A84</f>
        <v>183</v>
      </c>
      <c r="B84" t="str">
        <f>Sheet1!B84</f>
        <v>MTV HD</v>
      </c>
      <c r="C84" t="str">
        <f>VLOOKUP(TEXT(A84,"###"),NOV,2,FALSE)</f>
        <v>MTV HD</v>
      </c>
      <c r="D84" t="str">
        <f>IF(B84=C84,"","x")</f>
        <v/>
      </c>
    </row>
    <row r="85" spans="1:4" x14ac:dyDescent="0.25">
      <c r="A85">
        <f>Sheet1!A85</f>
        <v>184</v>
      </c>
      <c r="B85" t="str">
        <f>Sheet1!B85</f>
        <v>BET</v>
      </c>
      <c r="C85" t="str">
        <f>VLOOKUP(TEXT(A85,"###"),NOV,2,FALSE)</f>
        <v>BET</v>
      </c>
      <c r="D85" t="str">
        <f>IF(B85=C85,"","x")</f>
        <v/>
      </c>
    </row>
    <row r="86" spans="1:4" x14ac:dyDescent="0.25">
      <c r="A86">
        <f>Sheet1!A86</f>
        <v>185</v>
      </c>
      <c r="B86" t="str">
        <f>Sheet1!B86</f>
        <v>5 USA +1</v>
      </c>
      <c r="C86" t="str">
        <f>VLOOKUP(TEXT(A86,"###"),NOV,2,FALSE)</f>
        <v>5 USA +1</v>
      </c>
      <c r="D86" t="str">
        <f>IF(B86=C86,"","x")</f>
        <v/>
      </c>
    </row>
    <row r="87" spans="1:4" x14ac:dyDescent="0.25">
      <c r="A87">
        <f>Sheet1!A87</f>
        <v>186</v>
      </c>
      <c r="B87" t="str">
        <f>Sheet1!B87</f>
        <v>5STAR +1</v>
      </c>
      <c r="C87" t="str">
        <f>VLOOKUP(TEXT(A87,"###"),NOV,2,FALSE)</f>
        <v>5STAR +1</v>
      </c>
      <c r="D87" t="str">
        <f>IF(B87=C87,"","x")</f>
        <v/>
      </c>
    </row>
    <row r="88" spans="1:4" x14ac:dyDescent="0.25">
      <c r="A88">
        <f>Sheet1!A91</f>
        <v>190</v>
      </c>
      <c r="B88" t="str">
        <f>Sheet1!B91</f>
        <v>Gold +1</v>
      </c>
      <c r="C88" t="str">
        <f>VLOOKUP(TEXT(A88,"###"),NOV,2,FALSE)</f>
        <v>Gold +1</v>
      </c>
      <c r="D88" t="str">
        <f>IF(B88=C88,"","x")</f>
        <v/>
      </c>
    </row>
    <row r="89" spans="1:4" x14ac:dyDescent="0.25">
      <c r="A89">
        <f>Sheet1!A92</f>
        <v>191</v>
      </c>
      <c r="B89" t="str">
        <f>Sheet1!B92</f>
        <v>W HD</v>
      </c>
      <c r="C89" t="str">
        <f>VLOOKUP(TEXT(A89,"###"),NOV,2,FALSE)</f>
        <v>W HD</v>
      </c>
      <c r="D89" t="str">
        <f>IF(B89=C89,"","x")</f>
        <v/>
      </c>
    </row>
    <row r="90" spans="1:4" x14ac:dyDescent="0.25">
      <c r="A90">
        <f>Sheet1!A93</f>
        <v>192</v>
      </c>
      <c r="B90" t="str">
        <f>Sheet1!B93</f>
        <v>CBS Action</v>
      </c>
      <c r="C90" t="str">
        <f>VLOOKUP(TEXT(A90,"###"),NOV,2,FALSE)</f>
        <v>CBS Action</v>
      </c>
      <c r="D90" t="str">
        <f>IF(B90=C90,"","x")</f>
        <v/>
      </c>
    </row>
    <row r="91" spans="1:4" x14ac:dyDescent="0.25">
      <c r="A91">
        <f>Sheet1!A94</f>
        <v>193</v>
      </c>
      <c r="B91" t="str">
        <f>Sheet1!B94</f>
        <v>Sony Crime Channel</v>
      </c>
      <c r="C91" t="str">
        <f>VLOOKUP(TEXT(A91,"###"),NOV,2,FALSE)</f>
        <v>Sony Crime Channel</v>
      </c>
      <c r="D91" t="str">
        <f>IF(B91=C91,"","x")</f>
        <v/>
      </c>
    </row>
    <row r="92" spans="1:4" x14ac:dyDescent="0.25">
      <c r="A92">
        <f>Sheet1!A95</f>
        <v>194</v>
      </c>
      <c r="B92" t="str">
        <f>Sheet1!B95</f>
        <v>Dave HD</v>
      </c>
      <c r="C92" t="str">
        <f>VLOOKUP(TEXT(A92,"###"),NOV,2,FALSE)</f>
        <v>Dave HD</v>
      </c>
      <c r="D92" t="str">
        <f>IF(B92=C92,"","x")</f>
        <v/>
      </c>
    </row>
    <row r="93" spans="1:4" x14ac:dyDescent="0.25">
      <c r="A93">
        <f>Sheet1!A96</f>
        <v>195</v>
      </c>
      <c r="B93" t="str">
        <f>Sheet1!B96</f>
        <v>More4 HD</v>
      </c>
      <c r="C93" t="str">
        <f>VLOOKUP(TEXT(A93,"###"),NOV,2,FALSE)</f>
        <v>More4 HD</v>
      </c>
      <c r="D93" t="str">
        <f>IF(B93=C93,"","x")</f>
        <v/>
      </c>
    </row>
    <row r="94" spans="1:4" x14ac:dyDescent="0.25">
      <c r="A94">
        <f>Sheet1!A97</f>
        <v>196</v>
      </c>
      <c r="B94" t="str">
        <f>Sheet1!B97</f>
        <v>More4 +1</v>
      </c>
      <c r="C94" t="str">
        <f>VLOOKUP(TEXT(A94,"###"),NOV,2,FALSE)</f>
        <v>More4 +1</v>
      </c>
      <c r="D94" t="str">
        <f>IF(B94=C94,"","x")</f>
        <v/>
      </c>
    </row>
    <row r="95" spans="1:4" x14ac:dyDescent="0.25">
      <c r="A95">
        <f>Sheet1!A98</f>
        <v>197</v>
      </c>
      <c r="B95" t="str">
        <f>Sheet1!B98</f>
        <v>CBS Drama</v>
      </c>
      <c r="C95" t="str">
        <f>VLOOKUP(TEXT(A95,"###"),NOV,2,FALSE)</f>
        <v>CBS Drama</v>
      </c>
      <c r="D95" t="str">
        <f>IF(B95=C95,"","x")</f>
        <v/>
      </c>
    </row>
    <row r="96" spans="1:4" x14ac:dyDescent="0.25">
      <c r="A96">
        <f>Sheet1!A99</f>
        <v>198</v>
      </c>
      <c r="B96" t="str">
        <f>Sheet1!B99</f>
        <v>YouTube</v>
      </c>
      <c r="C96" t="str">
        <f>VLOOKUP(TEXT(A96,"###"),NOV,2,FALSE)</f>
        <v>YouTube</v>
      </c>
      <c r="D96" t="str">
        <f>IF(B96=C96,"","x")</f>
        <v/>
      </c>
    </row>
    <row r="97" spans="1:4" x14ac:dyDescent="0.25">
      <c r="A97">
        <f>Sheet1!A100</f>
        <v>199</v>
      </c>
      <c r="B97" t="str">
        <f>Sheet1!B100</f>
        <v>FOX HD</v>
      </c>
      <c r="C97" t="str">
        <f>VLOOKUP(TEXT(A97,"###"),NOV,2,FALSE)</f>
        <v>FOX HD</v>
      </c>
      <c r="D97" t="str">
        <f>IF(B97=C97,"","x")</f>
        <v/>
      </c>
    </row>
    <row r="98" spans="1:4" x14ac:dyDescent="0.25">
      <c r="A98">
        <f>Sheet1!A101</f>
        <v>200</v>
      </c>
      <c r="B98" t="str">
        <f>Sheet1!B101</f>
        <v>alibi HD</v>
      </c>
      <c r="C98" t="str">
        <f>VLOOKUP(TEXT(A98,"###"),NOV,2,FALSE)</f>
        <v>alibi HD</v>
      </c>
      <c r="D98" t="str">
        <f>IF(B98=C98,"","x")</f>
        <v/>
      </c>
    </row>
    <row r="99" spans="1:4" x14ac:dyDescent="0.25">
      <c r="A99">
        <f>Sheet1!A102</f>
        <v>201</v>
      </c>
      <c r="B99" t="str">
        <f>Sheet1!B102</f>
        <v>CBS Reality +1</v>
      </c>
      <c r="C99" t="str">
        <f>VLOOKUP(TEXT(A99,"###"),NOV,2,FALSE)</f>
        <v>CBS Reality +1</v>
      </c>
      <c r="D99" t="str">
        <f>IF(B99=C99,"","x")</f>
        <v/>
      </c>
    </row>
    <row r="100" spans="1:4" x14ac:dyDescent="0.25">
      <c r="A100">
        <f>Sheet1!A103</f>
        <v>202</v>
      </c>
      <c r="B100" t="str">
        <f>Sheet1!B103</f>
        <v>Horror Channel +1</v>
      </c>
      <c r="C100" t="str">
        <f>VLOOKUP(TEXT(A100,"###"),NOV,2,FALSE)</f>
        <v>Horror Channel +1</v>
      </c>
      <c r="D100" t="str">
        <f>IF(B100=C100,"","x")</f>
        <v/>
      </c>
    </row>
    <row r="101" spans="1:4" x14ac:dyDescent="0.25">
      <c r="A101">
        <f>Sheet1!A104</f>
        <v>203</v>
      </c>
      <c r="B101" t="str">
        <f>Sheet1!B104</f>
        <v>4seven HD</v>
      </c>
      <c r="C101" t="str">
        <f>VLOOKUP(TEXT(A101,"###"),NOV,2,FALSE)</f>
        <v>4Seven HD</v>
      </c>
      <c r="D101" t="str">
        <f>IF(B101=C101,"","x")</f>
        <v/>
      </c>
    </row>
    <row r="102" spans="1:4" x14ac:dyDescent="0.25">
      <c r="A102">
        <f>Sheet1!A105</f>
        <v>204</v>
      </c>
      <c r="B102" t="str">
        <f>Sheet1!B105</f>
        <v>Netflix</v>
      </c>
      <c r="C102" t="str">
        <f>VLOOKUP(TEXT(A102,"###"),NOV,2,FALSE)</f>
        <v>Netflix</v>
      </c>
      <c r="D102" t="str">
        <f>IF(B102=C102,"","x")</f>
        <v/>
      </c>
    </row>
    <row r="103" spans="1:4" x14ac:dyDescent="0.25">
      <c r="A103">
        <f>Sheet1!A106</f>
        <v>206</v>
      </c>
      <c r="B103" t="str">
        <f>Sheet1!B106</f>
        <v>Sky Arts HD</v>
      </c>
      <c r="C103" t="str">
        <f>VLOOKUP(TEXT(A103,"###"),NOV,2,FALSE)</f>
        <v>Sky Arts HD</v>
      </c>
      <c r="D103" t="str">
        <f>IF(B103=C103,"","x")</f>
        <v/>
      </c>
    </row>
    <row r="104" spans="1:4" x14ac:dyDescent="0.25">
      <c r="A104">
        <f>Sheet1!A107</f>
        <v>207</v>
      </c>
      <c r="B104" t="str">
        <f>Sheet1!B107</f>
        <v>Real Lives +1</v>
      </c>
      <c r="C104" t="str">
        <f>VLOOKUP(TEXT(A104,"###"),NOV,2,FALSE)</f>
        <v>Real Lives +1</v>
      </c>
      <c r="D104" t="str">
        <f>IF(B104=C104,"","x")</f>
        <v/>
      </c>
    </row>
    <row r="105" spans="1:4" x14ac:dyDescent="0.25">
      <c r="A105">
        <f>Sheet1!A108</f>
        <v>208</v>
      </c>
      <c r="B105" t="str">
        <f>Sheet1!B108</f>
        <v>Lifetime</v>
      </c>
      <c r="C105" t="str">
        <f>VLOOKUP(TEXT(A105,"###"),NOV,2,FALSE)</f>
        <v>Lifetime</v>
      </c>
      <c r="D105" t="str">
        <f>IF(B105=C105,"","x")</f>
        <v/>
      </c>
    </row>
    <row r="106" spans="1:4" x14ac:dyDescent="0.25">
      <c r="A106">
        <f>Sheet1!A109</f>
        <v>209</v>
      </c>
      <c r="B106" t="str">
        <f>Sheet1!B109</f>
        <v>Lifetime HD</v>
      </c>
      <c r="C106" t="str">
        <f>VLOOKUP(TEXT(A106,"###"),NOV,2,FALSE)</f>
        <v>Lifetime HD</v>
      </c>
      <c r="D106" t="str">
        <f>IF(B106=C106,"","x")</f>
        <v/>
      </c>
    </row>
    <row r="107" spans="1:4" x14ac:dyDescent="0.25">
      <c r="A107">
        <f>Sheet1!A110</f>
        <v>210</v>
      </c>
      <c r="B107" t="str">
        <f>Sheet1!B110</f>
        <v>hayu</v>
      </c>
      <c r="C107" t="str">
        <f>VLOOKUP(TEXT(A107,"###"),NOV,2,FALSE)</f>
        <v>hayu</v>
      </c>
      <c r="D107" t="str">
        <f>IF(B107=C107,"","x")</f>
        <v/>
      </c>
    </row>
    <row r="108" spans="1:4" x14ac:dyDescent="0.25">
      <c r="A108">
        <f>Sheet1!A111</f>
        <v>211</v>
      </c>
      <c r="B108" t="str">
        <f>Sheet1!B111</f>
        <v>Dave ja vu</v>
      </c>
      <c r="C108" t="str">
        <f>VLOOKUP(TEXT(A108,"###"),NOV,2,FALSE)</f>
        <v>Dave ja vu</v>
      </c>
      <c r="D108" t="str">
        <f>IF(B108=C108,"","x")</f>
        <v/>
      </c>
    </row>
    <row r="109" spans="1:4" x14ac:dyDescent="0.25">
      <c r="A109">
        <f>Sheet1!A112</f>
        <v>212</v>
      </c>
      <c r="B109" t="str">
        <f>Sheet1!B112</f>
        <v>TruTV</v>
      </c>
      <c r="C109" t="str">
        <f>VLOOKUP(TEXT(A109,"###"),NOV,2,FALSE)</f>
        <v>truTV</v>
      </c>
      <c r="D109" t="str">
        <f>IF(B109=C109,"","x")</f>
        <v/>
      </c>
    </row>
    <row r="110" spans="1:4" x14ac:dyDescent="0.25">
      <c r="A110">
        <f>Sheet1!A113</f>
        <v>213</v>
      </c>
      <c r="B110" t="str">
        <f>Sheet1!B113</f>
        <v>DMAX</v>
      </c>
      <c r="C110" t="str">
        <f>VLOOKUP(TEXT(A110,"###"),NOV,2,FALSE)</f>
        <v>DMAX</v>
      </c>
      <c r="D110" t="str">
        <f>IF(B110=C110,"","x")</f>
        <v/>
      </c>
    </row>
    <row r="111" spans="1:4" x14ac:dyDescent="0.25">
      <c r="A111">
        <f>Sheet1!A114</f>
        <v>214</v>
      </c>
      <c r="B111" t="str">
        <f>Sheet1!B114</f>
        <v>DMAX +1</v>
      </c>
      <c r="C111" t="str">
        <f>VLOOKUP(TEXT(A111,"###"),NOV,2,FALSE)</f>
        <v>DMAX +1</v>
      </c>
      <c r="D111" t="str">
        <f>IF(B111=C111,"","x")</f>
        <v/>
      </c>
    </row>
    <row r="112" spans="1:4" x14ac:dyDescent="0.25">
      <c r="A112">
        <f>Sheet1!A115</f>
        <v>215</v>
      </c>
      <c r="B112" t="str">
        <f>Sheet1!B115</f>
        <v>Quest Red</v>
      </c>
      <c r="C112" t="str">
        <f>VLOOKUP(TEXT(A112,"###"),NOV,2,FALSE)</f>
        <v>Quest Red</v>
      </c>
      <c r="D112" t="str">
        <f>IF(B112=C112,"","x")</f>
        <v/>
      </c>
    </row>
    <row r="113" spans="1:4" x14ac:dyDescent="0.25">
      <c r="A113">
        <f>Sheet1!A116</f>
        <v>216</v>
      </c>
      <c r="B113" t="str">
        <f>Sheet1!B116</f>
        <v>Blaze</v>
      </c>
      <c r="C113" t="str">
        <f>VLOOKUP(TEXT(A113,"###"),NOV,2,FALSE)</f>
        <v>BLAZE</v>
      </c>
      <c r="D113" t="str">
        <f>IF(B113=C113,"","x")</f>
        <v/>
      </c>
    </row>
    <row r="114" spans="1:4" x14ac:dyDescent="0.25">
      <c r="A114">
        <f>Sheet1!A122</f>
        <v>225</v>
      </c>
      <c r="B114" t="str">
        <f>Sheet1!B122</f>
        <v>Lifetime +1</v>
      </c>
      <c r="C114" t="str">
        <f>VLOOKUP(TEXT(A114,"###"),NOV,2,FALSE)</f>
        <v>Lifetime +1</v>
      </c>
      <c r="D114" t="str">
        <f>IF(B114=C114,"","x")</f>
        <v/>
      </c>
    </row>
    <row r="115" spans="1:4" x14ac:dyDescent="0.25">
      <c r="A115">
        <f>Sheet1!A123</f>
        <v>245</v>
      </c>
      <c r="B115" t="str">
        <f>Sheet1!B123</f>
        <v>Yesterday</v>
      </c>
      <c r="C115" t="str">
        <f>VLOOKUP(TEXT(A115,"###"),NOV,2,FALSE)</f>
        <v>Yesterday</v>
      </c>
      <c r="D115" t="str">
        <f>IF(B115=C115,"","x")</f>
        <v/>
      </c>
    </row>
    <row r="116" spans="1:4" x14ac:dyDescent="0.25">
      <c r="A116">
        <f>Sheet1!A124</f>
        <v>246</v>
      </c>
      <c r="B116" t="str">
        <f>Sheet1!B124</f>
        <v>Yesterday +1</v>
      </c>
      <c r="C116" t="str">
        <f>VLOOKUP(TEXT(A116,"###"),NOV,2,FALSE)</f>
        <v>Yesterday +1</v>
      </c>
      <c r="D116" t="str">
        <f>IF(B116=C116,"","x")</f>
        <v/>
      </c>
    </row>
    <row r="117" spans="1:4" x14ac:dyDescent="0.25">
      <c r="A117">
        <f>Sheet1!A125</f>
        <v>247</v>
      </c>
      <c r="B117" t="str">
        <f>Sheet1!B125</f>
        <v>Eden</v>
      </c>
      <c r="C117" t="str">
        <f>VLOOKUP(TEXT(A117,"###"),NOV,2,FALSE)</f>
        <v>Eden</v>
      </c>
      <c r="D117" t="str">
        <f>IF(B117=C117,"","x")</f>
        <v/>
      </c>
    </row>
    <row r="118" spans="1:4" x14ac:dyDescent="0.25">
      <c r="A118">
        <f>Sheet1!A126</f>
        <v>248</v>
      </c>
      <c r="B118" t="str">
        <f>Sheet1!B126</f>
        <v>Eden +1</v>
      </c>
      <c r="C118" t="str">
        <f>VLOOKUP(TEXT(A118,"###"),NOV,2,FALSE)</f>
        <v>Eden +1</v>
      </c>
      <c r="D118" t="str">
        <f>IF(B118=C118,"","x")</f>
        <v/>
      </c>
    </row>
    <row r="119" spans="1:4" x14ac:dyDescent="0.25">
      <c r="A119">
        <f>Sheet1!A127</f>
        <v>249</v>
      </c>
      <c r="B119" t="str">
        <f>Sheet1!B127</f>
        <v>Eden HD</v>
      </c>
      <c r="C119" t="str">
        <f>VLOOKUP(TEXT(A119,"###"),NOV,2,FALSE)</f>
        <v>Eden HD</v>
      </c>
      <c r="D119" t="str">
        <f>IF(B119=C119,"","x")</f>
        <v/>
      </c>
    </row>
    <row r="120" spans="1:4" x14ac:dyDescent="0.25">
      <c r="A120">
        <f>Sheet1!A128</f>
        <v>250</v>
      </c>
      <c r="B120" t="str">
        <f>Sheet1!B128</f>
        <v>Discovery</v>
      </c>
      <c r="C120" t="str">
        <f>VLOOKUP(TEXT(A120,"###"),NOV,2,FALSE)</f>
        <v>Discovery</v>
      </c>
      <c r="D120" t="str">
        <f>IF(B120=C120,"","x")</f>
        <v/>
      </c>
    </row>
    <row r="121" spans="1:4" x14ac:dyDescent="0.25">
      <c r="A121">
        <f>Sheet1!A129</f>
        <v>251</v>
      </c>
      <c r="B121" t="str">
        <f>Sheet1!B129</f>
        <v>Discovery HD</v>
      </c>
      <c r="C121" t="str">
        <f>VLOOKUP(TEXT(A121,"###"),NOV,2,FALSE)</f>
        <v>Discovery HD</v>
      </c>
      <c r="D121" t="str">
        <f>IF(B121=C121,"","x")</f>
        <v/>
      </c>
    </row>
    <row r="122" spans="1:4" x14ac:dyDescent="0.25">
      <c r="A122">
        <f>Sheet1!A130</f>
        <v>252</v>
      </c>
      <c r="B122" t="str">
        <f>Sheet1!B130</f>
        <v>Discovery +1</v>
      </c>
      <c r="C122" t="str">
        <f>VLOOKUP(TEXT(A122,"###"),NOV,2,FALSE)</f>
        <v>Discovery +1</v>
      </c>
      <c r="D122" t="str">
        <f>IF(B122=C122,"","x")</f>
        <v/>
      </c>
    </row>
    <row r="123" spans="1:4" x14ac:dyDescent="0.25">
      <c r="A123">
        <f>Sheet1!A131</f>
        <v>256</v>
      </c>
      <c r="B123" t="str">
        <f>Sheet1!B131</f>
        <v>Animal Planet</v>
      </c>
      <c r="C123" t="str">
        <f>VLOOKUP(TEXT(A123,"###"),NOV,2,FALSE)</f>
        <v>Animal Planet</v>
      </c>
      <c r="D123" t="str">
        <f>IF(B123=C123,"","x")</f>
        <v/>
      </c>
    </row>
    <row r="124" spans="1:4" x14ac:dyDescent="0.25">
      <c r="A124">
        <f>Sheet1!A132</f>
        <v>257</v>
      </c>
      <c r="B124" t="str">
        <f>Sheet1!B132</f>
        <v>Animal Planet HD</v>
      </c>
      <c r="C124" t="str">
        <f>VLOOKUP(TEXT(A124,"###"),NOV,2,FALSE)</f>
        <v>Animal Planet HD</v>
      </c>
      <c r="D124" t="str">
        <f>IF(B124=C124,"","x")</f>
        <v/>
      </c>
    </row>
    <row r="125" spans="1:4" x14ac:dyDescent="0.25">
      <c r="A125">
        <f>Sheet1!A133</f>
        <v>258</v>
      </c>
      <c r="B125" t="str">
        <f>Sheet1!B133</f>
        <v>Animal Planet +1</v>
      </c>
      <c r="C125" t="str">
        <f>VLOOKUP(TEXT(A125,"###"),NOV,2,FALSE)</f>
        <v>Animal Planet +1</v>
      </c>
      <c r="D125" t="str">
        <f>IF(B125=C125,"","x")</f>
        <v/>
      </c>
    </row>
    <row r="126" spans="1:4" x14ac:dyDescent="0.25">
      <c r="A126">
        <f>Sheet1!A134</f>
        <v>259</v>
      </c>
      <c r="B126" t="str">
        <f>Sheet1!B134</f>
        <v>Discovery Science</v>
      </c>
      <c r="C126" t="str">
        <f>VLOOKUP(TEXT(A126,"###"),NOV,2,FALSE)</f>
        <v>Discovery Science</v>
      </c>
      <c r="D126" t="str">
        <f>IF(B126=C126,"","x")</f>
        <v/>
      </c>
    </row>
    <row r="127" spans="1:4" x14ac:dyDescent="0.25">
      <c r="A127">
        <f>Sheet1!A135</f>
        <v>260</v>
      </c>
      <c r="B127" t="str">
        <f>Sheet1!B135</f>
        <v>Discovery Science +1</v>
      </c>
      <c r="C127" t="str">
        <f>VLOOKUP(TEXT(A127,"###"),NOV,2,FALSE)</f>
        <v>Discovery Science +1</v>
      </c>
      <c r="D127" t="str">
        <f>IF(B127=C127,"","x")</f>
        <v/>
      </c>
    </row>
    <row r="128" spans="1:4" x14ac:dyDescent="0.25">
      <c r="A128">
        <f>Sheet1!A136</f>
        <v>261</v>
      </c>
      <c r="B128" t="str">
        <f>Sheet1!B136</f>
        <v>Discovery Turbo</v>
      </c>
      <c r="C128" t="str">
        <f>VLOOKUP(TEXT(A128,"###"),NOV,2,FALSE)</f>
        <v>Discovery Turbo</v>
      </c>
      <c r="D128" t="str">
        <f>IF(B128=C128,"","x")</f>
        <v/>
      </c>
    </row>
    <row r="129" spans="1:4" x14ac:dyDescent="0.25">
      <c r="A129">
        <f>Sheet1!A137</f>
        <v>262</v>
      </c>
      <c r="B129" t="str">
        <f>Sheet1!B137</f>
        <v>Discovery History</v>
      </c>
      <c r="C129" t="str">
        <f>VLOOKUP(TEXT(A129,"###"),NOV,2,FALSE)</f>
        <v>Discovery History</v>
      </c>
      <c r="D129" t="str">
        <f>IF(B129=C129,"","x")</f>
        <v/>
      </c>
    </row>
    <row r="130" spans="1:4" x14ac:dyDescent="0.25">
      <c r="A130">
        <f>Sheet1!A138</f>
        <v>263</v>
      </c>
      <c r="B130" t="str">
        <f>Sheet1!B138</f>
        <v>Discovery History +1</v>
      </c>
      <c r="C130" t="str">
        <f>VLOOKUP(TEXT(A130,"###"),NOV,2,FALSE)</f>
        <v>Discovery History +1</v>
      </c>
      <c r="D130" t="str">
        <f>IF(B130=C130,"","x")</f>
        <v/>
      </c>
    </row>
    <row r="131" spans="1:4" x14ac:dyDescent="0.25">
      <c r="A131">
        <f>Sheet1!A139</f>
        <v>264</v>
      </c>
      <c r="B131" t="str">
        <f>Sheet1!B139</f>
        <v>Nat Geo Wild</v>
      </c>
      <c r="C131" t="str">
        <f>VLOOKUP(TEXT(A131,"###"),NOV,2,FALSE)</f>
        <v>Nat Geo WILD</v>
      </c>
      <c r="D131" t="str">
        <f>IF(B131=C131,"","x")</f>
        <v/>
      </c>
    </row>
    <row r="132" spans="1:4" x14ac:dyDescent="0.25">
      <c r="A132">
        <f>Sheet1!A140</f>
        <v>265</v>
      </c>
      <c r="B132" t="str">
        <f>Sheet1!B140</f>
        <v>Nat Geo Wild HD</v>
      </c>
      <c r="C132" t="str">
        <f>VLOOKUP(TEXT(A132,"###"),NOV,2,FALSE)</f>
        <v>Nat Geo WILD HD</v>
      </c>
      <c r="D132" t="str">
        <f>IF(B132=C132,"","x")</f>
        <v/>
      </c>
    </row>
    <row r="133" spans="1:4" x14ac:dyDescent="0.25">
      <c r="A133">
        <f>Sheet1!A141</f>
        <v>266</v>
      </c>
      <c r="B133" t="str">
        <f>Sheet1!B141</f>
        <v>National Geographic</v>
      </c>
      <c r="C133" t="str">
        <f>VLOOKUP(TEXT(A133,"###"),NOV,2,FALSE)</f>
        <v>National Geographic</v>
      </c>
      <c r="D133" t="str">
        <f>IF(B133=C133,"","x")</f>
        <v/>
      </c>
    </row>
    <row r="134" spans="1:4" x14ac:dyDescent="0.25">
      <c r="A134">
        <f>Sheet1!A142</f>
        <v>267</v>
      </c>
      <c r="B134" t="str">
        <f>Sheet1!B142</f>
        <v>National Geographic +1</v>
      </c>
      <c r="C134" t="str">
        <f>VLOOKUP(TEXT(A134,"###"),NOV,2,FALSE)</f>
        <v>National Geographic +1</v>
      </c>
      <c r="D134" t="str">
        <f>IF(B134=C134,"","x")</f>
        <v/>
      </c>
    </row>
    <row r="135" spans="1:4" x14ac:dyDescent="0.25">
      <c r="A135">
        <f>Sheet1!A143</f>
        <v>268</v>
      </c>
      <c r="B135" t="str">
        <f>Sheet1!B143</f>
        <v>National Geographic HD</v>
      </c>
      <c r="C135" t="str">
        <f>VLOOKUP(TEXT(A135,"###"),NOV,2,FALSE)</f>
        <v>National Geographic HD</v>
      </c>
      <c r="D135" t="str">
        <f>IF(B135=C135,"","x")</f>
        <v/>
      </c>
    </row>
    <row r="136" spans="1:4" x14ac:dyDescent="0.25">
      <c r="A136">
        <f>Sheet1!A144</f>
        <v>269</v>
      </c>
      <c r="B136" t="str">
        <f>Sheet1!B144</f>
        <v>Together</v>
      </c>
      <c r="C136" t="str">
        <f>VLOOKUP(TEXT(A136,"###"),NOV,2,FALSE)</f>
        <v>Together</v>
      </c>
      <c r="D136" t="str">
        <f>IF(B136=C136,"","x")</f>
        <v/>
      </c>
    </row>
    <row r="137" spans="1:4" x14ac:dyDescent="0.25">
      <c r="A137">
        <f>Sheet1!A145</f>
        <v>270</v>
      </c>
      <c r="B137" t="str">
        <f>Sheet1!B145</f>
        <v>History</v>
      </c>
      <c r="C137" t="str">
        <f>VLOOKUP(TEXT(A137,"###"),NOV,2,FALSE)</f>
        <v>HISTORY</v>
      </c>
      <c r="D137" t="str">
        <f>IF(B137=C137,"","x")</f>
        <v/>
      </c>
    </row>
    <row r="138" spans="1:4" x14ac:dyDescent="0.25">
      <c r="A138">
        <f>Sheet1!A147</f>
        <v>272</v>
      </c>
      <c r="B138" t="str">
        <f>Sheet1!B147</f>
        <v>Crime + Investigation HD</v>
      </c>
      <c r="C138" t="str">
        <f>VLOOKUP(TEXT(A138,"###"),NOV,2,FALSE)</f>
        <v>Crime + Investigation HD</v>
      </c>
      <c r="D138" t="str">
        <f>IF(B138=C138,"","x")</f>
        <v/>
      </c>
    </row>
    <row r="139" spans="1:4" x14ac:dyDescent="0.25">
      <c r="A139">
        <f>Sheet1!A148</f>
        <v>273</v>
      </c>
      <c r="B139" t="str">
        <f>Sheet1!B148</f>
        <v>H2</v>
      </c>
      <c r="C139" t="str">
        <f>VLOOKUP(TEXT(A139,"###"),NOV,2,FALSE)</f>
        <v>H2</v>
      </c>
      <c r="D139" t="str">
        <f>IF(B139=C139,"","x")</f>
        <v/>
      </c>
    </row>
    <row r="140" spans="1:4" x14ac:dyDescent="0.25">
      <c r="A140">
        <f>Sheet1!A149</f>
        <v>274</v>
      </c>
      <c r="B140" t="str">
        <f>Sheet1!B149</f>
        <v>H2 HD</v>
      </c>
      <c r="C140" t="str">
        <f>VLOOKUP(TEXT(A140,"###"),NOV,2,FALSE)</f>
        <v>H2 HD</v>
      </c>
      <c r="D140" t="str">
        <f>IF(B140=C140,"","x")</f>
        <v/>
      </c>
    </row>
    <row r="141" spans="1:4" x14ac:dyDescent="0.25">
      <c r="A141">
        <f>Sheet1!A150</f>
        <v>276</v>
      </c>
      <c r="B141" t="str">
        <f>Sheet1!B150</f>
        <v>PBS America</v>
      </c>
      <c r="C141" t="str">
        <f>VLOOKUP(TEXT(A141,"###"),NOV,2,FALSE)</f>
        <v>PBS America</v>
      </c>
      <c r="D141" t="str">
        <f>IF(B141=C141,"","x")</f>
        <v/>
      </c>
    </row>
    <row r="142" spans="1:4" x14ac:dyDescent="0.25">
      <c r="A142">
        <f>Sheet1!A151</f>
        <v>277</v>
      </c>
      <c r="B142" t="str">
        <f>Sheet1!B151</f>
        <v>Forces TV</v>
      </c>
      <c r="C142" t="str">
        <f>VLOOKUP(TEXT(A142,"###"),NOV,2,FALSE)</f>
        <v>Forces TV</v>
      </c>
      <c r="D142" t="str">
        <f>IF(B142=C142,"","x")</f>
        <v/>
      </c>
    </row>
    <row r="143" spans="1:4" x14ac:dyDescent="0.25">
      <c r="A143">
        <f>Sheet1!A152</f>
        <v>278</v>
      </c>
      <c r="B143" t="str">
        <f>Sheet1!B152</f>
        <v>Good Food</v>
      </c>
      <c r="C143" t="str">
        <f>VLOOKUP(TEXT(A143,"###"),NOV,2,FALSE)</f>
        <v>Good Food</v>
      </c>
      <c r="D143" t="str">
        <f>IF(B143=C143,"","x")</f>
        <v/>
      </c>
    </row>
    <row r="144" spans="1:4" x14ac:dyDescent="0.25">
      <c r="A144">
        <f>Sheet1!A153</f>
        <v>279</v>
      </c>
      <c r="B144" t="str">
        <f>Sheet1!B153</f>
        <v>Good Food +1</v>
      </c>
      <c r="C144" t="str">
        <f>VLOOKUP(TEXT(A144,"###"),NOV,2,FALSE)</f>
        <v>Good Food +1</v>
      </c>
      <c r="D144" t="str">
        <f>IF(B144=C144,"","x")</f>
        <v/>
      </c>
    </row>
    <row r="145" spans="1:4" x14ac:dyDescent="0.25">
      <c r="A145">
        <f>Sheet1!A154</f>
        <v>280</v>
      </c>
      <c r="B145" t="str">
        <f>Sheet1!B154</f>
        <v>Good Food HD</v>
      </c>
      <c r="C145" t="str">
        <f>VLOOKUP(TEXT(A145,"###"),NOV,2,FALSE)</f>
        <v>Good Food HD</v>
      </c>
      <c r="D145" t="str">
        <f>IF(B145=C145,"","x")</f>
        <v/>
      </c>
    </row>
    <row r="146" spans="1:4" x14ac:dyDescent="0.25">
      <c r="A146">
        <f>Sheet1!A155</f>
        <v>281</v>
      </c>
      <c r="B146" t="str">
        <f>Sheet1!B155</f>
        <v>Home</v>
      </c>
      <c r="C146" t="str">
        <f>VLOOKUP(TEXT(A146,"###"),NOV,2,FALSE)</f>
        <v>Home</v>
      </c>
      <c r="D146" t="str">
        <f>IF(B146=C146,"","x")</f>
        <v/>
      </c>
    </row>
    <row r="147" spans="1:4" x14ac:dyDescent="0.25">
      <c r="A147">
        <f>Sheet1!A156</f>
        <v>282</v>
      </c>
      <c r="B147" t="str">
        <f>Sheet1!B156</f>
        <v>Home +1</v>
      </c>
      <c r="C147" t="str">
        <f>VLOOKUP(TEXT(A147,"###"),NOV,2,FALSE)</f>
        <v>Home +1</v>
      </c>
      <c r="D147" t="str">
        <f>IF(B147=C147,"","x")</f>
        <v/>
      </c>
    </row>
    <row r="148" spans="1:4" x14ac:dyDescent="0.25">
      <c r="A148">
        <f>Sheet1!A157</f>
        <v>284</v>
      </c>
      <c r="B148" t="str">
        <f>Sheet1!B157</f>
        <v>Discovery Home &amp; Health</v>
      </c>
      <c r="C148" t="str">
        <f>VLOOKUP(TEXT(A148,"###"),NOV,2,FALSE)</f>
        <v>Discovery Home &amp; Health</v>
      </c>
      <c r="D148" t="str">
        <f>IF(B148=C148,"","x")</f>
        <v/>
      </c>
    </row>
    <row r="149" spans="1:4" x14ac:dyDescent="0.25">
      <c r="A149">
        <f>Sheet1!A158</f>
        <v>285</v>
      </c>
      <c r="B149" t="str">
        <f>Sheet1!B158</f>
        <v>Discovery Home &amp; Health +1</v>
      </c>
      <c r="C149" t="str">
        <f>VLOOKUP(TEXT(A149,"###"),NOV,2,FALSE)</f>
        <v>Discovery Home &amp; Health +1</v>
      </c>
      <c r="D149" t="str">
        <f>IF(B149=C149,"","x")</f>
        <v/>
      </c>
    </row>
    <row r="150" spans="1:4" x14ac:dyDescent="0.25">
      <c r="A150">
        <f>Sheet1!A159</f>
        <v>286</v>
      </c>
      <c r="B150" t="str">
        <f>Sheet1!B159</f>
        <v>Discovery Shed</v>
      </c>
      <c r="C150" t="str">
        <f>VLOOKUP(TEXT(A150,"###"),NOV,2,FALSE)</f>
        <v>Discovery Shed</v>
      </c>
      <c r="D150" t="str">
        <f>IF(B150=C150,"","x")</f>
        <v/>
      </c>
    </row>
    <row r="151" spans="1:4" x14ac:dyDescent="0.25">
      <c r="A151">
        <f>Sheet1!A160</f>
        <v>287</v>
      </c>
      <c r="B151" t="str">
        <f>Sheet1!B160</f>
        <v>GOD Channel</v>
      </c>
      <c r="C151" t="str">
        <f>VLOOKUP(TEXT(A151,"###"),NOV,2,FALSE)</f>
        <v>God Channel</v>
      </c>
      <c r="D151" t="str">
        <f>IF(B151=C151,"","x")</f>
        <v/>
      </c>
    </row>
    <row r="152" spans="1:4" x14ac:dyDescent="0.25">
      <c r="A152">
        <f>Sheet1!A161</f>
        <v>290</v>
      </c>
      <c r="B152" t="str">
        <f>Sheet1!B161</f>
        <v>GINX</v>
      </c>
      <c r="C152" t="str">
        <f>VLOOKUP(TEXT(A152,"###"),NOV,2,FALSE)</f>
        <v>GINX</v>
      </c>
      <c r="D152" t="str">
        <f>IF(B152=C152,"","x")</f>
        <v/>
      </c>
    </row>
    <row r="153" spans="1:4" x14ac:dyDescent="0.25">
      <c r="A153">
        <f>Sheet1!A162</f>
        <v>291</v>
      </c>
      <c r="B153" t="str">
        <f>Sheet1!B162</f>
        <v>Food Network</v>
      </c>
      <c r="C153" t="str">
        <f>VLOOKUP(TEXT(A153,"###"),NOV,2,FALSE)</f>
        <v>Food Network</v>
      </c>
      <c r="D153" t="str">
        <f>IF(B153=C153,"","x")</f>
        <v/>
      </c>
    </row>
    <row r="154" spans="1:4" x14ac:dyDescent="0.25">
      <c r="A154">
        <f>Sheet1!A163</f>
        <v>292</v>
      </c>
      <c r="B154" t="str">
        <f>Sheet1!B163</f>
        <v>Travel Channel</v>
      </c>
      <c r="C154" t="str">
        <f>VLOOKUP(TEXT(A154,"###"),NOV,2,FALSE)</f>
        <v>Travel Channel</v>
      </c>
      <c r="D154" t="str">
        <f>IF(B154=C154,"","x")</f>
        <v/>
      </c>
    </row>
    <row r="155" spans="1:4" x14ac:dyDescent="0.25">
      <c r="A155">
        <f>Sheet1!A169</f>
        <v>300</v>
      </c>
      <c r="B155" t="str">
        <f>Sheet1!B169</f>
        <v>VM Music</v>
      </c>
      <c r="C155" t="str">
        <f>VLOOKUP(TEXT(A155,"###"),NOV,2,FALSE)</f>
        <v>VM Music</v>
      </c>
      <c r="D155" t="str">
        <f>IF(B155=C155,"","x")</f>
        <v/>
      </c>
    </row>
    <row r="156" spans="1:4" x14ac:dyDescent="0.25">
      <c r="A156">
        <f>Sheet1!A170</f>
        <v>310</v>
      </c>
      <c r="B156" t="str">
        <f>Sheet1!B170</f>
        <v>MTV Music</v>
      </c>
      <c r="C156" t="str">
        <f>VLOOKUP(TEXT(A156,"###"),NOV,2,FALSE)</f>
        <v>MTV Music</v>
      </c>
      <c r="D156" t="str">
        <f>IF(B156=C156,"","x")</f>
        <v/>
      </c>
    </row>
    <row r="157" spans="1:4" x14ac:dyDescent="0.25">
      <c r="A157">
        <f>Sheet1!A171</f>
        <v>311</v>
      </c>
      <c r="B157" t="str">
        <f>Sheet1!B171</f>
        <v>MTV Live HD</v>
      </c>
      <c r="C157" t="str">
        <f>VLOOKUP(TEXT(A157,"###"),NOV,2,FALSE)</f>
        <v>MTV Live HD</v>
      </c>
      <c r="D157" t="str">
        <f>IF(B157=C157,"","x")</f>
        <v/>
      </c>
    </row>
    <row r="158" spans="1:4" x14ac:dyDescent="0.25">
      <c r="A158">
        <f>Sheet1!A172</f>
        <v>312</v>
      </c>
      <c r="B158" t="str">
        <f>Sheet1!B172</f>
        <v>MTV Hits</v>
      </c>
      <c r="C158" t="str">
        <f>VLOOKUP(TEXT(A158,"###"),NOV,2,FALSE)</f>
        <v>MTV Hits</v>
      </c>
      <c r="D158" t="str">
        <f>IF(B158=C158,"","x")</f>
        <v/>
      </c>
    </row>
    <row r="159" spans="1:4" x14ac:dyDescent="0.25">
      <c r="A159">
        <f>Sheet1!A173</f>
        <v>313</v>
      </c>
      <c r="B159" t="str">
        <f>Sheet1!B173</f>
        <v>MTV Base</v>
      </c>
      <c r="C159" t="str">
        <f>VLOOKUP(TEXT(A159,"###"),NOV,2,FALSE)</f>
        <v>MTV Base</v>
      </c>
      <c r="D159" t="str">
        <f>IF(B159=C159,"","x")</f>
        <v/>
      </c>
    </row>
    <row r="160" spans="1:4" x14ac:dyDescent="0.25">
      <c r="A160">
        <f>Sheet1!A174</f>
        <v>314</v>
      </c>
      <c r="B160" t="str">
        <f>Sheet1!B174</f>
        <v>MTV Dance</v>
      </c>
      <c r="C160" t="str">
        <f>VLOOKUP(TEXT(A160,"###"),NOV,2,FALSE)</f>
        <v>MTV Dance</v>
      </c>
      <c r="D160" t="str">
        <f>IF(B160=C160,"","x")</f>
        <v/>
      </c>
    </row>
    <row r="161" spans="1:4" x14ac:dyDescent="0.25">
      <c r="A161">
        <f>Sheet1!A175</f>
        <v>315</v>
      </c>
      <c r="B161" t="str">
        <f>Sheet1!B175</f>
        <v>MTV Rocks</v>
      </c>
      <c r="C161" t="str">
        <f>VLOOKUP(TEXT(A161,"###"),NOV,2,FALSE)</f>
        <v>MTV Rocks</v>
      </c>
      <c r="D161" t="str">
        <f>IF(B161=C161,"","x")</f>
        <v/>
      </c>
    </row>
    <row r="162" spans="1:4" x14ac:dyDescent="0.25">
      <c r="A162">
        <f>Sheet1!A176</f>
        <v>316</v>
      </c>
      <c r="B162" t="str">
        <f>Sheet1!B176</f>
        <v>VH1</v>
      </c>
      <c r="C162" t="str">
        <f>VLOOKUP(TEXT(A162,"###"),NOV,2,FALSE)</f>
        <v>VH1</v>
      </c>
      <c r="D162" t="str">
        <f>IF(B162=C162,"","x")</f>
        <v/>
      </c>
    </row>
    <row r="163" spans="1:4" x14ac:dyDescent="0.25">
      <c r="A163">
        <f>Sheet1!A177</f>
        <v>318</v>
      </c>
      <c r="B163" t="str">
        <f>Sheet1!B177</f>
        <v>MTV OMG</v>
      </c>
      <c r="C163" t="str">
        <f>VLOOKUP(TEXT(A163,"###"),NOV,2,FALSE)</f>
        <v>MTV OMG</v>
      </c>
      <c r="D163" t="str">
        <f>IF(B163=C163,"","x")</f>
        <v/>
      </c>
    </row>
    <row r="164" spans="1:4" x14ac:dyDescent="0.25">
      <c r="A164">
        <f>Sheet1!A178</f>
        <v>330</v>
      </c>
      <c r="B164" t="str">
        <f>Sheet1!B178</f>
        <v>Box Upfront</v>
      </c>
      <c r="C164" t="str">
        <f>VLOOKUP(TEXT(A164,"###"),NOV,2,FALSE)</f>
        <v>Box Upfront</v>
      </c>
      <c r="D164" t="str">
        <f>IF(B164=C164,"","x")</f>
        <v/>
      </c>
    </row>
    <row r="165" spans="1:4" x14ac:dyDescent="0.25">
      <c r="A165">
        <f>Sheet1!A179</f>
        <v>335</v>
      </c>
      <c r="B165" t="str">
        <f>Sheet1!B179</f>
        <v>The Box</v>
      </c>
      <c r="C165" t="str">
        <f>VLOOKUP(TEXT(A165,"###"),NOV,2,FALSE)</f>
        <v>The Box</v>
      </c>
      <c r="D165" t="str">
        <f>IF(B165=C165,"","x")</f>
        <v/>
      </c>
    </row>
    <row r="166" spans="1:4" x14ac:dyDescent="0.25">
      <c r="A166">
        <f>Sheet1!A180</f>
        <v>336</v>
      </c>
      <c r="B166" t="str">
        <f>Sheet1!B180</f>
        <v>Box Hits</v>
      </c>
      <c r="C166" t="str">
        <f>VLOOKUP(TEXT(A166,"###"),NOV,2,FALSE)</f>
        <v>Box Hits</v>
      </c>
      <c r="D166" t="str">
        <f>IF(B166=C166,"","x")</f>
        <v/>
      </c>
    </row>
    <row r="167" spans="1:4" x14ac:dyDescent="0.25">
      <c r="A167">
        <f>Sheet1!A181</f>
        <v>337</v>
      </c>
      <c r="B167" t="str">
        <f>Sheet1!B181</f>
        <v>4Music</v>
      </c>
      <c r="C167" t="str">
        <f>VLOOKUP(TEXT(A167,"###"),NOV,2,FALSE)</f>
        <v>4Music</v>
      </c>
      <c r="D167" t="str">
        <f>IF(B167=C167,"","x")</f>
        <v/>
      </c>
    </row>
    <row r="168" spans="1:4" x14ac:dyDescent="0.25">
      <c r="A168">
        <f>Sheet1!A182</f>
        <v>338</v>
      </c>
      <c r="B168" t="str">
        <f>Sheet1!B182</f>
        <v>Kiss</v>
      </c>
      <c r="C168" t="str">
        <f>VLOOKUP(TEXT(A168,"###"),NOV,2,FALSE)</f>
        <v>Kiss</v>
      </c>
      <c r="D168" t="str">
        <f>IF(B168=C168,"","x")</f>
        <v/>
      </c>
    </row>
    <row r="169" spans="1:4" x14ac:dyDescent="0.25">
      <c r="A169">
        <f>Sheet1!A183</f>
        <v>340</v>
      </c>
      <c r="B169" t="str">
        <f>Sheet1!B183</f>
        <v>Magic</v>
      </c>
      <c r="C169" t="str">
        <f>VLOOKUP(TEXT(A169,"###"),NOV,2,FALSE)</f>
        <v>Magic</v>
      </c>
      <c r="D169" t="str">
        <f>IF(B169=C169,"","x")</f>
        <v/>
      </c>
    </row>
    <row r="170" spans="1:4" x14ac:dyDescent="0.25">
      <c r="A170">
        <f>Sheet1!A184</f>
        <v>342</v>
      </c>
      <c r="B170" t="str">
        <f>Sheet1!B184</f>
        <v>Kerrang!</v>
      </c>
      <c r="C170" t="str">
        <f>VLOOKUP(TEXT(A170,"###"),NOV,2,FALSE)</f>
        <v>Kerrang!</v>
      </c>
      <c r="D170" t="str">
        <f>IF(B170=C170,"","x")</f>
        <v/>
      </c>
    </row>
    <row r="171" spans="1:4" x14ac:dyDescent="0.25">
      <c r="A171">
        <f>Sheet1!A185</f>
        <v>344</v>
      </c>
      <c r="B171" t="str">
        <f>Sheet1!B185</f>
        <v>Vevo</v>
      </c>
      <c r="C171" t="str">
        <f>VLOOKUP(TEXT(A171,"###"),NOV,2,FALSE)</f>
        <v>Vevo</v>
      </c>
      <c r="D171" t="str">
        <f>IF(B171=C171,"","x")</f>
        <v/>
      </c>
    </row>
    <row r="172" spans="1:4" x14ac:dyDescent="0.25">
      <c r="A172">
        <f>Sheet1!A186</f>
        <v>345</v>
      </c>
      <c r="B172" t="str">
        <f>Sheet1!B186</f>
        <v>Clubland TV</v>
      </c>
      <c r="C172" t="str">
        <f>VLOOKUP(TEXT(A172,"###"),NOV,2,FALSE)</f>
        <v>Clubland TV</v>
      </c>
      <c r="D172" t="str">
        <f>IF(B172=C172,"","x")</f>
        <v/>
      </c>
    </row>
    <row r="173" spans="1:4" x14ac:dyDescent="0.25">
      <c r="A173">
        <f>Sheet1!A188</f>
        <v>400</v>
      </c>
      <c r="B173" t="str">
        <f>Sheet1!B188</f>
        <v>Virgin Movies Previews</v>
      </c>
      <c r="C173" t="str">
        <f>VLOOKUP(TEXT(A173,"###"),NOV,2,FALSE)</f>
        <v>Virgin Movies Previews</v>
      </c>
      <c r="D173" t="str">
        <f>IF(B173=C173,"","x")</f>
        <v/>
      </c>
    </row>
    <row r="174" spans="1:4" x14ac:dyDescent="0.25">
      <c r="A174">
        <f>Sheet1!A189</f>
        <v>401</v>
      </c>
      <c r="B174" t="str">
        <f>Sheet1!B189</f>
        <v>Sky Cinema Premiere HD</v>
      </c>
      <c r="C174" t="str">
        <f>VLOOKUP(TEXT(A174,"###"),NOV,2,FALSE)</f>
        <v>Sky Cinema Premiere HD</v>
      </c>
      <c r="D174" t="str">
        <f>IF(B174=C174,"","x")</f>
        <v/>
      </c>
    </row>
    <row r="175" spans="1:4" x14ac:dyDescent="0.25">
      <c r="A175">
        <f>Sheet1!A190</f>
        <v>402</v>
      </c>
      <c r="B175" t="str">
        <f>Sheet1!B190</f>
        <v>Sky Cinema Premiere +1</v>
      </c>
      <c r="C175" t="str">
        <f>VLOOKUP(TEXT(A175,"###"),NOV,2,FALSE)</f>
        <v>Sky Cinema Premiere +1</v>
      </c>
      <c r="D175" t="str">
        <f>IF(B175=C175,"","x")</f>
        <v/>
      </c>
    </row>
    <row r="176" spans="1:4" x14ac:dyDescent="0.25">
      <c r="A176">
        <f>Sheet1!A191</f>
        <v>403</v>
      </c>
      <c r="B176" t="str">
        <f>Sheet1!B191</f>
        <v>Sky Cinema Hits HD</v>
      </c>
      <c r="C176" t="str">
        <f>VLOOKUP(TEXT(A176,"###"),NOV,2,FALSE)</f>
        <v>Sky Cinema Hits HD</v>
      </c>
      <c r="D176" t="str">
        <f>IF(B176=C176,"","x")</f>
        <v/>
      </c>
    </row>
    <row r="177" spans="1:4" x14ac:dyDescent="0.25">
      <c r="A177">
        <f>Sheet1!A192</f>
        <v>404</v>
      </c>
      <c r="B177" t="str">
        <f>Sheet1!B192</f>
        <v>Sky Cinema Greats HD</v>
      </c>
      <c r="C177" t="str">
        <f>VLOOKUP(TEXT(A177,"###"),NOV,2,FALSE)</f>
        <v>Sky Cinema Greats HD</v>
      </c>
      <c r="D177" t="str">
        <f>IF(B177=C177,"","x")</f>
        <v/>
      </c>
    </row>
    <row r="178" spans="1:4" x14ac:dyDescent="0.25">
      <c r="A178">
        <f>Sheet1!A193</f>
        <v>405</v>
      </c>
      <c r="B178" t="str">
        <f>Sheet1!B193</f>
        <v>Sky Cinema Disney HD</v>
      </c>
      <c r="C178" t="str">
        <f>VLOOKUP(TEXT(A178,"###"),NOV,2,FALSE)</f>
        <v>Sky Cinema Disney HD</v>
      </c>
      <c r="D178" t="str">
        <f>IF(B178=C178,"","x")</f>
        <v/>
      </c>
    </row>
    <row r="179" spans="1:4" x14ac:dyDescent="0.25">
      <c r="A179">
        <f>Sheet1!A194</f>
        <v>406</v>
      </c>
      <c r="B179" t="str">
        <f>Sheet1!B194</f>
        <v>Sky Cinema Family HD</v>
      </c>
      <c r="C179" t="str">
        <f>VLOOKUP(TEXT(A179,"###"),NOV,2,FALSE)</f>
        <v>Sky Cinema Family HD</v>
      </c>
      <c r="D179" t="str">
        <f>IF(B179=C179,"","x")</f>
        <v/>
      </c>
    </row>
    <row r="180" spans="1:4" x14ac:dyDescent="0.25">
      <c r="A180">
        <f>Sheet1!A195</f>
        <v>407</v>
      </c>
      <c r="B180" t="str">
        <f>Sheet1!B195</f>
        <v>Sky Cinema Action HD</v>
      </c>
      <c r="C180" t="str">
        <f>VLOOKUP(TEXT(A180,"###"),NOV,2,FALSE)</f>
        <v>Sky Cinema Action HD</v>
      </c>
      <c r="D180" t="str">
        <f>IF(B180=C180,"","x")</f>
        <v/>
      </c>
    </row>
    <row r="181" spans="1:4" x14ac:dyDescent="0.25">
      <c r="A181">
        <f>Sheet1!A196</f>
        <v>408</v>
      </c>
      <c r="B181" t="str">
        <f>Sheet1!B196</f>
        <v>Sky Cinema Comedy HD</v>
      </c>
      <c r="C181" t="str">
        <f>VLOOKUP(TEXT(A181,"###"),NOV,2,FALSE)</f>
        <v>Sky Cinema Comedy HD</v>
      </c>
      <c r="D181" t="str">
        <f>IF(B181=C181,"","x")</f>
        <v/>
      </c>
    </row>
    <row r="182" spans="1:4" x14ac:dyDescent="0.25">
      <c r="A182">
        <f>Sheet1!A197</f>
        <v>409</v>
      </c>
      <c r="B182" t="str">
        <f>Sheet1!B197</f>
        <v>Sky Cinema Thriller HD</v>
      </c>
      <c r="C182" t="str">
        <f>VLOOKUP(TEXT(A182,"###"),NOV,2,FALSE)</f>
        <v>Sky Cinema Thriller HD</v>
      </c>
      <c r="D182" t="str">
        <f>IF(B182=C182,"","x")</f>
        <v/>
      </c>
    </row>
    <row r="183" spans="1:4" x14ac:dyDescent="0.25">
      <c r="A183">
        <f>Sheet1!A198</f>
        <v>410</v>
      </c>
      <c r="B183" t="str">
        <f>Sheet1!B198</f>
        <v>Sky Cinema Drama HD</v>
      </c>
      <c r="C183" t="str">
        <f>VLOOKUP(TEXT(A183,"###"),NOV,2,FALSE)</f>
        <v>Sky Cinema Drama HD</v>
      </c>
      <c r="D183" t="str">
        <f>IF(B183=C183,"","x")</f>
        <v/>
      </c>
    </row>
    <row r="184" spans="1:4" x14ac:dyDescent="0.25">
      <c r="A184">
        <f>Sheet1!A199</f>
        <v>411</v>
      </c>
      <c r="B184" t="str">
        <f>Sheet1!B199</f>
        <v>Sky Cinema Sci-Fi &amp; Horror HD</v>
      </c>
      <c r="C184" t="str">
        <f>VLOOKUP(TEXT(A184,"###"),NOV,2,FALSE)</f>
        <v>Sky Cinema Sci-Fi &amp; Horror HD</v>
      </c>
      <c r="D184" t="str">
        <f>IF(B184=C184,"","x")</f>
        <v/>
      </c>
    </row>
    <row r="185" spans="1:4" x14ac:dyDescent="0.25">
      <c r="A185">
        <f>Sheet1!A200</f>
        <v>412</v>
      </c>
      <c r="B185" t="str">
        <f>Sheet1!B200</f>
        <v>Sky Cinema Select HD</v>
      </c>
      <c r="C185" t="str">
        <f>VLOOKUP(TEXT(A185,"###"),NOV,2,FALSE)</f>
        <v>Sky Cinema Select HD</v>
      </c>
      <c r="D185" t="str">
        <f>IF(B185=C185,"","x")</f>
        <v/>
      </c>
    </row>
    <row r="186" spans="1:4" x14ac:dyDescent="0.25">
      <c r="A186">
        <f>Sheet1!A201</f>
        <v>415</v>
      </c>
      <c r="B186" t="str">
        <f>Sheet1!B201</f>
        <v>TCM</v>
      </c>
      <c r="C186" t="str">
        <f>VLOOKUP(TEXT(A186,"###"),NOV,2,FALSE)</f>
        <v>TCM</v>
      </c>
      <c r="D186" t="str">
        <f>IF(B186=C186,"","x")</f>
        <v/>
      </c>
    </row>
    <row r="187" spans="1:4" x14ac:dyDescent="0.25">
      <c r="A187">
        <f>Sheet1!A202</f>
        <v>416</v>
      </c>
      <c r="B187" t="str">
        <f>Sheet1!B202</f>
        <v>TCM HD</v>
      </c>
      <c r="C187" t="str">
        <f>VLOOKUP(TEXT(A187,"###"),NOV,2,FALSE)</f>
        <v>TCM HD</v>
      </c>
      <c r="D187" t="str">
        <f>IF(B187=C187,"","x")</f>
        <v/>
      </c>
    </row>
    <row r="188" spans="1:4" x14ac:dyDescent="0.25">
      <c r="A188">
        <f>Sheet1!A203</f>
        <v>417</v>
      </c>
      <c r="B188" t="str">
        <f>Sheet1!B203</f>
        <v>TCM +1</v>
      </c>
      <c r="C188" t="str">
        <f>VLOOKUP(TEXT(A188,"###"),NOV,2,FALSE)</f>
        <v>TCM +1</v>
      </c>
      <c r="D188" t="str">
        <f>IF(B188=C188,"","x")</f>
        <v/>
      </c>
    </row>
    <row r="189" spans="1:4" x14ac:dyDescent="0.25">
      <c r="A189">
        <f>Sheet1!A204</f>
        <v>419</v>
      </c>
      <c r="B189" t="str">
        <f>Sheet1!B204</f>
        <v>Movies 24</v>
      </c>
      <c r="C189" t="str">
        <f>VLOOKUP(TEXT(A189,"###"),NOV,2,FALSE)</f>
        <v>Movies 24</v>
      </c>
      <c r="D189" t="str">
        <f>IF(B189=C189,"","x")</f>
        <v/>
      </c>
    </row>
    <row r="190" spans="1:4" x14ac:dyDescent="0.25">
      <c r="A190">
        <f>Sheet1!A205</f>
        <v>420</v>
      </c>
      <c r="B190" t="str">
        <f>Sheet1!B205</f>
        <v>Movies 24 + 1</v>
      </c>
      <c r="C190" t="str">
        <f>VLOOKUP(TEXT(A190,"###"),NOV,2,FALSE)</f>
        <v>Movies 24 + 1</v>
      </c>
      <c r="D190" t="str">
        <f>IF(B190=C190,"","x")</f>
        <v/>
      </c>
    </row>
    <row r="191" spans="1:4" x14ac:dyDescent="0.25">
      <c r="A191">
        <f>Sheet1!A206</f>
        <v>424</v>
      </c>
      <c r="B191" t="str">
        <f>Sheet1!B206</f>
        <v>True Movies</v>
      </c>
      <c r="C191" t="str">
        <f>VLOOKUP(TEXT(A191,"###"),NOV,2,FALSE)</f>
        <v>True Movies</v>
      </c>
      <c r="D191" t="str">
        <f>IF(B191=C191,"","x")</f>
        <v/>
      </c>
    </row>
    <row r="192" spans="1:4" x14ac:dyDescent="0.25">
      <c r="A192">
        <f>Sheet1!A207</f>
        <v>425</v>
      </c>
      <c r="B192" t="str">
        <f>Sheet1!B207</f>
        <v>Sony Movie Channel</v>
      </c>
      <c r="C192" t="str">
        <f>VLOOKUP(TEXT(A192,"###"),NOV,2,FALSE)</f>
        <v>Sony Movie Channel</v>
      </c>
      <c r="D192" t="str">
        <f>IF(B192=C192,"","x")</f>
        <v/>
      </c>
    </row>
    <row r="193" spans="1:4" x14ac:dyDescent="0.25">
      <c r="A193">
        <f>Sheet1!A208</f>
        <v>426</v>
      </c>
      <c r="B193" t="str">
        <f>Sheet1!B208</f>
        <v>Movies4Men</v>
      </c>
      <c r="C193" t="str">
        <f>VLOOKUP(TEXT(A193,"###"),NOV,2,FALSE)</f>
        <v>Movies4Men</v>
      </c>
      <c r="D193" t="str">
        <f>IF(B193=C193,"","x")</f>
        <v/>
      </c>
    </row>
    <row r="194" spans="1:4" x14ac:dyDescent="0.25">
      <c r="A194">
        <f>Sheet1!A209</f>
        <v>428</v>
      </c>
      <c r="B194" t="str">
        <f>Sheet1!B209</f>
        <v>Film4</v>
      </c>
      <c r="C194" t="str">
        <f>VLOOKUP(TEXT(A194,"###"),NOV,2,FALSE)</f>
        <v>Film4</v>
      </c>
      <c r="D194" t="str">
        <f>IF(B194=C194,"","x")</f>
        <v/>
      </c>
    </row>
    <row r="195" spans="1:4" x14ac:dyDescent="0.25">
      <c r="A195">
        <f>Sheet1!A210</f>
        <v>429</v>
      </c>
      <c r="B195" t="str">
        <f>Sheet1!B210</f>
        <v>Film4 HD</v>
      </c>
      <c r="C195" t="str">
        <f>VLOOKUP(TEXT(A195,"###"),NOV,2,FALSE)</f>
        <v>Film4 HD</v>
      </c>
      <c r="D195" t="str">
        <f>IF(B195=C195,"","x")</f>
        <v/>
      </c>
    </row>
    <row r="196" spans="1:4" x14ac:dyDescent="0.25">
      <c r="A196">
        <f>Sheet1!A211</f>
        <v>430</v>
      </c>
      <c r="B196" t="str">
        <f>Sheet1!B211</f>
        <v>Film4 +1</v>
      </c>
      <c r="C196" t="str">
        <f>VLOOKUP(TEXT(A196,"###"),NOV,2,FALSE)</f>
        <v>Film4 +1</v>
      </c>
      <c r="D196" t="str">
        <f>IF(B196=C196,"","x")</f>
        <v/>
      </c>
    </row>
    <row r="197" spans="1:4" x14ac:dyDescent="0.25">
      <c r="A197">
        <f>Sheet1!A212</f>
        <v>431</v>
      </c>
      <c r="B197" t="str">
        <f>Sheet1!B212</f>
        <v>Sky Cinema Premiere</v>
      </c>
      <c r="C197" t="str">
        <f>VLOOKUP(TEXT(A197,"###"),NOV,2,FALSE)</f>
        <v>Sky Cinema Premiere</v>
      </c>
      <c r="D197" t="str">
        <f>IF(B197=C197,"","x")</f>
        <v/>
      </c>
    </row>
    <row r="198" spans="1:4" x14ac:dyDescent="0.25">
      <c r="A198">
        <f>Sheet1!A213</f>
        <v>433</v>
      </c>
      <c r="B198" t="str">
        <f>Sheet1!B213</f>
        <v>Sky Cinema Hits</v>
      </c>
      <c r="C198" t="str">
        <f>VLOOKUP(TEXT(A198,"###"),NOV,2,FALSE)</f>
        <v>Sky Cinema Hits</v>
      </c>
      <c r="D198" t="str">
        <f>IF(B198=C198,"","x")</f>
        <v/>
      </c>
    </row>
    <row r="199" spans="1:4" x14ac:dyDescent="0.25">
      <c r="A199">
        <f>Sheet1!A214</f>
        <v>434</v>
      </c>
      <c r="B199" t="str">
        <f>Sheet1!B214</f>
        <v>Sky Cinema Greats</v>
      </c>
      <c r="C199" t="str">
        <f>VLOOKUP(TEXT(A199,"###"),NOV,2,FALSE)</f>
        <v>Sky Cinema Greats</v>
      </c>
      <c r="D199" t="str">
        <f>IF(B199=C199,"","x")</f>
        <v/>
      </c>
    </row>
    <row r="200" spans="1:4" x14ac:dyDescent="0.25">
      <c r="A200">
        <f>Sheet1!A215</f>
        <v>435</v>
      </c>
      <c r="B200" t="str">
        <f>Sheet1!B215</f>
        <v>Sky Cinema Disney</v>
      </c>
      <c r="C200" t="str">
        <f>VLOOKUP(TEXT(A200,"###"),NOV,2,FALSE)</f>
        <v>Sky Cinema Disney</v>
      </c>
      <c r="D200" t="str">
        <f>IF(B200=C200,"","x")</f>
        <v/>
      </c>
    </row>
    <row r="201" spans="1:4" x14ac:dyDescent="0.25">
      <c r="A201">
        <f>Sheet1!A216</f>
        <v>436</v>
      </c>
      <c r="B201" t="str">
        <f>Sheet1!B216</f>
        <v>Sky Cinema Family</v>
      </c>
      <c r="C201" t="str">
        <f>VLOOKUP(TEXT(A201,"###"),NOV,2,FALSE)</f>
        <v>Sky Cinema Family</v>
      </c>
      <c r="D201" t="str">
        <f>IF(B201=C201,"","x")</f>
        <v/>
      </c>
    </row>
    <row r="202" spans="1:4" x14ac:dyDescent="0.25">
      <c r="A202">
        <f>Sheet1!A217</f>
        <v>437</v>
      </c>
      <c r="B202" t="str">
        <f>Sheet1!B217</f>
        <v>Sky Cinema Action</v>
      </c>
      <c r="C202" t="str">
        <f>VLOOKUP(TEXT(A202,"###"),NOV,2,FALSE)</f>
        <v>Sky Cinema Action</v>
      </c>
      <c r="D202" t="str">
        <f>IF(B202=C202,"","x")</f>
        <v/>
      </c>
    </row>
    <row r="203" spans="1:4" x14ac:dyDescent="0.25">
      <c r="A203">
        <f>Sheet1!A218</f>
        <v>438</v>
      </c>
      <c r="B203" t="str">
        <f>Sheet1!B218</f>
        <v>Sky Cinema Comedy</v>
      </c>
      <c r="C203" t="str">
        <f>VLOOKUP(TEXT(A203,"###"),NOV,2,FALSE)</f>
        <v>Sky Cinema Comedy</v>
      </c>
      <c r="D203" t="str">
        <f>IF(B203=C203,"","x")</f>
        <v/>
      </c>
    </row>
    <row r="204" spans="1:4" x14ac:dyDescent="0.25">
      <c r="A204">
        <f>Sheet1!A219</f>
        <v>439</v>
      </c>
      <c r="B204" t="str">
        <f>Sheet1!B219</f>
        <v>Sky Cinema Thriller</v>
      </c>
      <c r="C204" t="str">
        <f>VLOOKUP(TEXT(A204,"###"),NOV,2,FALSE)</f>
        <v>Sky Cinema Thriller</v>
      </c>
      <c r="D204" t="str">
        <f>IF(B204=C204,"","x")</f>
        <v/>
      </c>
    </row>
    <row r="205" spans="1:4" x14ac:dyDescent="0.25">
      <c r="A205">
        <f>Sheet1!A220</f>
        <v>440</v>
      </c>
      <c r="B205" t="str">
        <f>Sheet1!B220</f>
        <v>Sky Cinema Drama</v>
      </c>
      <c r="C205" t="str">
        <f>VLOOKUP(TEXT(A205,"###"),NOV,2,FALSE)</f>
        <v>Sky Cinema Drama</v>
      </c>
      <c r="D205" t="str">
        <f>IF(B205=C205,"","x")</f>
        <v/>
      </c>
    </row>
    <row r="206" spans="1:4" x14ac:dyDescent="0.25">
      <c r="A206">
        <f>Sheet1!A221</f>
        <v>441</v>
      </c>
      <c r="B206" t="str">
        <f>Sheet1!B221</f>
        <v>Sky Cinema Sci-Fi &amp; Horror</v>
      </c>
      <c r="C206" t="str">
        <f>VLOOKUP(TEXT(A206,"###"),NOV,2,FALSE)</f>
        <v>Sky Cinema Sci-Fi &amp; Horror</v>
      </c>
      <c r="D206" t="str">
        <f>IF(B206=C206,"","x")</f>
        <v/>
      </c>
    </row>
    <row r="207" spans="1:4" x14ac:dyDescent="0.25">
      <c r="A207">
        <f>Sheet1!A222</f>
        <v>442</v>
      </c>
      <c r="B207" t="str">
        <f>Sheet1!B222</f>
        <v>Sky Cinema Select</v>
      </c>
      <c r="C207" t="str">
        <f>VLOOKUP(TEXT(A207,"###"),NOV,2,FALSE)</f>
        <v>Sky Cinema Select</v>
      </c>
      <c r="D207" t="str">
        <f>IF(B207=C207,"","x")</f>
        <v/>
      </c>
    </row>
    <row r="208" spans="1:4" x14ac:dyDescent="0.25">
      <c r="A208">
        <f>Sheet1!A223</f>
        <v>445</v>
      </c>
      <c r="B208" t="str">
        <f>Sheet1!B223</f>
        <v>Talking Pictures TV</v>
      </c>
      <c r="C208" t="str">
        <f>VLOOKUP(TEXT(A208,"###"),NOV,2,FALSE)</f>
        <v>Talking Pictures TV</v>
      </c>
      <c r="D208" t="str">
        <f>IF(B208=C208,"","x")</f>
        <v/>
      </c>
    </row>
    <row r="209" spans="1:4" x14ac:dyDescent="0.25">
      <c r="A209">
        <f>Sheet1!A224</f>
        <v>501</v>
      </c>
      <c r="B209" t="str">
        <f>Sheet1!B224</f>
        <v>Sky Sports Main Event HD</v>
      </c>
      <c r="C209" t="str">
        <f>VLOOKUP(TEXT(A209,"###"),NOV,2,FALSE)</f>
        <v>Sky Sports Main Event HD</v>
      </c>
      <c r="D209" t="str">
        <f>IF(B209=C209,"","x")</f>
        <v/>
      </c>
    </row>
    <row r="210" spans="1:4" x14ac:dyDescent="0.25">
      <c r="A210">
        <f>Sheet1!A225</f>
        <v>502</v>
      </c>
      <c r="B210" t="str">
        <f>Sheet1!B225</f>
        <v>Sky Sports Premier League HD</v>
      </c>
      <c r="C210" t="str">
        <f>VLOOKUP(TEXT(A210,"###"),NOV,2,FALSE)</f>
        <v>Sky Sports Premier League HD</v>
      </c>
      <c r="D210" t="str">
        <f>IF(B210=C210,"","x")</f>
        <v/>
      </c>
    </row>
    <row r="211" spans="1:4" x14ac:dyDescent="0.25">
      <c r="A211">
        <f>Sheet1!A226</f>
        <v>503</v>
      </c>
      <c r="B211" t="str">
        <f>Sheet1!B226</f>
        <v>Sky Sports Football HD</v>
      </c>
      <c r="C211" t="str">
        <f>VLOOKUP(TEXT(A211,"###"),NOV,2,FALSE)</f>
        <v>Sky Sports Football HD</v>
      </c>
      <c r="D211" t="str">
        <f>IF(B211=C211,"","x")</f>
        <v/>
      </c>
    </row>
    <row r="212" spans="1:4" x14ac:dyDescent="0.25">
      <c r="A212">
        <f>Sheet1!A227</f>
        <v>504</v>
      </c>
      <c r="B212" t="str">
        <f>Sheet1!B227</f>
        <v>Sky Sports Cricket HD</v>
      </c>
      <c r="C212" t="str">
        <f>VLOOKUP(TEXT(A212,"###"),NOV,2,FALSE)</f>
        <v>Sky Sports Cricket HD</v>
      </c>
      <c r="D212" t="str">
        <f>IF(B212=C212,"","x")</f>
        <v/>
      </c>
    </row>
    <row r="213" spans="1:4" x14ac:dyDescent="0.25">
      <c r="A213">
        <f>Sheet1!A228</f>
        <v>505</v>
      </c>
      <c r="B213" t="str">
        <f>Sheet1!B228</f>
        <v>Sky Sports Golf HD</v>
      </c>
      <c r="C213" t="str">
        <f>VLOOKUP(TEXT(A213,"###"),NOV,2,FALSE)</f>
        <v>Sky Sports Golf HD</v>
      </c>
      <c r="D213" t="str">
        <f>IF(B213=C213,"","x")</f>
        <v/>
      </c>
    </row>
    <row r="214" spans="1:4" x14ac:dyDescent="0.25">
      <c r="A214">
        <f>Sheet1!A229</f>
        <v>506</v>
      </c>
      <c r="B214" t="str">
        <f>Sheet1!B229</f>
        <v>Sky Sports F1 HD</v>
      </c>
      <c r="C214" t="str">
        <f>VLOOKUP(TEXT(A214,"###"),NOV,2,FALSE)</f>
        <v>Sky Sports F1 HD</v>
      </c>
      <c r="D214" t="str">
        <f>IF(B214=C214,"","x")</f>
        <v/>
      </c>
    </row>
    <row r="215" spans="1:4" x14ac:dyDescent="0.25">
      <c r="A215">
        <f>Sheet1!A230</f>
        <v>507</v>
      </c>
      <c r="B215" t="str">
        <f>Sheet1!B230</f>
        <v>Sky Sports Action HD</v>
      </c>
      <c r="C215" t="str">
        <f>VLOOKUP(TEXT(A215,"###"),NOV,2,FALSE)</f>
        <v>Sky Sports Action HD</v>
      </c>
      <c r="D215" t="str">
        <f>IF(B215=C215,"","x")</f>
        <v/>
      </c>
    </row>
    <row r="216" spans="1:4" x14ac:dyDescent="0.25">
      <c r="A216">
        <f>Sheet1!A231</f>
        <v>508</v>
      </c>
      <c r="B216" t="str">
        <f>Sheet1!B231</f>
        <v>Sky Sports Arena HD</v>
      </c>
      <c r="C216" t="str">
        <f>VLOOKUP(TEXT(A216,"###"),NOV,2,FALSE)</f>
        <v>Sky Sports Arena HD</v>
      </c>
      <c r="D216" t="str">
        <f>IF(B216=C216,"","x")</f>
        <v/>
      </c>
    </row>
    <row r="217" spans="1:4" x14ac:dyDescent="0.25">
      <c r="A217">
        <f>Sheet1!A232</f>
        <v>509</v>
      </c>
      <c r="B217" t="str">
        <f>Sheet1!B232</f>
        <v>Sky Sports News HD</v>
      </c>
      <c r="C217" t="str">
        <f>VLOOKUP(TEXT(A217,"###"),NOV,2,FALSE)</f>
        <v>Sky Sports News HD</v>
      </c>
      <c r="D217" t="str">
        <f>IF(B217=C217,"","x")</f>
        <v/>
      </c>
    </row>
    <row r="218" spans="1:4" x14ac:dyDescent="0.25">
      <c r="A218">
        <f>Sheet1!A233</f>
        <v>510</v>
      </c>
      <c r="B218" t="str">
        <f>Sheet1!B233</f>
        <v>Sky Sports Mix HD</v>
      </c>
      <c r="C218" t="str">
        <f>VLOOKUP(TEXT(A218,"###"),NOV,2,FALSE)</f>
        <v>Sky Sports Mix HD</v>
      </c>
      <c r="D218" t="str">
        <f>IF(B218=C218,"","x")</f>
        <v/>
      </c>
    </row>
    <row r="219" spans="1:4" x14ac:dyDescent="0.25">
      <c r="A219">
        <f>Sheet1!A234</f>
        <v>511</v>
      </c>
      <c r="B219" t="str">
        <f>Sheet1!B234</f>
        <v>Sky Sports Main Event</v>
      </c>
      <c r="C219" t="str">
        <f>VLOOKUP(TEXT(A219,"###"),NOV,2,FALSE)</f>
        <v>Sky Sports Main Event</v>
      </c>
      <c r="D219" t="str">
        <f>IF(B219=C219,"","x")</f>
        <v/>
      </c>
    </row>
    <row r="220" spans="1:4" x14ac:dyDescent="0.25">
      <c r="A220">
        <f>Sheet1!A235</f>
        <v>512</v>
      </c>
      <c r="B220" t="str">
        <f>Sheet1!B235</f>
        <v>Sky Sports Premier League</v>
      </c>
      <c r="C220" t="str">
        <f>VLOOKUP(TEXT(A220,"###"),NOV,2,FALSE)</f>
        <v>Sky Sports Premier League</v>
      </c>
      <c r="D220" t="str">
        <f>IF(B220=C220,"","x")</f>
        <v/>
      </c>
    </row>
    <row r="221" spans="1:4" x14ac:dyDescent="0.25">
      <c r="A221">
        <f>Sheet1!A236</f>
        <v>513</v>
      </c>
      <c r="B221" t="str">
        <f>Sheet1!B236</f>
        <v>Sky Sports Football</v>
      </c>
      <c r="C221" t="str">
        <f>VLOOKUP(TEXT(A221,"###"),NOV,2,FALSE)</f>
        <v>Sky Sports Football</v>
      </c>
      <c r="D221" t="str">
        <f>IF(B221=C221,"","x")</f>
        <v/>
      </c>
    </row>
    <row r="222" spans="1:4" x14ac:dyDescent="0.25">
      <c r="A222">
        <f>Sheet1!A237</f>
        <v>514</v>
      </c>
      <c r="B222" t="str">
        <f>Sheet1!B237</f>
        <v>Sky Sports Cricket</v>
      </c>
      <c r="C222" t="str">
        <f>VLOOKUP(TEXT(A222,"###"),NOV,2,FALSE)</f>
        <v>Sky Sports Cricket</v>
      </c>
      <c r="D222" t="str">
        <f>IF(B222=C222,"","x")</f>
        <v/>
      </c>
    </row>
    <row r="223" spans="1:4" x14ac:dyDescent="0.25">
      <c r="A223">
        <f>Sheet1!A238</f>
        <v>515</v>
      </c>
      <c r="B223" t="str">
        <f>Sheet1!B238</f>
        <v>Sky Sports Golf</v>
      </c>
      <c r="C223" t="str">
        <f>VLOOKUP(TEXT(A223,"###"),NOV,2,FALSE)</f>
        <v>Sky Sports Golf</v>
      </c>
      <c r="D223" t="str">
        <f>IF(B223=C223,"","x")</f>
        <v/>
      </c>
    </row>
    <row r="224" spans="1:4" x14ac:dyDescent="0.25">
      <c r="A224">
        <f>Sheet1!A239</f>
        <v>516</v>
      </c>
      <c r="B224" t="str">
        <f>Sheet1!B239</f>
        <v>Sky Sports F1</v>
      </c>
      <c r="C224" t="str">
        <f>VLOOKUP(TEXT(A224,"###"),NOV,2,FALSE)</f>
        <v>Sky Sports F1</v>
      </c>
      <c r="D224" t="str">
        <f>IF(B224=C224,"","x")</f>
        <v/>
      </c>
    </row>
    <row r="225" spans="1:4" x14ac:dyDescent="0.25">
      <c r="A225">
        <f>Sheet1!A240</f>
        <v>517</v>
      </c>
      <c r="B225" t="str">
        <f>Sheet1!B240</f>
        <v>Sky Sports Action</v>
      </c>
      <c r="C225" t="str">
        <f>VLOOKUP(TEXT(A225,"###"),NOV,2,FALSE)</f>
        <v>Sky Sports Action</v>
      </c>
      <c r="D225" t="str">
        <f>IF(B225=C225,"","x")</f>
        <v/>
      </c>
    </row>
    <row r="226" spans="1:4" x14ac:dyDescent="0.25">
      <c r="A226">
        <f>Sheet1!A241</f>
        <v>518</v>
      </c>
      <c r="B226" t="str">
        <f>Sheet1!B241</f>
        <v>Sky Sports Arena</v>
      </c>
      <c r="C226" t="str">
        <f>VLOOKUP(TEXT(A226,"###"),NOV,2,FALSE)</f>
        <v>Sky Sports Arena</v>
      </c>
      <c r="D226" t="str">
        <f>IF(B226=C226,"","x")</f>
        <v/>
      </c>
    </row>
    <row r="227" spans="1:4" x14ac:dyDescent="0.25">
      <c r="A227">
        <f>Sheet1!A242</f>
        <v>519</v>
      </c>
      <c r="B227" t="str">
        <f>Sheet1!B242</f>
        <v>Sky Sports News</v>
      </c>
      <c r="C227" t="str">
        <f>VLOOKUP(TEXT(A227,"###"),NOV,2,FALSE)</f>
        <v>Sky Sports News</v>
      </c>
      <c r="D227" t="str">
        <f>IF(B227=C227,"","x")</f>
        <v/>
      </c>
    </row>
    <row r="228" spans="1:4" x14ac:dyDescent="0.25">
      <c r="A228">
        <f>Sheet1!A243</f>
        <v>520</v>
      </c>
      <c r="B228" t="str">
        <f>Sheet1!B243</f>
        <v>Sky Sports Mix</v>
      </c>
      <c r="C228" t="str">
        <f>VLOOKUP(TEXT(A228,"###"),NOV,2,FALSE)</f>
        <v>Sky Sports Mix</v>
      </c>
      <c r="D228" t="str">
        <f>IF(B228=C228,"","x")</f>
        <v/>
      </c>
    </row>
    <row r="229" spans="1:4" x14ac:dyDescent="0.25">
      <c r="A229">
        <f>Sheet1!A244</f>
        <v>521</v>
      </c>
      <c r="B229" t="str">
        <f>Sheet1!B244</f>
        <v>Eurosport 1 HD</v>
      </c>
      <c r="C229" t="str">
        <f>VLOOKUP(TEXT(A229,"###"),NOV,2,FALSE)</f>
        <v>Eurosport 1 HD</v>
      </c>
      <c r="D229" t="str">
        <f>IF(B229=C229,"","x")</f>
        <v/>
      </c>
    </row>
    <row r="230" spans="1:4" x14ac:dyDescent="0.25">
      <c r="A230">
        <f>Sheet1!A245</f>
        <v>522</v>
      </c>
      <c r="B230" t="str">
        <f>Sheet1!B245</f>
        <v>Eurosport 2 HD</v>
      </c>
      <c r="C230" t="str">
        <f>VLOOKUP(TEXT(A230,"###"),NOV,2,FALSE)</f>
        <v>Eurosport 2 HD</v>
      </c>
      <c r="D230" t="str">
        <f>IF(B230=C230,"","x")</f>
        <v/>
      </c>
    </row>
    <row r="231" spans="1:4" x14ac:dyDescent="0.25">
      <c r="A231">
        <f>Sheet1!A246</f>
        <v>523</v>
      </c>
      <c r="B231" t="str">
        <f>Sheet1!B246</f>
        <v>Eurosport 1</v>
      </c>
      <c r="C231" t="str">
        <f>VLOOKUP(TEXT(A231,"###"),NOV,2,FALSE)</f>
        <v>Eurosport 1</v>
      </c>
      <c r="D231" t="str">
        <f>IF(B231=C231,"","x")</f>
        <v/>
      </c>
    </row>
    <row r="232" spans="1:4" x14ac:dyDescent="0.25">
      <c r="A232">
        <f>Sheet1!A247</f>
        <v>524</v>
      </c>
      <c r="B232" t="str">
        <f>Sheet1!B247</f>
        <v>Eurosport 2</v>
      </c>
      <c r="C232" t="str">
        <f>VLOOKUP(TEXT(A232,"###"),NOV,2,FALSE)</f>
        <v>Eurosport 2</v>
      </c>
      <c r="D232" t="str">
        <f>IF(B232=C232,"","x")</f>
        <v/>
      </c>
    </row>
    <row r="233" spans="1:4" x14ac:dyDescent="0.25">
      <c r="A233">
        <f>Sheet1!A248</f>
        <v>526</v>
      </c>
      <c r="B233" t="str">
        <f>Sheet1!B248</f>
        <v>MUTV</v>
      </c>
      <c r="C233" t="str">
        <f>VLOOKUP(TEXT(A233,"###"),NOV,2,FALSE)</f>
        <v>MUTV</v>
      </c>
      <c r="D233" t="str">
        <f>IF(B233=C233,"","x")</f>
        <v/>
      </c>
    </row>
    <row r="234" spans="1:4" x14ac:dyDescent="0.25">
      <c r="A234">
        <f>Sheet1!A249</f>
        <v>527</v>
      </c>
      <c r="B234" t="str">
        <f>Sheet1!B249</f>
        <v>BT Sport 1 HD</v>
      </c>
      <c r="C234" t="str">
        <f>VLOOKUP(TEXT(A234,"###"),NOV,2,FALSE)</f>
        <v>BT Sport 1 HD</v>
      </c>
      <c r="D234" t="str">
        <f>IF(B234=C234,"","x")</f>
        <v/>
      </c>
    </row>
    <row r="235" spans="1:4" x14ac:dyDescent="0.25">
      <c r="A235">
        <f>Sheet1!A250</f>
        <v>528</v>
      </c>
      <c r="B235" t="str">
        <f>Sheet1!B250</f>
        <v>BT Sport 2 HD</v>
      </c>
      <c r="C235" t="str">
        <f>VLOOKUP(TEXT(A235,"###"),NOV,2,FALSE)</f>
        <v>BT Sport 2 HD</v>
      </c>
      <c r="D235" t="str">
        <f>IF(B235=C235,"","x")</f>
        <v/>
      </c>
    </row>
    <row r="236" spans="1:4" x14ac:dyDescent="0.25">
      <c r="A236">
        <f>Sheet1!A251</f>
        <v>529</v>
      </c>
      <c r="B236" t="str">
        <f>Sheet1!B251</f>
        <v>BT Sport 3 HD</v>
      </c>
      <c r="C236" t="str">
        <f>VLOOKUP(TEXT(A236,"###"),NOV,2,FALSE)</f>
        <v>BT Sport 3 HD</v>
      </c>
      <c r="D236" t="str">
        <f>IF(B236=C236,"","x")</f>
        <v/>
      </c>
    </row>
    <row r="237" spans="1:4" x14ac:dyDescent="0.25">
      <c r="A237">
        <f>Sheet1!A252</f>
        <v>530</v>
      </c>
      <c r="B237" t="str">
        <f>Sheet1!B252</f>
        <v>BT Sport ESPN HD</v>
      </c>
      <c r="C237" t="str">
        <f>VLOOKUP(TEXT(A237,"###"),NOV,2,FALSE)</f>
        <v>BT Sport ESPN HD</v>
      </c>
      <c r="D237" t="str">
        <f>IF(B237=C237,"","x")</f>
        <v/>
      </c>
    </row>
    <row r="238" spans="1:4" x14ac:dyDescent="0.25">
      <c r="A238">
        <f>Sheet1!A253</f>
        <v>531</v>
      </c>
      <c r="B238" t="str">
        <f>Sheet1!B253</f>
        <v>BT Sport 1</v>
      </c>
      <c r="C238" t="str">
        <f>VLOOKUP(TEXT(A238,"###"),NOV,2,FALSE)</f>
        <v>BT Sport 1</v>
      </c>
      <c r="D238" t="str">
        <f>IF(B238=C238,"","x")</f>
        <v/>
      </c>
    </row>
    <row r="239" spans="1:4" x14ac:dyDescent="0.25">
      <c r="A239">
        <f>Sheet1!A254</f>
        <v>532</v>
      </c>
      <c r="B239" t="str">
        <f>Sheet1!B254</f>
        <v>BT Sport 2</v>
      </c>
      <c r="C239" t="str">
        <f>VLOOKUP(TEXT(A239,"###"),NOV,2,FALSE)</f>
        <v>BT Sport 2</v>
      </c>
      <c r="D239" t="str">
        <f>IF(B239=C239,"","x")</f>
        <v/>
      </c>
    </row>
    <row r="240" spans="1:4" x14ac:dyDescent="0.25">
      <c r="A240">
        <f>Sheet1!A255</f>
        <v>533</v>
      </c>
      <c r="B240" t="str">
        <f>Sheet1!B255</f>
        <v>BT Sport 3</v>
      </c>
      <c r="C240" t="str">
        <f>VLOOKUP(TEXT(A240,"###"),NOV,2,FALSE)</f>
        <v>BT Sport 3</v>
      </c>
      <c r="D240" t="str">
        <f>IF(B240=C240,"","x")</f>
        <v/>
      </c>
    </row>
    <row r="241" spans="1:4" x14ac:dyDescent="0.25">
      <c r="A241">
        <f>Sheet1!A256</f>
        <v>534</v>
      </c>
      <c r="B241" t="str">
        <f>Sheet1!B256</f>
        <v>BT Sport ESPN</v>
      </c>
      <c r="C241" t="str">
        <f>VLOOKUP(TEXT(A241,"###"),NOV,2,FALSE)</f>
        <v>BT Sport ESPN</v>
      </c>
      <c r="D241" t="str">
        <f>IF(B241=C241,"","x")</f>
        <v/>
      </c>
    </row>
    <row r="242" spans="1:4" x14ac:dyDescent="0.25">
      <c r="A242">
        <f>Sheet1!A257</f>
        <v>535</v>
      </c>
      <c r="B242" t="str">
        <f>Sheet1!B257</f>
        <v>At The Races</v>
      </c>
      <c r="C242" t="str">
        <f>VLOOKUP(TEXT(A242,"###"),NOV,2,FALSE)</f>
        <v>At The Races</v>
      </c>
      <c r="D242" t="str">
        <f>IF(B242=C242,"","x")</f>
        <v/>
      </c>
    </row>
    <row r="243" spans="1:4" x14ac:dyDescent="0.25">
      <c r="A243">
        <f>Sheet1!A258</f>
        <v>536</v>
      </c>
      <c r="B243" t="str">
        <f>Sheet1!B258</f>
        <v>Racing UK HD</v>
      </c>
      <c r="C243" t="str">
        <f>VLOOKUP(TEXT(A243,"###"),NOV,2,FALSE)</f>
        <v>Racing UK HD</v>
      </c>
      <c r="D243" t="str">
        <f>IF(B243=C243,"","x")</f>
        <v/>
      </c>
    </row>
    <row r="244" spans="1:4" x14ac:dyDescent="0.25">
      <c r="A244">
        <f>Sheet1!A259</f>
        <v>544</v>
      </c>
      <c r="B244" t="str">
        <f>Sheet1!B259</f>
        <v>Liverpool FC TV</v>
      </c>
      <c r="C244" t="str">
        <f>VLOOKUP(TEXT(A244,"###"),NOV,2,FALSE)</f>
        <v>Liverpool FC TV</v>
      </c>
      <c r="D244" t="str">
        <f>IF(B244=C244,"","x")</f>
        <v/>
      </c>
    </row>
    <row r="245" spans="1:4" x14ac:dyDescent="0.25">
      <c r="A245">
        <f>Sheet1!A260</f>
        <v>546</v>
      </c>
      <c r="B245" t="str">
        <f>Sheet1!B260</f>
        <v>BoxNation</v>
      </c>
      <c r="C245" t="str">
        <f>VLOOKUP(TEXT(A245,"###"),NOV,2,FALSE)</f>
        <v>BoxNation</v>
      </c>
      <c r="D245" t="str">
        <f>IF(B245=C245,"","x")</f>
        <v/>
      </c>
    </row>
    <row r="246" spans="1:4" x14ac:dyDescent="0.25">
      <c r="A246">
        <f>Sheet1!A261</f>
        <v>551</v>
      </c>
      <c r="B246" t="str">
        <f>Sheet1!B261</f>
        <v>Premier Sports 1 HD</v>
      </c>
      <c r="C246" t="str">
        <f>VLOOKUP(TEXT(A246,"###"),NOV,2,FALSE)</f>
        <v>Premier Sports 1 HD</v>
      </c>
      <c r="D246" t="str">
        <f>IF(B246=C246,"","x")</f>
        <v/>
      </c>
    </row>
    <row r="247" spans="1:4" x14ac:dyDescent="0.25">
      <c r="A247">
        <f>Sheet1!A265</f>
        <v>601</v>
      </c>
      <c r="B247" t="str">
        <f>Sheet1!B265</f>
        <v>BBC News</v>
      </c>
      <c r="C247" t="str">
        <f>VLOOKUP(TEXT(A247,"###"),NOV,2,FALSE)</f>
        <v>BBC News</v>
      </c>
      <c r="D247" t="str">
        <f>IF(B247=C247,"","x")</f>
        <v/>
      </c>
    </row>
    <row r="248" spans="1:4" x14ac:dyDescent="0.25">
      <c r="A248">
        <f>Sheet1!A266</f>
        <v>602</v>
      </c>
      <c r="B248" t="str">
        <f>Sheet1!B266</f>
        <v>Sky News</v>
      </c>
      <c r="C248" t="str">
        <f>VLOOKUP(TEXT(A248,"###"),NOV,2,FALSE)</f>
        <v>Sky News</v>
      </c>
      <c r="D248" t="str">
        <f>IF(B248=C248,"","x")</f>
        <v/>
      </c>
    </row>
    <row r="249" spans="1:4" x14ac:dyDescent="0.25">
      <c r="A249">
        <f>Sheet1!A267</f>
        <v>603</v>
      </c>
      <c r="B249" t="str">
        <f>Sheet1!B267</f>
        <v>Sky News HD</v>
      </c>
      <c r="C249" t="str">
        <f>VLOOKUP(TEXT(A249,"###"),NOV,2,FALSE)</f>
        <v>Sky News HD</v>
      </c>
      <c r="D249" t="str">
        <f>IF(B249=C249,"","x")</f>
        <v/>
      </c>
    </row>
    <row r="250" spans="1:4" x14ac:dyDescent="0.25">
      <c r="A250">
        <f>Sheet1!A268</f>
        <v>604</v>
      </c>
      <c r="B250" t="str">
        <f>Sheet1!B268</f>
        <v>BBC News HD</v>
      </c>
      <c r="C250" t="str">
        <f>VLOOKUP(TEXT(A250,"###"),NOV,2,FALSE)</f>
        <v>BBC News HD</v>
      </c>
      <c r="D250" t="str">
        <f>IF(B250=C250,"","x")</f>
        <v/>
      </c>
    </row>
    <row r="251" spans="1:4" x14ac:dyDescent="0.25">
      <c r="A251">
        <f>Sheet1!A269</f>
        <v>605</v>
      </c>
      <c r="B251" t="str">
        <f>Sheet1!B269</f>
        <v>BBC Parliament</v>
      </c>
      <c r="C251" t="str">
        <f>VLOOKUP(TEXT(A251,"###"),NOV,2,FALSE)</f>
        <v>BBC Parliament</v>
      </c>
      <c r="D251" t="str">
        <f>IF(B251=C251,"","x")</f>
        <v/>
      </c>
    </row>
    <row r="252" spans="1:4" x14ac:dyDescent="0.25">
      <c r="A252">
        <f>Sheet1!A270</f>
        <v>607</v>
      </c>
      <c r="B252" t="str">
        <f>Sheet1!B270</f>
        <v>CNN</v>
      </c>
      <c r="C252" t="str">
        <f>VLOOKUP(TEXT(A252,"###"),NOV,2,FALSE)</f>
        <v>CNN</v>
      </c>
      <c r="D252" t="str">
        <f>IF(B252=C252,"","x")</f>
        <v/>
      </c>
    </row>
    <row r="253" spans="1:4" x14ac:dyDescent="0.25">
      <c r="A253">
        <f>Sheet1!A271</f>
        <v>609</v>
      </c>
      <c r="B253" t="str">
        <f>Sheet1!B271</f>
        <v>Bloomberg HD</v>
      </c>
      <c r="C253" t="str">
        <f>VLOOKUP(TEXT(A253,"###"),NOV,2,FALSE)</f>
        <v>Bloomberg HD</v>
      </c>
      <c r="D253" t="str">
        <f>IF(B253=C253,"","x")</f>
        <v/>
      </c>
    </row>
    <row r="254" spans="1:4" x14ac:dyDescent="0.25">
      <c r="A254">
        <f>Sheet1!A272</f>
        <v>613</v>
      </c>
      <c r="B254" t="str">
        <f>Sheet1!B272</f>
        <v>CNBC</v>
      </c>
      <c r="C254" t="str">
        <f>VLOOKUP(TEXT(A254,"###"),NOV,2,FALSE)</f>
        <v>CNBC</v>
      </c>
      <c r="D254" t="str">
        <f>IF(B254=C254,"","x")</f>
        <v/>
      </c>
    </row>
    <row r="255" spans="1:4" x14ac:dyDescent="0.25">
      <c r="A255">
        <f>Sheet1!A273</f>
        <v>620</v>
      </c>
      <c r="B255" t="str">
        <f>Sheet1!B273</f>
        <v>Euronews</v>
      </c>
      <c r="C255" t="str">
        <f>VLOOKUP(TEXT(A255,"###"),NOV,2,FALSE)</f>
        <v>Euronews</v>
      </c>
      <c r="D255" t="str">
        <f>IF(B255=C255,"","x")</f>
        <v/>
      </c>
    </row>
    <row r="256" spans="1:4" x14ac:dyDescent="0.25">
      <c r="A256">
        <f>Sheet1!A274</f>
        <v>621</v>
      </c>
      <c r="B256" t="str">
        <f>Sheet1!B274</f>
        <v>NDTV 24x7</v>
      </c>
      <c r="C256" t="str">
        <f>VLOOKUP(TEXT(A256,"###"),NOV,2,FALSE)</f>
        <v>NDTV 24x7</v>
      </c>
      <c r="D256" t="str">
        <f>IF(B256=C256,"","x")</f>
        <v/>
      </c>
    </row>
    <row r="257" spans="1:4" x14ac:dyDescent="0.25">
      <c r="A257">
        <f>Sheet1!A275</f>
        <v>622</v>
      </c>
      <c r="B257" t="str">
        <f>Sheet1!B275</f>
        <v>Al Jazeera English</v>
      </c>
      <c r="C257" t="str">
        <f>VLOOKUP(TEXT(A257,"###"),NOV,2,FALSE)</f>
        <v>Al Jazeera English</v>
      </c>
      <c r="D257" t="str">
        <f>IF(B257=C257,"","x")</f>
        <v/>
      </c>
    </row>
    <row r="258" spans="1:4" x14ac:dyDescent="0.25">
      <c r="A258">
        <f>Sheet1!A276</f>
        <v>624</v>
      </c>
      <c r="B258" t="str">
        <f>Sheet1!B276</f>
        <v>France 24 English HD</v>
      </c>
      <c r="C258" t="str">
        <f>VLOOKUP(TEXT(A258,"###"),NOV,2,FALSE)</f>
        <v>France 24 English HD</v>
      </c>
      <c r="D258" t="str">
        <f>IF(B258=C258,"","x")</f>
        <v/>
      </c>
    </row>
    <row r="259" spans="1:4" x14ac:dyDescent="0.25">
      <c r="A259">
        <f>Sheet1!A277</f>
        <v>625</v>
      </c>
      <c r="B259" t="str">
        <f>Sheet1!B277</f>
        <v>NHKworldHD</v>
      </c>
      <c r="C259" t="str">
        <f>VLOOKUP(TEXT(A259,"###"),NOV,2,FALSE)</f>
        <v>NHKworldHD</v>
      </c>
      <c r="D259" t="str">
        <f>IF(B259=C259,"","x")</f>
        <v/>
      </c>
    </row>
    <row r="260" spans="1:4" x14ac:dyDescent="0.25">
      <c r="A260">
        <f>Sheet1!A278</f>
        <v>700</v>
      </c>
      <c r="B260" t="str">
        <f>Sheet1!B278</f>
        <v>My Virgin TV Kids</v>
      </c>
      <c r="C260" t="str">
        <f>VLOOKUP(TEXT(A260,"###"),NOV,2,FALSE)</f>
        <v>My Virgin TV Kids</v>
      </c>
      <c r="D260" t="str">
        <f>IF(B260=C260,"","x")</f>
        <v/>
      </c>
    </row>
    <row r="261" spans="1:4" x14ac:dyDescent="0.25">
      <c r="A261">
        <f>Sheet1!A279</f>
        <v>701</v>
      </c>
      <c r="B261" t="str">
        <f>Sheet1!B279</f>
        <v>CBBC</v>
      </c>
      <c r="C261" t="str">
        <f>VLOOKUP(TEXT(A261,"###"),NOV,2,FALSE)</f>
        <v>CBBC</v>
      </c>
      <c r="D261" t="str">
        <f>IF(B261=C261,"","x")</f>
        <v/>
      </c>
    </row>
    <row r="262" spans="1:4" x14ac:dyDescent="0.25">
      <c r="A262">
        <f>Sheet1!A280</f>
        <v>702</v>
      </c>
      <c r="B262" t="str">
        <f>Sheet1!B280</f>
        <v>CBeebies</v>
      </c>
      <c r="C262" t="str">
        <f>VLOOKUP(TEXT(A262,"###"),NOV,2,FALSE)</f>
        <v>CBeebies</v>
      </c>
      <c r="D262" t="str">
        <f>IF(B262=C262,"","x")</f>
        <v/>
      </c>
    </row>
    <row r="263" spans="1:4" x14ac:dyDescent="0.25">
      <c r="A263">
        <f>Sheet1!A281</f>
        <v>703</v>
      </c>
      <c r="B263" t="str">
        <f>Sheet1!B281</f>
        <v>Baby TV</v>
      </c>
      <c r="C263" t="str">
        <f>VLOOKUP(TEXT(A263,"###"),NOV,2,FALSE)</f>
        <v>Baby TV</v>
      </c>
      <c r="D263" t="str">
        <f>IF(B263=C263,"","x")</f>
        <v/>
      </c>
    </row>
    <row r="264" spans="1:4" x14ac:dyDescent="0.25">
      <c r="A264">
        <f>Sheet1!A282</f>
        <v>704</v>
      </c>
      <c r="B264" t="str">
        <f>Sheet1!B282</f>
        <v>Cartoon Network</v>
      </c>
      <c r="C264" t="str">
        <f>VLOOKUP(TEXT(A264,"###"),NOV,2,FALSE)</f>
        <v>Cartoon Network</v>
      </c>
      <c r="D264" t="str">
        <f>IF(B264=C264,"","x")</f>
        <v/>
      </c>
    </row>
    <row r="265" spans="1:4" x14ac:dyDescent="0.25">
      <c r="A265">
        <f>Sheet1!A283</f>
        <v>705</v>
      </c>
      <c r="B265" t="str">
        <f>Sheet1!B283</f>
        <v>Cartoon Network +1</v>
      </c>
      <c r="C265" t="str">
        <f>VLOOKUP(TEXT(A265,"###"),NOV,2,FALSE)</f>
        <v>Cartoon Network +1</v>
      </c>
      <c r="D265" t="str">
        <f>IF(B265=C265,"","x")</f>
        <v/>
      </c>
    </row>
    <row r="266" spans="1:4" x14ac:dyDescent="0.25">
      <c r="A266">
        <f>Sheet1!A284</f>
        <v>706</v>
      </c>
      <c r="B266" t="str">
        <f>Sheet1!B284</f>
        <v>Cartoonito</v>
      </c>
      <c r="C266" t="str">
        <f>VLOOKUP(TEXT(A266,"###"),NOV,2,FALSE)</f>
        <v>Cartoonito</v>
      </c>
      <c r="D266" t="str">
        <f>IF(B266=C266,"","x")</f>
        <v/>
      </c>
    </row>
    <row r="267" spans="1:4" x14ac:dyDescent="0.25">
      <c r="A267">
        <f>Sheet1!A285</f>
        <v>707</v>
      </c>
      <c r="B267" t="str">
        <f>Sheet1!B285</f>
        <v>Disney XD</v>
      </c>
      <c r="C267" t="str">
        <f>VLOOKUP(TEXT(A267,"###"),NOV,2,FALSE)</f>
        <v>Disney XD</v>
      </c>
      <c r="D267" t="str">
        <f>IF(B267=C267,"","x")</f>
        <v/>
      </c>
    </row>
    <row r="268" spans="1:4" x14ac:dyDescent="0.25">
      <c r="A268">
        <f>Sheet1!A286</f>
        <v>710</v>
      </c>
      <c r="B268" t="str">
        <f>Sheet1!B286</f>
        <v>CBBC HD</v>
      </c>
      <c r="C268" t="str">
        <f>VLOOKUP(TEXT(A268,"###"),NOV,2,FALSE)</f>
        <v>CBBC HD</v>
      </c>
      <c r="D268" t="str">
        <f>IF(B268=C268,"","x")</f>
        <v/>
      </c>
    </row>
    <row r="269" spans="1:4" x14ac:dyDescent="0.25">
      <c r="A269">
        <f>Sheet1!A287</f>
        <v>711</v>
      </c>
      <c r="B269" t="str">
        <f>Sheet1!B287</f>
        <v>CBeebies HD</v>
      </c>
      <c r="C269" t="str">
        <f>VLOOKUP(TEXT(A269,"###"),NOV,2,FALSE)</f>
        <v>CBeebies HD</v>
      </c>
      <c r="D269" t="str">
        <f>IF(B269=C269,"","x")</f>
        <v/>
      </c>
    </row>
    <row r="270" spans="1:4" x14ac:dyDescent="0.25">
      <c r="A270">
        <f>Sheet1!A288</f>
        <v>712</v>
      </c>
      <c r="B270" t="str">
        <f>Sheet1!B288</f>
        <v>Nickelodeon</v>
      </c>
      <c r="C270" t="str">
        <f>VLOOKUP(TEXT(A270,"###"),NOV,2,FALSE)</f>
        <v>Nickelodeon</v>
      </c>
      <c r="D270" t="str">
        <f>IF(B270=C270,"","x")</f>
        <v/>
      </c>
    </row>
    <row r="271" spans="1:4" x14ac:dyDescent="0.25">
      <c r="A271">
        <f>Sheet1!A289</f>
        <v>713</v>
      </c>
      <c r="B271" t="str">
        <f>Sheet1!B289</f>
        <v>Nick +1</v>
      </c>
      <c r="C271" t="str">
        <f>VLOOKUP(TEXT(A271,"###"),NOV,2,FALSE)</f>
        <v>Nick +1</v>
      </c>
      <c r="D271" t="str">
        <f>IF(B271=C271,"","x")</f>
        <v/>
      </c>
    </row>
    <row r="272" spans="1:4" x14ac:dyDescent="0.25">
      <c r="A272">
        <f>Sheet1!A290</f>
        <v>714</v>
      </c>
      <c r="B272" t="str">
        <f>Sheet1!B290</f>
        <v>Nick HD</v>
      </c>
      <c r="C272" t="str">
        <f>VLOOKUP(TEXT(A272,"###"),NOV,2,FALSE)</f>
        <v>Nick HD</v>
      </c>
      <c r="D272" t="str">
        <f>IF(B272=C272,"","x")</f>
        <v/>
      </c>
    </row>
    <row r="273" spans="1:4" x14ac:dyDescent="0.25">
      <c r="A273">
        <f>Sheet1!A291</f>
        <v>715</v>
      </c>
      <c r="B273" t="str">
        <f>Sheet1!B291</f>
        <v>Nick Jr.</v>
      </c>
      <c r="C273" t="str">
        <f>VLOOKUP(TEXT(A273,"###"),NOV,2,FALSE)</f>
        <v>Nick Jr.</v>
      </c>
      <c r="D273" t="str">
        <f>IF(B273=C273,"","x")</f>
        <v/>
      </c>
    </row>
    <row r="274" spans="1:4" x14ac:dyDescent="0.25">
      <c r="A274">
        <f>Sheet1!A292</f>
        <v>716</v>
      </c>
      <c r="B274" t="str">
        <f>Sheet1!B292</f>
        <v>Nick Jr. Too</v>
      </c>
      <c r="C274" t="str">
        <f>VLOOKUP(TEXT(A274,"###"),NOV,2,FALSE)</f>
        <v>Nick Jr. Too</v>
      </c>
      <c r="D274" t="str">
        <f>IF(B274=C274,"","x")</f>
        <v/>
      </c>
    </row>
    <row r="275" spans="1:4" x14ac:dyDescent="0.25">
      <c r="A275">
        <f>Sheet1!A293</f>
        <v>717</v>
      </c>
      <c r="B275" t="str">
        <f>Sheet1!B293</f>
        <v>Nicktoons</v>
      </c>
      <c r="C275" t="str">
        <f>VLOOKUP(TEXT(A275,"###"),NOV,2,FALSE)</f>
        <v>Nicktoons</v>
      </c>
      <c r="D275" t="str">
        <f>IF(B275=C275,"","x")</f>
        <v/>
      </c>
    </row>
    <row r="276" spans="1:4" x14ac:dyDescent="0.25">
      <c r="A276">
        <f>Sheet1!A294</f>
        <v>724</v>
      </c>
      <c r="B276" t="str">
        <f>Sheet1!B294</f>
        <v>Disney Channel</v>
      </c>
      <c r="C276" t="str">
        <f>VLOOKUP(TEXT(A276,"###"),NOV,2,FALSE)</f>
        <v>Disney Channel</v>
      </c>
      <c r="D276" t="str">
        <f>IF(B276=C276,"","x")</f>
        <v/>
      </c>
    </row>
    <row r="277" spans="1:4" x14ac:dyDescent="0.25">
      <c r="A277">
        <f>Sheet1!A295</f>
        <v>725</v>
      </c>
      <c r="B277" t="str">
        <f>Sheet1!B295</f>
        <v>Disney Channel +1</v>
      </c>
      <c r="C277" t="str">
        <f>VLOOKUP(TEXT(A277,"###"),NOV,2,FALSE)</f>
        <v>Disney Channel +1</v>
      </c>
      <c r="D277" t="str">
        <f>IF(B277=C277,"","x")</f>
        <v/>
      </c>
    </row>
    <row r="278" spans="1:4" x14ac:dyDescent="0.25">
      <c r="A278">
        <f>Sheet1!A296</f>
        <v>727</v>
      </c>
      <c r="B278" t="str">
        <f>Sheet1!B296</f>
        <v>Disney Junior</v>
      </c>
      <c r="C278" t="str">
        <f>VLOOKUP(TEXT(A278,"###"),NOV,2,FALSE)</f>
        <v>Disney Junior</v>
      </c>
      <c r="D278" t="str">
        <f>IF(B278=C278,"","x")</f>
        <v/>
      </c>
    </row>
    <row r="279" spans="1:4" x14ac:dyDescent="0.25">
      <c r="A279">
        <f>Sheet1!A297</f>
        <v>730</v>
      </c>
      <c r="B279" t="str">
        <f>Sheet1!B297</f>
        <v>Boomerang</v>
      </c>
      <c r="C279" t="str">
        <f>VLOOKUP(TEXT(A279,"###"),NOV,2,FALSE)</f>
        <v>Boomerang</v>
      </c>
      <c r="D279" t="str">
        <f>IF(B279=C279,"","x")</f>
        <v/>
      </c>
    </row>
    <row r="280" spans="1:4" x14ac:dyDescent="0.25">
      <c r="A280">
        <f>Sheet1!A298</f>
        <v>731</v>
      </c>
      <c r="B280" t="str">
        <f>Sheet1!B298</f>
        <v>Boomerang +1</v>
      </c>
      <c r="C280" t="str">
        <f>VLOOKUP(TEXT(A280,"###"),NOV,2,FALSE)</f>
        <v>Boomerang +1</v>
      </c>
      <c r="D280" t="str">
        <f>IF(B280=C280,"","x")</f>
        <v/>
      </c>
    </row>
    <row r="281" spans="1:4" x14ac:dyDescent="0.25">
      <c r="A281">
        <f>Sheet1!A299</f>
        <v>732</v>
      </c>
      <c r="B281" t="str">
        <f>Sheet1!B299</f>
        <v>Cartoon Network HD</v>
      </c>
      <c r="C281" t="str">
        <f>VLOOKUP(TEXT(A281,"###"),NOV,2,FALSE)</f>
        <v>Cartoon Network HD</v>
      </c>
      <c r="D281" t="str">
        <f>IF(B281=C281,"","x")</f>
        <v/>
      </c>
    </row>
    <row r="282" spans="1:4" x14ac:dyDescent="0.25">
      <c r="A282">
        <f>Sheet1!A300</f>
        <v>734</v>
      </c>
      <c r="B282" t="str">
        <f>Sheet1!B300</f>
        <v>CITV</v>
      </c>
      <c r="C282" t="str">
        <f>VLOOKUP(TEXT(A282,"###"),NOV,2,FALSE)</f>
        <v>CITV</v>
      </c>
      <c r="D282" t="str">
        <f>IF(B282=C282,"","x")</f>
        <v/>
      </c>
    </row>
    <row r="283" spans="1:4" x14ac:dyDescent="0.25">
      <c r="A283">
        <f>Sheet1!A301</f>
        <v>736</v>
      </c>
      <c r="B283" t="str">
        <f>Sheet1!B301</f>
        <v>POP</v>
      </c>
      <c r="C283" t="str">
        <f>VLOOKUP(TEXT(A283,"###"),NOV,2,FALSE)</f>
        <v>Pop</v>
      </c>
      <c r="D283" t="str">
        <f>IF(B283=C283,"","x")</f>
        <v/>
      </c>
    </row>
    <row r="284" spans="1:4" x14ac:dyDescent="0.25">
      <c r="A284">
        <f>Sheet1!A302</f>
        <v>737</v>
      </c>
      <c r="B284" t="str">
        <f>Sheet1!B302</f>
        <v>Tiny Pop</v>
      </c>
      <c r="C284" t="str">
        <f>VLOOKUP(TEXT(A284,"###"),NOV,2,FALSE)</f>
        <v>Tiny Pop</v>
      </c>
      <c r="D284" t="str">
        <f>IF(B284=C284,"","x")</f>
        <v/>
      </c>
    </row>
    <row r="285" spans="1:4" x14ac:dyDescent="0.25">
      <c r="A285">
        <f>Sheet1!A304</f>
        <v>740</v>
      </c>
      <c r="B285" t="str">
        <f>Sheet1!B304</f>
        <v>QVC</v>
      </c>
      <c r="C285" t="str">
        <f>VLOOKUP(TEXT(A285,"###"),NOV,2,FALSE)</f>
        <v>QVC</v>
      </c>
      <c r="D285" t="str">
        <f>IF(B285=C285,"","x")</f>
        <v/>
      </c>
    </row>
    <row r="286" spans="1:4" x14ac:dyDescent="0.25">
      <c r="A286">
        <f>Sheet1!A305</f>
        <v>741</v>
      </c>
      <c r="B286" t="str">
        <f>Sheet1!B305</f>
        <v>QVC Beauty</v>
      </c>
      <c r="C286" t="str">
        <f>VLOOKUP(TEXT(A286,"###"),NOV,2,FALSE)</f>
        <v>QVC Beauty</v>
      </c>
      <c r="D286" t="str">
        <f>IF(B286=C286,"","x")</f>
        <v/>
      </c>
    </row>
    <row r="287" spans="1:4" x14ac:dyDescent="0.25">
      <c r="A287">
        <f>Sheet1!A306</f>
        <v>742</v>
      </c>
      <c r="B287" t="str">
        <f>Sheet1!B306</f>
        <v>QVC Style</v>
      </c>
      <c r="C287" t="str">
        <f>VLOOKUP(TEXT(A287,"###"),NOV,2,FALSE)</f>
        <v>QVC Style</v>
      </c>
      <c r="D287" t="str">
        <f>IF(B287=C287,"","x")</f>
        <v/>
      </c>
    </row>
    <row r="288" spans="1:4" x14ac:dyDescent="0.25">
      <c r="A288">
        <f>Sheet1!A307</f>
        <v>747</v>
      </c>
      <c r="B288" t="str">
        <f>Sheet1!B307</f>
        <v>Ideal World</v>
      </c>
      <c r="C288" t="str">
        <f>VLOOKUP(TEXT(A288,"###"),NOV,2,FALSE)</f>
        <v>Ideal World</v>
      </c>
      <c r="D288" t="str">
        <f>IF(B288=C288,"","x")</f>
        <v/>
      </c>
    </row>
    <row r="289" spans="1:4" x14ac:dyDescent="0.25">
      <c r="A289">
        <f>Sheet1!A308</f>
        <v>748</v>
      </c>
      <c r="B289" t="str">
        <f>Sheet1!B308</f>
        <v>Create and Craft</v>
      </c>
      <c r="C289" t="str">
        <f>VLOOKUP(TEXT(A289,"###"),NOV,2,FALSE)</f>
        <v>Create and Craft</v>
      </c>
      <c r="D289" t="str">
        <f>IF(B289=C289,"","x")</f>
        <v/>
      </c>
    </row>
    <row r="290" spans="1:4" x14ac:dyDescent="0.25">
      <c r="A290">
        <f>Sheet1!A309</f>
        <v>755</v>
      </c>
      <c r="B290" t="str">
        <f>Sheet1!B309</f>
        <v>Gems TV</v>
      </c>
      <c r="C290" t="str">
        <f>VLOOKUP(TEXT(A290,"###"),NOV,2,FALSE)</f>
        <v>Gems TV</v>
      </c>
      <c r="D290" t="str">
        <f>IF(B290=C290,"","x")</f>
        <v/>
      </c>
    </row>
    <row r="291" spans="1:4" x14ac:dyDescent="0.25">
      <c r="A291">
        <f>Sheet1!A310</f>
        <v>756</v>
      </c>
      <c r="B291" t="str">
        <f>Sheet1!B310</f>
        <v>Jewellery Maker</v>
      </c>
      <c r="C291" t="str">
        <f>VLOOKUP(TEXT(A291,"###"),NOV,2,FALSE)</f>
        <v>Jewellery Maker</v>
      </c>
      <c r="D291" t="str">
        <f>IF(B291=C291,"","x")</f>
        <v/>
      </c>
    </row>
    <row r="292" spans="1:4" x14ac:dyDescent="0.25">
      <c r="A292">
        <f>Sheet1!A311</f>
        <v>757</v>
      </c>
      <c r="B292" t="str">
        <f>Sheet1!B311</f>
        <v>TJC</v>
      </c>
      <c r="C292" t="str">
        <f>VLOOKUP(TEXT(A292,"###"),NOV,2,FALSE)</f>
        <v>TJC</v>
      </c>
      <c r="D292" t="str">
        <f>IF(B292=C292,"","x")</f>
        <v/>
      </c>
    </row>
    <row r="293" spans="1:4" x14ac:dyDescent="0.25">
      <c r="A293">
        <f>Sheet1!A312</f>
        <v>801</v>
      </c>
      <c r="B293" t="str">
        <f>Sheet1!B312</f>
        <v>Star Gold HD</v>
      </c>
      <c r="C293" t="str">
        <f>VLOOKUP(TEXT(A293,"###"),NOV,2,FALSE)</f>
        <v>Star Gold HD</v>
      </c>
      <c r="D293" t="str">
        <f>IF(B293=C293,"","x")</f>
        <v/>
      </c>
    </row>
    <row r="294" spans="1:4" x14ac:dyDescent="0.25">
      <c r="A294">
        <f>Sheet1!A313</f>
        <v>803</v>
      </c>
      <c r="B294" t="str">
        <f>Sheet1!B313</f>
        <v>Star Plus HD</v>
      </c>
      <c r="C294" t="str">
        <f>VLOOKUP(TEXT(A294,"###"),NOV,2,FALSE)</f>
        <v>Star Plus HD</v>
      </c>
      <c r="D294" t="str">
        <f>IF(B294=C294,"","x")</f>
        <v/>
      </c>
    </row>
    <row r="295" spans="1:4" x14ac:dyDescent="0.25">
      <c r="A295">
        <f>Sheet1!A314</f>
        <v>804</v>
      </c>
      <c r="B295" t="str">
        <f>Sheet1!B314</f>
        <v>Star Bharat</v>
      </c>
      <c r="C295" t="str">
        <f>VLOOKUP(TEXT(A295,"###"),NOV,2,FALSE)</f>
        <v>Star Bharat</v>
      </c>
      <c r="D295" t="str">
        <f>IF(B295=C295,"","x")</f>
        <v/>
      </c>
    </row>
    <row r="296" spans="1:4" x14ac:dyDescent="0.25">
      <c r="A296">
        <f>Sheet1!A315</f>
        <v>805</v>
      </c>
      <c r="B296" t="str">
        <f>Sheet1!B315</f>
        <v>SONY TV Asia HD</v>
      </c>
      <c r="C296" t="str">
        <f>VLOOKUP(TEXT(A296,"###"),NOV,2,FALSE)</f>
        <v>SONY TV Asia HD</v>
      </c>
      <c r="D296" t="str">
        <f>IF(B296=C296,"","x")</f>
        <v/>
      </c>
    </row>
    <row r="297" spans="1:4" x14ac:dyDescent="0.25">
      <c r="A297">
        <f>Sheet1!A316</f>
        <v>806</v>
      </c>
      <c r="B297" t="str">
        <f>Sheet1!B316</f>
        <v>SONY Max HD</v>
      </c>
      <c r="C297" t="str">
        <f>VLOOKUP(TEXT(A297,"###"),NOV,2,FALSE)</f>
        <v>SONY Max HD</v>
      </c>
      <c r="D297" t="str">
        <f>IF(B297=C297,"","x")</f>
        <v/>
      </c>
    </row>
    <row r="298" spans="1:4" x14ac:dyDescent="0.25">
      <c r="A298">
        <f>Sheet1!A317</f>
        <v>807</v>
      </c>
      <c r="B298" t="str">
        <f>Sheet1!B317</f>
        <v>SONY SAB</v>
      </c>
      <c r="C298" t="str">
        <f>VLOOKUP(TEXT(A298,"###"),NOV,2,FALSE)</f>
        <v>SONY SAB</v>
      </c>
      <c r="D298" t="str">
        <f>IF(B298=C298,"","x")</f>
        <v/>
      </c>
    </row>
    <row r="299" spans="1:4" x14ac:dyDescent="0.25">
      <c r="A299">
        <f>Sheet1!A318</f>
        <v>809</v>
      </c>
      <c r="B299" t="str">
        <f>Sheet1!B318</f>
        <v>Zee TV HD</v>
      </c>
      <c r="C299" t="str">
        <f>VLOOKUP(TEXT(A299,"###"),NOV,2,FALSE)</f>
        <v>Zee TV HD</v>
      </c>
      <c r="D299" t="str">
        <f>IF(B299=C299,"","x")</f>
        <v/>
      </c>
    </row>
    <row r="300" spans="1:4" x14ac:dyDescent="0.25">
      <c r="A300">
        <f>Sheet1!A319</f>
        <v>810</v>
      </c>
      <c r="B300" t="str">
        <f>Sheet1!B319</f>
        <v>Zee Cinema HD</v>
      </c>
      <c r="C300" t="str">
        <f>VLOOKUP(TEXT(A300,"###"),NOV,2,FALSE)</f>
        <v>Zee Cinema HD</v>
      </c>
      <c r="D300" t="str">
        <f>IF(B300=C300,"","x")</f>
        <v/>
      </c>
    </row>
    <row r="301" spans="1:4" x14ac:dyDescent="0.25">
      <c r="A301">
        <f>Sheet1!A320</f>
        <v>811</v>
      </c>
      <c r="B301" t="str">
        <f>Sheet1!B320</f>
        <v>'&amp;TV'</v>
      </c>
      <c r="C301" t="str">
        <f>VLOOKUP(TEXT(A301,"###"),NOV,2,FALSE)</f>
        <v>&amp;TV</v>
      </c>
      <c r="D301" t="str">
        <f>IF(B301=C301,"","x")</f>
        <v>x</v>
      </c>
    </row>
    <row r="302" spans="1:4" x14ac:dyDescent="0.25">
      <c r="A302">
        <f>Sheet1!A321</f>
        <v>812</v>
      </c>
      <c r="B302" t="str">
        <f>Sheet1!B321</f>
        <v>Living Foodz HD</v>
      </c>
      <c r="C302" t="str">
        <f>VLOOKUP(TEXT(A302,"###"),NOV,2,FALSE)</f>
        <v>Living Foodz HD</v>
      </c>
      <c r="D302" t="str">
        <f>IF(B302=C302,"","x")</f>
        <v/>
      </c>
    </row>
    <row r="303" spans="1:4" x14ac:dyDescent="0.25">
      <c r="A303">
        <f>Sheet1!A322</f>
        <v>813</v>
      </c>
      <c r="B303" t="str">
        <f>Sheet1!B322</f>
        <v>Zing</v>
      </c>
      <c r="C303" t="str">
        <f>VLOOKUP(TEXT(A303,"###"),NOV,2,FALSE)</f>
        <v>Zing</v>
      </c>
      <c r="D303" t="str">
        <f>IF(B303=C303,"","x")</f>
        <v/>
      </c>
    </row>
    <row r="304" spans="1:4" x14ac:dyDescent="0.25">
      <c r="A304">
        <f>Sheet1!A323</f>
        <v>815</v>
      </c>
      <c r="B304" t="str">
        <f>Sheet1!B323</f>
        <v>B4U Movies</v>
      </c>
      <c r="C304" t="str">
        <f>VLOOKUP(TEXT(A304,"###"),NOV,2,FALSE)</f>
        <v>B4U Movies</v>
      </c>
      <c r="D304" t="str">
        <f>IF(B304=C304,"","x")</f>
        <v/>
      </c>
    </row>
    <row r="305" spans="1:4" x14ac:dyDescent="0.25">
      <c r="A305">
        <f>Sheet1!A324</f>
        <v>816</v>
      </c>
      <c r="B305" t="str">
        <f>Sheet1!B324</f>
        <v>B4U Music</v>
      </c>
      <c r="C305" t="str">
        <f>VLOOKUP(TEXT(A305,"###"),NOV,2,FALSE)</f>
        <v>B4U Music</v>
      </c>
      <c r="D305" t="str">
        <f>IF(B305=C305,"","x")</f>
        <v/>
      </c>
    </row>
    <row r="306" spans="1:4" x14ac:dyDescent="0.25">
      <c r="A306">
        <f>Sheet1!A325</f>
        <v>825</v>
      </c>
      <c r="B306" t="str">
        <f>Sheet1!B325</f>
        <v>TV5MONDE</v>
      </c>
      <c r="C306" t="str">
        <f>VLOOKUP(TEXT(A306,"###"),NOV,2,FALSE)</f>
        <v>TV5MONDE</v>
      </c>
      <c r="D306" t="str">
        <f>IF(B306=C306,"","x")</f>
        <v/>
      </c>
    </row>
    <row r="307" spans="1:4" x14ac:dyDescent="0.25">
      <c r="A307">
        <f>Sheet1!A326</f>
        <v>826</v>
      </c>
      <c r="B307" t="str">
        <f>Sheet1!B326</f>
        <v>Colors</v>
      </c>
      <c r="C307" t="str">
        <f>VLOOKUP(TEXT(A307,"###"),NOV,2,FALSE)</f>
        <v>Colors</v>
      </c>
      <c r="D307" t="str">
        <f>IF(B307=C307,"","x")</f>
        <v/>
      </c>
    </row>
    <row r="308" spans="1:4" x14ac:dyDescent="0.25">
      <c r="A308">
        <f>Sheet1!A327</f>
        <v>827</v>
      </c>
      <c r="B308" t="str">
        <f>Sheet1!B327</f>
        <v>Rishtey Europe</v>
      </c>
      <c r="C308" t="str">
        <f>VLOOKUP(TEXT(A308,"###"),NOV,2,FALSE)</f>
        <v>Rishtey Europe</v>
      </c>
      <c r="D308" t="str">
        <f>IF(B308=C308,"","x")</f>
        <v/>
      </c>
    </row>
    <row r="309" spans="1:4" x14ac:dyDescent="0.25">
      <c r="A309">
        <f>Sheet1!A328</f>
        <v>828</v>
      </c>
      <c r="B309" t="str">
        <f>Sheet1!B328</f>
        <v>Rishtey Cineplex</v>
      </c>
      <c r="C309" t="str">
        <f>VLOOKUP(TEXT(A309,"###"),NOV,2,FALSE)</f>
        <v>Rishtey Cineplex</v>
      </c>
      <c r="D309" t="str">
        <f>IF(B309=C309,"","x")</f>
        <v/>
      </c>
    </row>
    <row r="310" spans="1:4" x14ac:dyDescent="0.25">
      <c r="A310">
        <f>Sheet1!A329</f>
        <v>829</v>
      </c>
      <c r="B310" t="str">
        <f>Sheet1!B329</f>
        <v>NDTV Good Times</v>
      </c>
      <c r="C310" t="str">
        <f>VLOOKUP(TEXT(A310,"###"),NOV,2,FALSE)</f>
        <v>NDTV Good Times</v>
      </c>
      <c r="D310" t="str">
        <f>IF(B310=C310,"","x")</f>
        <v/>
      </c>
    </row>
    <row r="311" spans="1:4" x14ac:dyDescent="0.25">
      <c r="A311">
        <f>Sheet1!A330</f>
        <v>831</v>
      </c>
      <c r="B311" t="str">
        <f>Sheet1!B330</f>
        <v>Al Jazeera Arabic</v>
      </c>
      <c r="C311" t="str">
        <f>VLOOKUP(TEXT(A311,"###"),NOV,2,FALSE)</f>
        <v>Al Jazeera Arabic</v>
      </c>
      <c r="D311" t="str">
        <f>IF(B311=C311,"","x")</f>
        <v/>
      </c>
    </row>
    <row r="312" spans="1:4" x14ac:dyDescent="0.25">
      <c r="A312">
        <f>Sheet1!A331</f>
        <v>832</v>
      </c>
      <c r="B312" t="str">
        <f>Sheet1!B331</f>
        <v>France 24 French HD</v>
      </c>
      <c r="C312" t="str">
        <f>VLOOKUP(TEXT(A312,"###"),NOV,2,FALSE)</f>
        <v>France 24 French HD</v>
      </c>
      <c r="D312" t="str">
        <f>IF(B312=C312,"","x")</f>
        <v/>
      </c>
    </row>
    <row r="313" spans="1:4" x14ac:dyDescent="0.25">
      <c r="A313">
        <f>Sheet1!A332</f>
        <v>833</v>
      </c>
      <c r="B313" t="str">
        <f>Sheet1!B332</f>
        <v>Hum Europe</v>
      </c>
      <c r="C313" t="str">
        <f>VLOOKUP(TEXT(A313,"###"),NOV,2,FALSE)</f>
        <v>Hum Europe</v>
      </c>
      <c r="D313" t="str">
        <f>IF(B313=C313,"","x")</f>
        <v/>
      </c>
    </row>
    <row r="314" spans="1:4" x14ac:dyDescent="0.25">
      <c r="A314">
        <f>Sheet1!A333</f>
        <v>834</v>
      </c>
      <c r="B314" t="str">
        <f>Sheet1!B333</f>
        <v>Worldbox</v>
      </c>
      <c r="C314" t="str">
        <f>VLOOKUP(TEXT(A314,"###"),NOV,2,FALSE)</f>
        <v>Worldbox</v>
      </c>
      <c r="D314" t="str">
        <f>IF(B314=C314,"","x")</f>
        <v/>
      </c>
    </row>
    <row r="315" spans="1:4" x14ac:dyDescent="0.25">
      <c r="A315">
        <f>Sheet1!A334</f>
        <v>836</v>
      </c>
      <c r="B315" t="str">
        <f>Sheet1!B334</f>
        <v>NDTV India</v>
      </c>
      <c r="C315" t="str">
        <f>VLOOKUP(TEXT(A315,"###"),NOV,2,FALSE)</f>
        <v>NDTV India</v>
      </c>
      <c r="D315" t="str">
        <f>IF(B315=C315,"","x")</f>
        <v/>
      </c>
    </row>
    <row r="316" spans="1:4" x14ac:dyDescent="0.25">
      <c r="A316">
        <f>Sheet1!A335</f>
        <v>837</v>
      </c>
      <c r="B316" t="str">
        <f>Sheet1!B335</f>
        <v>NDTV Spice</v>
      </c>
      <c r="C316" t="str">
        <f>VLOOKUP(TEXT(A316,"###"),NOV,2,FALSE)</f>
        <v>NDTV Spice</v>
      </c>
      <c r="D316" t="str">
        <f>IF(B316=C316,"","x")</f>
        <v/>
      </c>
    </row>
    <row r="317" spans="1:4" x14ac:dyDescent="0.25">
      <c r="A317">
        <f>Sheet1!A336</f>
        <v>838</v>
      </c>
      <c r="B317" t="str">
        <f>Sheet1!B336</f>
        <v>Islam Channel</v>
      </c>
      <c r="C317" t="str">
        <f>VLOOKUP(TEXT(A317,"###"),NOV,2,FALSE)</f>
        <v>Islam Channel</v>
      </c>
      <c r="D317" t="str">
        <f>IF(B317=C317,"","x")</f>
        <v/>
      </c>
    </row>
    <row r="318" spans="1:4" x14ac:dyDescent="0.25">
      <c r="A318">
        <f>Sheet1!A337</f>
        <v>839</v>
      </c>
      <c r="B318" t="str">
        <f>Sheet1!B337</f>
        <v>Islam Channel Urdu</v>
      </c>
      <c r="C318" t="str">
        <f>VLOOKUP(TEXT(A318,"###"),NOV,2,FALSE)</f>
        <v>Islam Channel Urdu</v>
      </c>
      <c r="D318" t="str">
        <f>IF(B318=C318,"","x")</f>
        <v/>
      </c>
    </row>
    <row r="319" spans="1:4" x14ac:dyDescent="0.25">
      <c r="A319">
        <f>Sheet1!A338</f>
        <v>840</v>
      </c>
      <c r="B319" t="str">
        <f>Sheet1!B338</f>
        <v>BritAsia TV</v>
      </c>
      <c r="C319" t="str">
        <f>VLOOKUP(TEXT(A319,"###"),NOV,2,FALSE)</f>
        <v>BritAsia TV</v>
      </c>
      <c r="D319" t="str">
        <f>IF(B319=C319,"","x")</f>
        <v/>
      </c>
    </row>
    <row r="320" spans="1:4" x14ac:dyDescent="0.25">
      <c r="A320">
        <f>Sheet1!A339</f>
        <v>841</v>
      </c>
      <c r="B320" t="str">
        <f>Sheet1!B339</f>
        <v>MTV Beats</v>
      </c>
      <c r="C320" t="str">
        <f>VLOOKUP(TEXT(A320,"###"),NOV,2,FALSE)</f>
        <v>MTV Beats</v>
      </c>
      <c r="D320" t="str">
        <f>IF(B320=C320,"","x")</f>
        <v/>
      </c>
    </row>
    <row r="321" spans="1:4" x14ac:dyDescent="0.25">
      <c r="A321">
        <f>Sheet1!A340</f>
        <v>842</v>
      </c>
      <c r="B321" t="str">
        <f>Sheet1!B340</f>
        <v>ABN</v>
      </c>
      <c r="C321" t="str">
        <f>VLOOKUP(TEXT(A321,"###"),NOV,2,FALSE)</f>
        <v>ABN</v>
      </c>
      <c r="D321" t="str">
        <f>IF(B321=C321,"","x")</f>
        <v/>
      </c>
    </row>
    <row r="322" spans="1:4" x14ac:dyDescent="0.25">
      <c r="A322">
        <f>Sheet1!A341</f>
        <v>851</v>
      </c>
      <c r="B322" t="str">
        <f>Sheet1!B341</f>
        <v>BBC One AD</v>
      </c>
      <c r="C322" t="str">
        <f>VLOOKUP(TEXT(A322,"###"),NOV,2,FALSE)</f>
        <v>BBC One AD</v>
      </c>
      <c r="D322" t="str">
        <f>IF(B322=C322,"","x")</f>
        <v/>
      </c>
    </row>
    <row r="323" spans="1:4" x14ac:dyDescent="0.25">
      <c r="A323">
        <f>Sheet1!A342</f>
        <v>852</v>
      </c>
      <c r="B323" t="str">
        <f>Sheet1!B342</f>
        <v>BBC Two AD</v>
      </c>
      <c r="C323" t="str">
        <f>VLOOKUP(TEXT(A323,"###"),NOV,2,FALSE)</f>
        <v>BBC Two AD</v>
      </c>
      <c r="D323" t="str">
        <f>IF(B323=C323,"","x")</f>
        <v/>
      </c>
    </row>
    <row r="324" spans="1:4" x14ac:dyDescent="0.25">
      <c r="A324">
        <f>Sheet1!A343</f>
        <v>853</v>
      </c>
      <c r="B324" t="str">
        <f>Sheet1!B343</f>
        <v>ITV AD</v>
      </c>
      <c r="C324" t="str">
        <f>VLOOKUP(TEXT(A324,"###"),NOV,2,FALSE)</f>
        <v>ITV AD</v>
      </c>
      <c r="D324" t="str">
        <f>IF(B324=C324,"","x")</f>
        <v/>
      </c>
    </row>
    <row r="325" spans="1:4" x14ac:dyDescent="0.25">
      <c r="A325">
        <f>Sheet1!A344</f>
        <v>854</v>
      </c>
      <c r="B325" t="str">
        <f>Sheet1!B344</f>
        <v>Channel 4 AD</v>
      </c>
      <c r="C325" t="str">
        <f>VLOOKUP(TEXT(A325,"###"),NOV,2,FALSE)</f>
        <v>Channel 4 AD</v>
      </c>
      <c r="D325" t="str">
        <f>IF(B325=C325,"","x")</f>
        <v/>
      </c>
    </row>
    <row r="326" spans="1:4" x14ac:dyDescent="0.25">
      <c r="A326">
        <f>Sheet1!A345</f>
        <v>855</v>
      </c>
      <c r="B326" t="str">
        <f>Sheet1!B345</f>
        <v>Channel 5 AD</v>
      </c>
      <c r="C326" t="str">
        <f>VLOOKUP(TEXT(A326,"###"),NOV,2,FALSE)</f>
        <v>Channel 5 AD</v>
      </c>
      <c r="D326" t="str">
        <f>IF(B326=C326,"","x")</f>
        <v/>
      </c>
    </row>
    <row r="327" spans="1:4" x14ac:dyDescent="0.25">
      <c r="A327">
        <f>Sheet1!A346</f>
        <v>856</v>
      </c>
      <c r="B327" t="str">
        <f>Sheet1!B346</f>
        <v>S4C AD</v>
      </c>
      <c r="C327" t="str">
        <f>VLOOKUP(TEXT(A327,"###"),NOV,2,FALSE)</f>
        <v>S4C AD</v>
      </c>
      <c r="D327" t="str">
        <f>IF(B327=C327,"","x")</f>
        <v/>
      </c>
    </row>
    <row r="328" spans="1:4" x14ac:dyDescent="0.25">
      <c r="A328">
        <f>Sheet1!A347</f>
        <v>861</v>
      </c>
      <c r="B328" t="str">
        <f>Sheet1!B347</f>
        <v>BBC One England</v>
      </c>
      <c r="C328" t="str">
        <f>VLOOKUP(TEXT(A328,"###"),NOV,2,FALSE)</f>
        <v>BBC One England</v>
      </c>
      <c r="D328" t="str">
        <f>IF(B328=C328,"","x")</f>
        <v/>
      </c>
    </row>
    <row r="329" spans="1:4" x14ac:dyDescent="0.25">
      <c r="A329">
        <f>Sheet1!A348</f>
        <v>862</v>
      </c>
      <c r="B329" t="str">
        <f>Sheet1!B348</f>
        <v>BBC One Scotland</v>
      </c>
      <c r="C329" t="str">
        <f>VLOOKUP(TEXT(A329,"###"),NOV,2,FALSE)</f>
        <v>BBC One Scotland</v>
      </c>
      <c r="D329" t="str">
        <f>IF(B329=C329,"","x")</f>
        <v/>
      </c>
    </row>
    <row r="330" spans="1:4" x14ac:dyDescent="0.25">
      <c r="A330">
        <f>Sheet1!A349</f>
        <v>863</v>
      </c>
      <c r="B330" t="str">
        <f>Sheet1!B349</f>
        <v>BBC One NI</v>
      </c>
      <c r="C330" t="str">
        <f>VLOOKUP(TEXT(A330,"###"),NOV,2,FALSE)</f>
        <v>BBC One NI</v>
      </c>
      <c r="D330" t="str">
        <f>IF(B330=C330,"","x")</f>
        <v/>
      </c>
    </row>
    <row r="331" spans="1:4" x14ac:dyDescent="0.25">
      <c r="A331">
        <f>Sheet1!A350</f>
        <v>864</v>
      </c>
      <c r="B331" t="str">
        <f>Sheet1!B350</f>
        <v>BBC One Wales</v>
      </c>
      <c r="C331" t="str">
        <f>VLOOKUP(TEXT(A331,"###"),NOV,2,FALSE)</f>
        <v>BBC One Wales</v>
      </c>
      <c r="D331" t="str">
        <f>IF(B331=C331,"","x")</f>
        <v/>
      </c>
    </row>
    <row r="332" spans="1:4" x14ac:dyDescent="0.25">
      <c r="A332">
        <f>Sheet1!A351</f>
        <v>865</v>
      </c>
      <c r="B332" t="str">
        <f>Sheet1!B351</f>
        <v>BBC Two England</v>
      </c>
      <c r="C332" t="str">
        <f>VLOOKUP(TEXT(A332,"###"),NOV,2,FALSE)</f>
        <v>BBC Two England</v>
      </c>
      <c r="D332" t="str">
        <f>IF(B332=C332,"","x")</f>
        <v/>
      </c>
    </row>
    <row r="333" spans="1:4" x14ac:dyDescent="0.25">
      <c r="A333">
        <f>Sheet1!A352</f>
        <v>875</v>
      </c>
      <c r="B333" t="str">
        <f>Sheet1!B352</f>
        <v>RTÉ One</v>
      </c>
      <c r="C333" t="e">
        <f>VLOOKUP(TEXT(A333,"###"),NOV,2,FALSE)</f>
        <v>#N/A</v>
      </c>
      <c r="D333" t="e">
        <f>IF(B333=C333,"","x")</f>
        <v>#N/A</v>
      </c>
    </row>
    <row r="334" spans="1:4" x14ac:dyDescent="0.25">
      <c r="A334">
        <f>Sheet1!A353</f>
        <v>876</v>
      </c>
      <c r="B334" t="str">
        <f>Sheet1!B353</f>
        <v>RTÉ2</v>
      </c>
      <c r="C334" t="e">
        <f>VLOOKUP(TEXT(A334,"###"),NOV,2,FALSE)</f>
        <v>#N/A</v>
      </c>
      <c r="D334" t="e">
        <f>IF(B334=C334,"","x")</f>
        <v>#N/A</v>
      </c>
    </row>
    <row r="335" spans="1:4" x14ac:dyDescent="0.25">
      <c r="A335">
        <f>Sheet1!A354</f>
        <v>877</v>
      </c>
      <c r="B335" t="str">
        <f>Sheet1!B354</f>
        <v>TG4</v>
      </c>
      <c r="C335" t="e">
        <f>VLOOKUP(TEXT(A335,"###"),NOV,2,FALSE)</f>
        <v>#N/A</v>
      </c>
      <c r="D335" t="e">
        <f>IF(B335=C335,"","x")</f>
        <v>#N/A</v>
      </c>
    </row>
    <row r="336" spans="1:4" x14ac:dyDescent="0.25">
      <c r="A336">
        <f>Sheet1!A355</f>
        <v>901</v>
      </c>
      <c r="B336" t="str">
        <f>Sheet1!B355</f>
        <v>BBC Radio 1</v>
      </c>
      <c r="C336" t="str">
        <f>VLOOKUP(TEXT(A336,"###"),NOV,2,FALSE)</f>
        <v>BBC Radio 1</v>
      </c>
      <c r="D336" t="str">
        <f>IF(B336=C336,"","x")</f>
        <v/>
      </c>
    </row>
    <row r="337" spans="1:4" x14ac:dyDescent="0.25">
      <c r="A337">
        <f>Sheet1!A356</f>
        <v>902</v>
      </c>
      <c r="B337" t="str">
        <f>Sheet1!B356</f>
        <v>BBC Radio 2</v>
      </c>
      <c r="C337" t="str">
        <f>VLOOKUP(TEXT(A337,"###"),NOV,2,FALSE)</f>
        <v>BBC Radio 2</v>
      </c>
      <c r="D337" t="str">
        <f>IF(B337=C337,"","x")</f>
        <v/>
      </c>
    </row>
    <row r="338" spans="1:4" x14ac:dyDescent="0.25">
      <c r="A338">
        <f>Sheet1!A357</f>
        <v>903</v>
      </c>
      <c r="B338" t="str">
        <f>Sheet1!B357</f>
        <v>BBC Radio 3</v>
      </c>
      <c r="C338" t="str">
        <f>VLOOKUP(TEXT(A338,"###"),NOV,2,FALSE)</f>
        <v>BBC Radio 3</v>
      </c>
      <c r="D338" t="str">
        <f>IF(B338=C338,"","x")</f>
        <v/>
      </c>
    </row>
    <row r="339" spans="1:4" x14ac:dyDescent="0.25">
      <c r="A339">
        <f>Sheet1!A358</f>
        <v>904</v>
      </c>
      <c r="B339" t="str">
        <f>Sheet1!B358</f>
        <v>BBC Radio 4</v>
      </c>
      <c r="C339" t="str">
        <f>VLOOKUP(TEXT(A339,"###"),NOV,2,FALSE)</f>
        <v>BBC Radio 4</v>
      </c>
      <c r="D339" t="str">
        <f>IF(B339=C339,"","x")</f>
        <v/>
      </c>
    </row>
    <row r="340" spans="1:4" x14ac:dyDescent="0.25">
      <c r="A340">
        <f>Sheet1!A359</f>
        <v>905</v>
      </c>
      <c r="B340" t="str">
        <f>Sheet1!B359</f>
        <v>BBC Radio 5 Live</v>
      </c>
      <c r="C340" t="str">
        <f>VLOOKUP(TEXT(A340,"###"),NOV,2,FALSE)</f>
        <v>BBC Radio 5 Live</v>
      </c>
      <c r="D340" t="str">
        <f>IF(B340=C340,"","x")</f>
        <v/>
      </c>
    </row>
    <row r="341" spans="1:4" x14ac:dyDescent="0.25">
      <c r="A341">
        <f>Sheet1!A360</f>
        <v>906</v>
      </c>
      <c r="B341" t="str">
        <f>Sheet1!B360</f>
        <v>BBC World Service</v>
      </c>
      <c r="C341" t="str">
        <f>VLOOKUP(TEXT(A341,"###"),NOV,2,FALSE)</f>
        <v>BBC World Service</v>
      </c>
      <c r="D341" t="str">
        <f>IF(B341=C341,"","x")</f>
        <v/>
      </c>
    </row>
    <row r="342" spans="1:4" x14ac:dyDescent="0.25">
      <c r="A342">
        <f>Sheet1!A361</f>
        <v>907</v>
      </c>
      <c r="B342" t="str">
        <f>Sheet1!B361</f>
        <v>BBC Radio 1 Xtra</v>
      </c>
      <c r="C342" t="str">
        <f>VLOOKUP(TEXT(A342,"###"),NOV,2,FALSE)</f>
        <v>BBC Radio 1 Xtra</v>
      </c>
      <c r="D342" t="str">
        <f>IF(B342=C342,"","x")</f>
        <v/>
      </c>
    </row>
    <row r="343" spans="1:4" x14ac:dyDescent="0.25">
      <c r="A343">
        <f>Sheet1!A362</f>
        <v>908</v>
      </c>
      <c r="B343" t="str">
        <f>Sheet1!B362</f>
        <v>BBC Radio 5 Sports Extra</v>
      </c>
      <c r="C343" t="str">
        <f>VLOOKUP(TEXT(A343,"###"),NOV,2,FALSE)</f>
        <v>BBC Radio 5 Sports Extra</v>
      </c>
      <c r="D343" t="str">
        <f>IF(B343=C343,"","x")</f>
        <v/>
      </c>
    </row>
    <row r="344" spans="1:4" x14ac:dyDescent="0.25">
      <c r="A344">
        <f>Sheet1!A363</f>
        <v>909</v>
      </c>
      <c r="B344" t="str">
        <f>Sheet1!B363</f>
        <v>BBC Radio 6 Music</v>
      </c>
      <c r="C344" t="str">
        <f>VLOOKUP(TEXT(A344,"###"),NOV,2,FALSE)</f>
        <v>BBC Radio 6 Music</v>
      </c>
      <c r="D344" t="str">
        <f>IF(B344=C344,"","x")</f>
        <v/>
      </c>
    </row>
    <row r="345" spans="1:4" x14ac:dyDescent="0.25">
      <c r="A345">
        <f>Sheet1!A364</f>
        <v>910</v>
      </c>
      <c r="B345" t="str">
        <f>Sheet1!B364</f>
        <v>BBC Radio 4 Extra</v>
      </c>
      <c r="C345" t="str">
        <f>VLOOKUP(TEXT(A345,"###"),NOV,2,FALSE)</f>
        <v>BBC Radio 4 Extra</v>
      </c>
      <c r="D345" t="str">
        <f>IF(B345=C345,"","x")</f>
        <v/>
      </c>
    </row>
    <row r="346" spans="1:4" x14ac:dyDescent="0.25">
      <c r="A346">
        <f>Sheet1!A365</f>
        <v>911</v>
      </c>
      <c r="B346" t="str">
        <f>Sheet1!B365</f>
        <v>BBC Radio 4 LW</v>
      </c>
      <c r="C346" t="str">
        <f>VLOOKUP(TEXT(A346,"###"),NOV,2,FALSE)</f>
        <v>BBC Radio 4 LW</v>
      </c>
      <c r="D346" t="str">
        <f>IF(B346=C346,"","x")</f>
        <v/>
      </c>
    </row>
    <row r="347" spans="1:4" x14ac:dyDescent="0.25">
      <c r="A347">
        <f>Sheet1!A366</f>
        <v>912</v>
      </c>
      <c r="B347" t="str">
        <f>Sheet1!B366</f>
        <v>BBC Asian Network</v>
      </c>
      <c r="C347" t="str">
        <f>VLOOKUP(TEXT(A347,"###"),NOV,2,FALSE)</f>
        <v>BBC Asian Network</v>
      </c>
      <c r="D347" t="str">
        <f>IF(B347=C347,"","x")</f>
        <v/>
      </c>
    </row>
    <row r="348" spans="1:4" x14ac:dyDescent="0.25">
      <c r="A348">
        <f>Sheet1!A367</f>
        <v>915</v>
      </c>
      <c r="B348" t="str">
        <f>Sheet1!B367</f>
        <v>Absolute Radio</v>
      </c>
      <c r="C348" t="str">
        <f>VLOOKUP(TEXT(A348,"###"),NOV,2,FALSE)</f>
        <v>Absolute Radio</v>
      </c>
      <c r="D348" t="str">
        <f>IF(B348=C348,"","x")</f>
        <v/>
      </c>
    </row>
    <row r="349" spans="1:4" x14ac:dyDescent="0.25">
      <c r="A349">
        <f>Sheet1!A368</f>
        <v>916</v>
      </c>
      <c r="B349" t="str">
        <f>Sheet1!B368</f>
        <v>Smooth Radio</v>
      </c>
      <c r="C349" t="str">
        <f>VLOOKUP(TEXT(A349,"###"),NOV,2,FALSE)</f>
        <v>Smooth Radio</v>
      </c>
      <c r="D349" t="str">
        <f>IF(B349=C349,"","x")</f>
        <v/>
      </c>
    </row>
    <row r="350" spans="1:4" x14ac:dyDescent="0.25">
      <c r="A350">
        <f>Sheet1!A369</f>
        <v>917</v>
      </c>
      <c r="B350" t="str">
        <f>Sheet1!B369</f>
        <v>RTE Radio</v>
      </c>
      <c r="C350" t="str">
        <f>VLOOKUP(TEXT(A350,"###"),NOV,2,FALSE)</f>
        <v>RTE Radio</v>
      </c>
      <c r="D350" t="str">
        <f>IF(B350=C350,"","x")</f>
        <v/>
      </c>
    </row>
    <row r="351" spans="1:4" x14ac:dyDescent="0.25">
      <c r="A351">
        <f>Sheet1!A370</f>
        <v>918</v>
      </c>
      <c r="B351" t="str">
        <f>Sheet1!B370</f>
        <v>Heart FM</v>
      </c>
      <c r="C351" t="str">
        <f>VLOOKUP(TEXT(A351,"###"),NOV,2,FALSE)</f>
        <v>Heart FM</v>
      </c>
      <c r="D351" t="str">
        <f>IF(B351=C351,"","x")</f>
        <v/>
      </c>
    </row>
    <row r="352" spans="1:4" x14ac:dyDescent="0.25">
      <c r="A352">
        <f>Sheet1!A371</f>
        <v>919</v>
      </c>
      <c r="B352" t="str">
        <f>Sheet1!B371</f>
        <v>LBC</v>
      </c>
      <c r="C352" t="str">
        <f>VLOOKUP(TEXT(A352,"###"),NOV,2,FALSE)</f>
        <v>LBC</v>
      </c>
      <c r="D352" t="str">
        <f>IF(B352=C352,"","x")</f>
        <v/>
      </c>
    </row>
    <row r="353" spans="1:4" x14ac:dyDescent="0.25">
      <c r="A353">
        <f>Sheet1!A372</f>
        <v>920</v>
      </c>
      <c r="B353" t="str">
        <f>Sheet1!B372</f>
        <v>World Radio Network</v>
      </c>
      <c r="C353" t="str">
        <f>VLOOKUP(TEXT(A353,"###"),NOV,2,FALSE)</f>
        <v>World Radio Network</v>
      </c>
      <c r="D353" t="str">
        <f>IF(B353=C353,"","x")</f>
        <v/>
      </c>
    </row>
    <row r="354" spans="1:4" x14ac:dyDescent="0.25">
      <c r="A354">
        <f>Sheet1!A373</f>
        <v>921</v>
      </c>
      <c r="B354" t="str">
        <f>Sheet1!B373</f>
        <v>Heart 80s</v>
      </c>
      <c r="C354" t="str">
        <f>VLOOKUP(TEXT(A354,"###"),NOV,2,FALSE)</f>
        <v>Heart 80s</v>
      </c>
      <c r="D354" t="str">
        <f>IF(B354=C354,"","x")</f>
        <v/>
      </c>
    </row>
    <row r="355" spans="1:4" x14ac:dyDescent="0.25">
      <c r="A355">
        <f>Sheet1!A374</f>
        <v>922</v>
      </c>
      <c r="B355" t="str">
        <f>Sheet1!B374</f>
        <v>Classic FM</v>
      </c>
      <c r="C355" t="str">
        <f>VLOOKUP(TEXT(A355,"###"),NOV,2,FALSE)</f>
        <v>Classic FM</v>
      </c>
      <c r="D355" t="str">
        <f>IF(B355=C355,"","x")</f>
        <v/>
      </c>
    </row>
    <row r="356" spans="1:4" x14ac:dyDescent="0.25">
      <c r="A356">
        <f>Sheet1!A375</f>
        <v>923</v>
      </c>
      <c r="B356" t="str">
        <f>Sheet1!B375</f>
        <v>Gold</v>
      </c>
      <c r="C356" t="str">
        <f>VLOOKUP(TEXT(A356,"###"),NOV,2,FALSE)</f>
        <v>Gold</v>
      </c>
      <c r="D356" t="str">
        <f>IF(B356=C356,"","x")</f>
        <v/>
      </c>
    </row>
    <row r="357" spans="1:4" x14ac:dyDescent="0.25">
      <c r="A357">
        <f>Sheet1!A376</f>
        <v>924</v>
      </c>
      <c r="B357" t="str">
        <f>Sheet1!B376</f>
        <v>Planet Rock</v>
      </c>
      <c r="C357" t="str">
        <f>VLOOKUP(TEXT(A357,"###"),NOV,2,FALSE)</f>
        <v>Planet Rock</v>
      </c>
      <c r="D357" t="str">
        <f>IF(B357=C357,"","x")</f>
        <v/>
      </c>
    </row>
    <row r="358" spans="1:4" x14ac:dyDescent="0.25">
      <c r="A358">
        <f>Sheet1!A377</f>
        <v>927</v>
      </c>
      <c r="B358" t="str">
        <f>Sheet1!B377</f>
        <v>Talksport</v>
      </c>
      <c r="C358" t="str">
        <f>VLOOKUP(TEXT(A358,"###"),NOV,2,FALSE)</f>
        <v>talkSPORT</v>
      </c>
      <c r="D358" t="str">
        <f>IF(B358=C358,"","x")</f>
        <v/>
      </c>
    </row>
    <row r="359" spans="1:4" x14ac:dyDescent="0.25">
      <c r="A359">
        <f>Sheet1!A378</f>
        <v>928</v>
      </c>
      <c r="B359" t="str">
        <f>Sheet1!B378</f>
        <v>Magic Radio</v>
      </c>
      <c r="C359" t="str">
        <f>VLOOKUP(TEXT(A359,"###"),NOV,2,FALSE)</f>
        <v>Magic Radio</v>
      </c>
      <c r="D359" t="str">
        <f>IF(B359=C359,"","x")</f>
        <v/>
      </c>
    </row>
    <row r="360" spans="1:4" x14ac:dyDescent="0.25">
      <c r="A360">
        <f>Sheet1!A379</f>
        <v>930</v>
      </c>
      <c r="B360" t="str">
        <f>Sheet1!B379</f>
        <v>BBC Radio Scotland</v>
      </c>
      <c r="C360" t="str">
        <f>VLOOKUP(TEXT(A360,"###"),NOV,2,FALSE)</f>
        <v>BBC Radio Scotland</v>
      </c>
      <c r="D360" t="str">
        <f>IF(B360=C360,"","x")</f>
        <v/>
      </c>
    </row>
    <row r="361" spans="1:4" x14ac:dyDescent="0.25">
      <c r="A361">
        <f>Sheet1!A380</f>
        <v>931</v>
      </c>
      <c r="B361" t="str">
        <f>Sheet1!B380</f>
        <v>BBC Radio Wales</v>
      </c>
      <c r="C361" t="str">
        <f>VLOOKUP(TEXT(A361,"###"),NOV,2,FALSE)</f>
        <v>BBC Radio Wales</v>
      </c>
      <c r="D361" t="str">
        <f>IF(B361=C361,"","x")</f>
        <v/>
      </c>
    </row>
    <row r="362" spans="1:4" x14ac:dyDescent="0.25">
      <c r="A362">
        <f>Sheet1!A381</f>
        <v>932</v>
      </c>
      <c r="B362" t="str">
        <f>Sheet1!B381</f>
        <v>BBC Radio Ulster</v>
      </c>
      <c r="C362" t="str">
        <f>VLOOKUP(TEXT(A362,"###"),NOV,2,FALSE)</f>
        <v>BBC Radio Ulster</v>
      </c>
      <c r="D362" t="str">
        <f>IF(B362=C362,"","x")</f>
        <v/>
      </c>
    </row>
    <row r="363" spans="1:4" x14ac:dyDescent="0.25">
      <c r="A363">
        <f>Sheet1!A383</f>
        <v>934</v>
      </c>
      <c r="B363" t="str">
        <f>Sheet1!B383</f>
        <v>BBC Radio NanGaidheal</v>
      </c>
      <c r="C363" t="str">
        <f>VLOOKUP(TEXT(A363,"###"),NOV,2,FALSE)</f>
        <v>BBC Radio NanGaidheal</v>
      </c>
      <c r="D363" t="str">
        <f>IF(B363=C363,"","x")</f>
        <v/>
      </c>
    </row>
    <row r="364" spans="1:4" x14ac:dyDescent="0.25">
      <c r="A364">
        <f>Sheet1!A384</f>
        <v>936</v>
      </c>
      <c r="B364" t="str">
        <f>Sheet1!B384</f>
        <v>BBC Radio Cymru</v>
      </c>
      <c r="C364" t="str">
        <f>VLOOKUP(TEXT(A364,"###"),NOV,2,FALSE)</f>
        <v>BBC Radio Cymru</v>
      </c>
      <c r="D364" t="str">
        <f>IF(B364=C364,"","x")</f>
        <v/>
      </c>
    </row>
    <row r="365" spans="1:4" x14ac:dyDescent="0.25">
      <c r="A365">
        <f>Sheet1!A385</f>
        <v>937</v>
      </c>
      <c r="B365" t="str">
        <f>Sheet1!B385</f>
        <v>BBC London</v>
      </c>
      <c r="C365" t="str">
        <f>VLOOKUP(TEXT(A365,"###"),NOV,2,FALSE)</f>
        <v>BBC London</v>
      </c>
      <c r="D365" t="str">
        <f>IF(B365=C365,"","x")</f>
        <v/>
      </c>
    </row>
    <row r="366" spans="1:4" x14ac:dyDescent="0.25">
      <c r="A366">
        <f>Sheet1!A386</f>
        <v>951</v>
      </c>
      <c r="B366" t="str">
        <f>Sheet1!B386</f>
        <v>Absolute 80s</v>
      </c>
      <c r="C366" t="str">
        <f>VLOOKUP(TEXT(A366,"###"),NOV,2,FALSE)</f>
        <v>Absolute 80s</v>
      </c>
      <c r="D366" t="str">
        <f>IF(B366=C366,"","x")</f>
        <v/>
      </c>
    </row>
    <row r="367" spans="1:4" x14ac:dyDescent="0.25">
      <c r="A367">
        <f>Sheet1!A387</f>
        <v>952</v>
      </c>
      <c r="B367" t="str">
        <f>Sheet1!B387</f>
        <v>Absolute Classic Rock</v>
      </c>
      <c r="C367" t="str">
        <f>VLOOKUP(TEXT(A367,"###"),NOV,2,FALSE)</f>
        <v>Absolute Classic Rock</v>
      </c>
      <c r="D367" t="str">
        <f>IF(B367=C367,"","x")</f>
        <v/>
      </c>
    </row>
    <row r="368" spans="1:4" x14ac:dyDescent="0.25">
      <c r="A368">
        <f>Sheet1!A388</f>
        <v>958</v>
      </c>
      <c r="B368" t="str">
        <f>Sheet1!B388</f>
        <v>Capital FM</v>
      </c>
      <c r="C368" t="str">
        <f>VLOOKUP(TEXT(A368,"###"),NOV,2,FALSE)</f>
        <v>Capital FM</v>
      </c>
      <c r="D368" t="str">
        <f>IF(B368=C368,"","x")</f>
        <v/>
      </c>
    </row>
    <row r="369" spans="1:4" x14ac:dyDescent="0.25">
      <c r="A369">
        <f>Sheet1!A389</f>
        <v>959</v>
      </c>
      <c r="B369" t="str">
        <f>Sheet1!B389</f>
        <v>Capital XTRA</v>
      </c>
      <c r="C369" t="str">
        <f>VLOOKUP(TEXT(A369,"###"),NOV,2,FALSE)</f>
        <v>Capital XTRA</v>
      </c>
      <c r="D369" t="str">
        <f>IF(B369=C369,"","x")</f>
        <v/>
      </c>
    </row>
    <row r="370" spans="1:4" x14ac:dyDescent="0.25">
      <c r="A370">
        <f>Sheet1!A390</f>
        <v>960</v>
      </c>
      <c r="B370" t="str">
        <f>Sheet1!B390</f>
        <v>Radio X</v>
      </c>
      <c r="C370" t="str">
        <f>VLOOKUP(TEXT(A370,"###"),NOV,2,FALSE)</f>
        <v>Radio X</v>
      </c>
      <c r="D370" t="str">
        <f>IF(B370=C370,"","x")</f>
        <v/>
      </c>
    </row>
    <row r="371" spans="1:4" x14ac:dyDescent="0.25">
      <c r="A371">
        <f>Sheet1!A391</f>
        <v>963</v>
      </c>
      <c r="B371" t="str">
        <f>Sheet1!B391</f>
        <v>Kiss FM</v>
      </c>
      <c r="C371" t="str">
        <f>VLOOKUP(TEXT(A371,"###"),NOV,2,FALSE)</f>
        <v>Kiss FM</v>
      </c>
      <c r="D371" t="str">
        <f>IF(B371=C371,"","x")</f>
        <v/>
      </c>
    </row>
    <row r="372" spans="1:4" x14ac:dyDescent="0.25">
      <c r="A372">
        <f>Sheet1!A392</f>
        <v>968</v>
      </c>
      <c r="B372" t="str">
        <f>Sheet1!B392</f>
        <v>PIN Help</v>
      </c>
      <c r="C372" t="e">
        <f>VLOOKUP(TEXT(A372,"###"),NOV,2,FALSE)</f>
        <v>#N/A</v>
      </c>
      <c r="D372" t="e">
        <f>IF(B372=C372,"","x")</f>
        <v>#N/A</v>
      </c>
    </row>
    <row r="373" spans="1:4" x14ac:dyDescent="0.25">
      <c r="A373">
        <f>Sheet1!A393</f>
        <v>969</v>
      </c>
      <c r="B373" t="str">
        <f>Sheet1!B393</f>
        <v>Adult Preview</v>
      </c>
      <c r="C373" t="str">
        <f>VLOOKUP(TEXT(A373,"###"),NOV,2,FALSE)</f>
        <v>Adult Preview</v>
      </c>
      <c r="D373" t="str">
        <f>IF(B373=C373,"","x")</f>
        <v/>
      </c>
    </row>
    <row r="374" spans="1:4" x14ac:dyDescent="0.25">
      <c r="A374">
        <f>Sheet1!A394</f>
        <v>970</v>
      </c>
      <c r="B374" t="str">
        <f>Sheet1!B394</f>
        <v>Television X</v>
      </c>
      <c r="C374" t="str">
        <f>VLOOKUP(TEXT(A374,"###"),NOV,2,FALSE)</f>
        <v>Television X</v>
      </c>
      <c r="D374" t="str">
        <f>IF(B374=C374,"","x")</f>
        <v/>
      </c>
    </row>
    <row r="375" spans="1:4" x14ac:dyDescent="0.25">
      <c r="A375">
        <f>Sheet1!A395</f>
        <v>972</v>
      </c>
      <c r="B375" t="str">
        <f>Sheet1!B395</f>
        <v>Adult Channel</v>
      </c>
      <c r="C375" t="str">
        <f>VLOOKUP(TEXT(A375,"###"),NOV,2,FALSE)</f>
        <v>Adult Channel</v>
      </c>
      <c r="D375" t="str">
        <f>IF(B375=C375,"","x")</f>
        <v/>
      </c>
    </row>
    <row r="376" spans="1:4" x14ac:dyDescent="0.25">
      <c r="A376">
        <f>Sheet1!A396</f>
        <v>973</v>
      </c>
      <c r="B376" t="str">
        <f>Sheet1!B396</f>
        <v>My Ex-Girlfriends Nightly</v>
      </c>
      <c r="C376" t="str">
        <f>VLOOKUP(TEXT(A376,"###"),NOV,2,FALSE)</f>
        <v>My Ex-Girlfriends Nightly</v>
      </c>
      <c r="D376" t="str">
        <f>IF(B376=C376,"","x")</f>
        <v/>
      </c>
    </row>
    <row r="377" spans="1:4" x14ac:dyDescent="0.25">
      <c r="A377">
        <f>Sheet1!A397</f>
        <v>974</v>
      </c>
      <c r="B377" t="str">
        <f>Sheet1!B397</f>
        <v>Filth XXX</v>
      </c>
      <c r="C377" t="str">
        <f>VLOOKUP(TEXT(A377,"###"),NOV,2,FALSE)</f>
        <v>Filth XXX</v>
      </c>
      <c r="D377" t="str">
        <f>IF(B377=C377,"","x")</f>
        <v/>
      </c>
    </row>
    <row r="378" spans="1:4" x14ac:dyDescent="0.25">
      <c r="A378">
        <f>Sheet1!A398</f>
        <v>975</v>
      </c>
      <c r="B378" t="str">
        <f>Sheet1!B398</f>
        <v>Red Hot XXX</v>
      </c>
      <c r="C378" t="str">
        <f>VLOOKUP(TEXT(A378,"###"),NOV,2,FALSE)</f>
        <v>Red Hot XXX</v>
      </c>
      <c r="D378" t="str">
        <f>IF(B378=C378,"","x")</f>
        <v/>
      </c>
    </row>
    <row r="379" spans="1:4" x14ac:dyDescent="0.25">
      <c r="A379">
        <f>Sheet1!A399</f>
        <v>976</v>
      </c>
      <c r="B379" t="str">
        <f>Sheet1!B399</f>
        <v>Wives XXX</v>
      </c>
      <c r="C379" t="str">
        <f>VLOOKUP(TEXT(A379,"###"),NOV,2,FALSE)</f>
        <v>Wives XXX</v>
      </c>
      <c r="D379" t="str">
        <f>IF(B379=C379,"","x")</f>
        <v/>
      </c>
    </row>
    <row r="380" spans="1:4" x14ac:dyDescent="0.25">
      <c r="A380">
        <f>Sheet1!A401</f>
        <v>978</v>
      </c>
      <c r="B380" t="str">
        <f>Sheet1!B401</f>
        <v>Television X</v>
      </c>
      <c r="C380" t="str">
        <f>VLOOKUP(TEXT(A380,"###"),NOV,2,FALSE)</f>
        <v>Television X</v>
      </c>
      <c r="D380" t="str">
        <f>IF(B380=C380,"","x")</f>
        <v/>
      </c>
    </row>
    <row r="381" spans="1:4" x14ac:dyDescent="0.25">
      <c r="A381">
        <f>Sheet1!A402</f>
        <v>980</v>
      </c>
      <c r="B381" t="str">
        <f>Sheet1!B402</f>
        <v>Adult Channel</v>
      </c>
      <c r="C381" t="str">
        <f>VLOOKUP(TEXT(A381,"###"),NOV,2,FALSE)</f>
        <v>Adult Channel</v>
      </c>
      <c r="D381" t="str">
        <f>IF(B381=C381,"","x")</f>
        <v/>
      </c>
    </row>
    <row r="382" spans="1:4" x14ac:dyDescent="0.25">
      <c r="A382">
        <f>Sheet1!A403</f>
        <v>981</v>
      </c>
      <c r="B382" t="str">
        <f>Sheet1!B403</f>
        <v>Babe Station</v>
      </c>
      <c r="C382" t="str">
        <f>VLOOKUP(TEXT(A382,"###"),NOV,2,FALSE)</f>
        <v>Babe Station</v>
      </c>
      <c r="D382" t="str">
        <f>IF(B382=C382,"","x")</f>
        <v/>
      </c>
    </row>
    <row r="383" spans="1:4" x14ac:dyDescent="0.25">
      <c r="A383">
        <f>Sheet1!A404</f>
        <v>990</v>
      </c>
      <c r="B383" t="str">
        <f>Sheet1!B404</f>
        <v>BBC Red Button</v>
      </c>
      <c r="C383" t="e">
        <f>VLOOKUP(TEXT(A383,"###"),NOV,2,FALSE)</f>
        <v>#N/A</v>
      </c>
      <c r="D383" t="e">
        <f>IF(B383=C383,"","x")</f>
        <v>#N/A</v>
      </c>
    </row>
    <row r="384" spans="1:4" x14ac:dyDescent="0.25">
      <c r="A384">
        <f>Sheet1!A405</f>
        <v>991</v>
      </c>
      <c r="B384" t="str">
        <f>Sheet1!B405</f>
        <v>BBC Red Button</v>
      </c>
      <c r="C384" t="str">
        <f>VLOOKUP(TEXT(A384,"###"),NOV,2,FALSE)</f>
        <v>BBC RB 1</v>
      </c>
      <c r="D384" t="str">
        <f>IF(B384=C384,"","x")</f>
        <v>x</v>
      </c>
    </row>
    <row r="385" spans="1:4" x14ac:dyDescent="0.25">
      <c r="A385">
        <f>Sheet1!A406</f>
        <v>992</v>
      </c>
      <c r="B385" t="str">
        <f>Sheet1!B406</f>
        <v>BBC Red Button</v>
      </c>
      <c r="C385" t="e">
        <f>VLOOKUP(TEXT(A385,"###"),NOV,2,FALSE)</f>
        <v>#N/A</v>
      </c>
      <c r="D385" t="e">
        <f>IF(B385=C385,"","x")</f>
        <v>#N/A</v>
      </c>
    </row>
    <row r="386" spans="1:4" x14ac:dyDescent="0.25">
      <c r="A386">
        <f>Sheet1!A407</f>
        <v>993</v>
      </c>
      <c r="B386" t="str">
        <f>Sheet1!B407</f>
        <v>BBC Red Button</v>
      </c>
      <c r="C386" t="e">
        <f>VLOOKUP(TEXT(A386,"###"),NOV,2,FALSE)</f>
        <v>#N/A</v>
      </c>
      <c r="D386" t="e">
        <f>IF(B386=C386,"","x")</f>
        <v>#N/A</v>
      </c>
    </row>
    <row r="387" spans="1:4" x14ac:dyDescent="0.25">
      <c r="A387">
        <f>Sheet1!A408</f>
        <v>994</v>
      </c>
      <c r="B387" t="str">
        <f>Sheet1!B408</f>
        <v>BBC Red Button</v>
      </c>
      <c r="C387" t="e">
        <f>VLOOKUP(TEXT(A387,"###"),NOV,2,FALSE)</f>
        <v>#N/A</v>
      </c>
      <c r="D387" t="e">
        <f>IF(B387=C387,"","x")</f>
        <v>#N/A</v>
      </c>
    </row>
    <row r="388" spans="1:4" x14ac:dyDescent="0.25">
      <c r="A388">
        <f>Sheet1!A409</f>
        <v>995</v>
      </c>
      <c r="B388" t="str">
        <f>Sheet1!B409</f>
        <v>BBC Red Button</v>
      </c>
      <c r="C388" t="e">
        <f>VLOOKUP(TEXT(A388,"###"),NOV,2,FALSE)</f>
        <v>#N/A</v>
      </c>
      <c r="D388" t="e">
        <f>IF(B388=C388,"","x")</f>
        <v>#N/A</v>
      </c>
    </row>
    <row r="389" spans="1:4" x14ac:dyDescent="0.25">
      <c r="A389">
        <f>Sheet1!A410</f>
        <v>996</v>
      </c>
      <c r="B389" t="str">
        <f>Sheet1!B410</f>
        <v>BBC Red Button</v>
      </c>
      <c r="C389" t="e">
        <f>VLOOKUP(TEXT(A389,"###"),NOV,2,FALSE)</f>
        <v>#N/A</v>
      </c>
      <c r="D389" t="e">
        <f>IF(B389=C389,"","x")</f>
        <v>#N/A</v>
      </c>
    </row>
    <row r="390" spans="1:4" x14ac:dyDescent="0.25">
      <c r="A390">
        <f>Sheet1!A411</f>
        <v>998</v>
      </c>
      <c r="B390" t="str">
        <f>Sheet1!B411</f>
        <v>Virgin Media Previews</v>
      </c>
      <c r="C390" t="e">
        <f>VLOOKUP(TEXT(A390,"###"),NOV,2,FALSE)</f>
        <v>#N/A</v>
      </c>
      <c r="D390" t="e">
        <f>IF(B390=C390,"","x")</f>
        <v>#N/A</v>
      </c>
    </row>
    <row r="391" spans="1:4" x14ac:dyDescent="0.25">
      <c r="A391">
        <f>Sheet1!A412</f>
        <v>999</v>
      </c>
      <c r="B391" t="str">
        <f>Sheet1!B412</f>
        <v>Virgin TV Ultra HD</v>
      </c>
      <c r="C391" t="str">
        <f>VLOOKUP(TEXT(A391,"###"),NOV,2,FALSE)</f>
        <v>Virgin TV Ultra HD</v>
      </c>
      <c r="D391" t="str">
        <f>IF(B391=C391,"","x")</f>
        <v/>
      </c>
    </row>
    <row r="392" spans="1:4" x14ac:dyDescent="0.25">
      <c r="A392">
        <f>Sheet1!A413</f>
        <v>0</v>
      </c>
      <c r="B392">
        <f>Sheet1!B413</f>
        <v>0</v>
      </c>
      <c r="C392" t="e">
        <f>VLOOKUP(TEXT(A392,"###"),NOV,2,FALSE)</f>
        <v>#N/A</v>
      </c>
      <c r="D392" t="e">
        <f>IF(B392=C392,"","x")</f>
        <v>#N/A</v>
      </c>
    </row>
    <row r="393" spans="1:4" x14ac:dyDescent="0.25">
      <c r="A393">
        <f>Sheet1!A414</f>
        <v>0</v>
      </c>
      <c r="B393">
        <f>Sheet1!B414</f>
        <v>0</v>
      </c>
      <c r="C393" t="e">
        <f>VLOOKUP(TEXT(A393,"###"),NOV,2,FALSE)</f>
        <v>#N/A</v>
      </c>
      <c r="D393" t="e">
        <f>IF(B393=C393,"","x")</f>
        <v>#N/A</v>
      </c>
    </row>
    <row r="394" spans="1:4" x14ac:dyDescent="0.25">
      <c r="A394">
        <f>Sheet1!A415</f>
        <v>0</v>
      </c>
      <c r="B394">
        <f>Sheet1!B415</f>
        <v>0</v>
      </c>
      <c r="C394" t="e">
        <f>VLOOKUP(TEXT(A394,"###"),NOV,2,FALSE)</f>
        <v>#N/A</v>
      </c>
      <c r="D394" t="e">
        <f>IF(B394=C394,"","x")</f>
        <v>#N/A</v>
      </c>
    </row>
    <row r="395" spans="1:4" x14ac:dyDescent="0.25">
      <c r="A395">
        <f>Sheet1!A416</f>
        <v>0</v>
      </c>
      <c r="B395">
        <f>Sheet1!B416</f>
        <v>0</v>
      </c>
      <c r="C395" t="e">
        <f>VLOOKUP(TEXT(A395,"###"),NOV,2,FALSE)</f>
        <v>#N/A</v>
      </c>
      <c r="D395" t="e">
        <f>IF(B395=C395,"","x")</f>
        <v>#N/A</v>
      </c>
    </row>
    <row r="396" spans="1:4" x14ac:dyDescent="0.25">
      <c r="A396">
        <f>Sheet1!A417</f>
        <v>0</v>
      </c>
      <c r="B396">
        <f>Sheet1!B417</f>
        <v>0</v>
      </c>
      <c r="C396" t="e">
        <f>VLOOKUP(TEXT(A396,"###"),NOV,2,FALSE)</f>
        <v>#N/A</v>
      </c>
      <c r="D396" t="e">
        <f>IF(B396=C396,"","x")</f>
        <v>#N/A</v>
      </c>
    </row>
    <row r="397" spans="1:4" x14ac:dyDescent="0.25">
      <c r="A397">
        <f>Sheet1!A418</f>
        <v>0</v>
      </c>
      <c r="B397">
        <f>Sheet1!B418</f>
        <v>0</v>
      </c>
      <c r="C397" t="e">
        <f>VLOOKUP(TEXT(A397,"###"),NOV,2,FALSE)</f>
        <v>#N/A</v>
      </c>
      <c r="D397" t="e">
        <f>IF(B397=C397,"","x")</f>
        <v>#N/A</v>
      </c>
    </row>
    <row r="398" spans="1:4" x14ac:dyDescent="0.25">
      <c r="A398">
        <f>Sheet1!A419</f>
        <v>0</v>
      </c>
      <c r="B398">
        <f>Sheet1!B419</f>
        <v>0</v>
      </c>
      <c r="C398" t="e">
        <f>VLOOKUP(TEXT(A398,"###"),NOV,2,FALSE)</f>
        <v>#N/A</v>
      </c>
      <c r="D398" t="e">
        <f>IF(B398=C398,"","x")</f>
        <v>#N/A</v>
      </c>
    </row>
    <row r="399" spans="1:4" x14ac:dyDescent="0.25">
      <c r="A399">
        <f>Sheet1!A420</f>
        <v>0</v>
      </c>
      <c r="B399">
        <f>Sheet1!B420</f>
        <v>0</v>
      </c>
      <c r="C399" t="e">
        <f>VLOOKUP(TEXT(A399,"###"),NOV,2,FALSE)</f>
        <v>#N/A</v>
      </c>
      <c r="D399" t="e">
        <f>IF(B399=C399,"","x")</f>
        <v>#N/A</v>
      </c>
    </row>
    <row r="400" spans="1:4" x14ac:dyDescent="0.25">
      <c r="A400">
        <f>Sheet1!A421</f>
        <v>0</v>
      </c>
      <c r="B400">
        <f>Sheet1!B421</f>
        <v>0</v>
      </c>
      <c r="C400" t="e">
        <f>VLOOKUP(TEXT(A400,"###"),NOV,2,FALSE)</f>
        <v>#N/A</v>
      </c>
      <c r="D400" t="e">
        <f>IF(B400=C400,"","x")</f>
        <v>#N/A</v>
      </c>
    </row>
    <row r="401" spans="1:4" x14ac:dyDescent="0.25">
      <c r="A401">
        <f>Sheet1!A422</f>
        <v>0</v>
      </c>
      <c r="B401">
        <f>Sheet1!B422</f>
        <v>0</v>
      </c>
      <c r="C401" t="e">
        <f>VLOOKUP(TEXT(A401,"###"),NOV,2,FALSE)</f>
        <v>#N/A</v>
      </c>
      <c r="D401" t="e">
        <f>IF(B401=C401,"","x")</f>
        <v>#N/A</v>
      </c>
    </row>
    <row r="402" spans="1:4" x14ac:dyDescent="0.25">
      <c r="A402">
        <f>Sheet1!A423</f>
        <v>0</v>
      </c>
      <c r="B402">
        <f>Sheet1!B423</f>
        <v>0</v>
      </c>
    </row>
    <row r="403" spans="1:4" x14ac:dyDescent="0.25">
      <c r="A403">
        <f>Sheet1!A424</f>
        <v>0</v>
      </c>
      <c r="B403">
        <f>Sheet1!B424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Sheet3</vt:lpstr>
      <vt:lpstr>Sheet4</vt:lpstr>
      <vt:lpstr>CURRENT</vt:lpstr>
      <vt:lpstr>NOV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Desy</dc:creator>
  <cp:lastModifiedBy>Desy</cp:lastModifiedBy>
  <dcterms:created xsi:type="dcterms:W3CDTF">2018-06-30T08:06:15Z</dcterms:created>
  <dcterms:modified xsi:type="dcterms:W3CDTF">2018-11-16T16:54:26Z</dcterms:modified>
</cp:coreProperties>
</file>